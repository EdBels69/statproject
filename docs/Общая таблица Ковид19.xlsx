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Лист2" sheetId="2" r:id="rId6"/>
  </sheets>
  <definedNames/>
  <calcPr/>
</workbook>
</file>

<file path=xl/sharedStrings.xml><?xml version="1.0" encoding="utf-8"?>
<sst xmlns="http://schemas.openxmlformats.org/spreadsheetml/2006/main" count="15079" uniqueCount="905">
  <si>
    <t>п/п</t>
  </si>
  <si>
    <t>ID</t>
  </si>
  <si>
    <t>№истории</t>
  </si>
  <si>
    <t>Исход</t>
  </si>
  <si>
    <t>возраст</t>
  </si>
  <si>
    <t>пол</t>
  </si>
  <si>
    <t>Беременность</t>
  </si>
  <si>
    <t>Длительность госпитализации</t>
  </si>
  <si>
    <t>Вакцинация Спутник V/Гамковидвак</t>
  </si>
  <si>
    <t>Онкология (да/нет)</t>
  </si>
  <si>
    <t>Онкология (нозология)</t>
  </si>
  <si>
    <t>Сахарный диабет 2 типа перед госпитализацией (да/нет)</t>
  </si>
  <si>
    <t>Сахарный диабет при выписке (да/нет) указанный так в диагнозе ИБ</t>
  </si>
  <si>
    <t>Тип СД (Инсулиннезависимый/Стероидный) (И/С)</t>
  </si>
  <si>
    <t>НТГ (при госпитализации по гликемии натощак) (да/нет)</t>
  </si>
  <si>
    <t>Гипергликемия &gt;11,1 дважды по результатам бх крови</t>
  </si>
  <si>
    <t>Гипертоническая болезнь (да/нет)</t>
  </si>
  <si>
    <t>Гипертоническая болезнь (стадия)</t>
  </si>
  <si>
    <t>ИБС (да/нет)</t>
  </si>
  <si>
    <t>ИБС (форма)</t>
  </si>
  <si>
    <t>ХСН стадия по Стражеско-Василенко</t>
  </si>
  <si>
    <t>ХСН стадия по новой классификации (ФР, пре-ХСН, 1,2)</t>
  </si>
  <si>
    <t>ХСН ФК</t>
  </si>
  <si>
    <t>Хронический пиелонефрит</t>
  </si>
  <si>
    <t>Анемия (да/нет)</t>
  </si>
  <si>
    <t>Степень тяжести анемии</t>
  </si>
  <si>
    <t>Макроцитарная анемия</t>
  </si>
  <si>
    <t>Нормоцитарная анемия</t>
  </si>
  <si>
    <t>Микроцитарная анемия</t>
  </si>
  <si>
    <t>Другие сопутствующие</t>
  </si>
  <si>
    <t>В ОРИТ</t>
  </si>
  <si>
    <t>Дней в ОРИТ</t>
  </si>
  <si>
    <t>Основной диагноз</t>
  </si>
  <si>
    <t>Осложнение в виде пневмонии</t>
  </si>
  <si>
    <t>Степень тяжести COVID-19 по рекомендациям на момент поступления</t>
  </si>
  <si>
    <t>КТ тяжесть пневмонии</t>
  </si>
  <si>
    <t>Covid ПЦР</t>
  </si>
  <si>
    <t>Вакцинация от COVID19 (да/нет)</t>
  </si>
  <si>
    <t>Вакцинация от COVID19 (чем, если да)</t>
  </si>
  <si>
    <t>Нарушение сознания (ШКГ, баллы)</t>
  </si>
  <si>
    <t>Психический статус изменен (да/нет)</t>
  </si>
  <si>
    <t>Рост (м)</t>
  </si>
  <si>
    <t>Вес (кг)</t>
  </si>
  <si>
    <t>ИМТ</t>
  </si>
  <si>
    <t>Ожирение</t>
  </si>
  <si>
    <t>сАД</t>
  </si>
  <si>
    <t>дАД</t>
  </si>
  <si>
    <t>срАД</t>
  </si>
  <si>
    <t>ЧСС</t>
  </si>
  <si>
    <t>температура</t>
  </si>
  <si>
    <t>ЧДД</t>
  </si>
  <si>
    <t>SpO2 %</t>
  </si>
  <si>
    <t>Потребность в оксигенации</t>
  </si>
  <si>
    <t>SpO2 % на потоке</t>
  </si>
  <si>
    <t>FiO2</t>
  </si>
  <si>
    <t>ROX</t>
  </si>
  <si>
    <t>qSOFA</t>
  </si>
  <si>
    <t>NEWS2</t>
  </si>
  <si>
    <t>антибиотики перед госпитализацией</t>
  </si>
  <si>
    <t>название антибиотика перед госпитализацией</t>
  </si>
  <si>
    <t>антибиотики во время госпитализации</t>
  </si>
  <si>
    <t>название антибиотика во время госпитализации</t>
  </si>
  <si>
    <t>противогрибковые ЛС во время госпитализации</t>
  </si>
  <si>
    <t>название противогрибкового ЛС во время госпитализации</t>
  </si>
  <si>
    <t>антикоагулянты во время госпитализаци (да/нет)</t>
  </si>
  <si>
    <t>название антикоагулянта во время госпитализаци</t>
  </si>
  <si>
    <t>ГКС перед госпитализацией (да/нет)</t>
  </si>
  <si>
    <t>Название ГКС перед госпиталзиацией</t>
  </si>
  <si>
    <t>доза ГКС перед госпитализацией (суточная)</t>
  </si>
  <si>
    <t>ГКС во время госпитализации (да/нет)</t>
  </si>
  <si>
    <t>Название ГКС во время госпиталзиации</t>
  </si>
  <si>
    <t>доза ГКС во время госпитализации</t>
  </si>
  <si>
    <t>Название ГКС при выписке</t>
  </si>
  <si>
    <t>доза ГКС при выписке</t>
  </si>
  <si>
    <t>Инсулинотерапия (да, нет)</t>
  </si>
  <si>
    <t>Антицитокиновая терапия (да/нет)</t>
  </si>
  <si>
    <t>Антицитокиновая терапия название</t>
  </si>
  <si>
    <t>ИПП</t>
  </si>
  <si>
    <t>ИАПФ/БРАТ2</t>
  </si>
  <si>
    <t>Статины</t>
  </si>
  <si>
    <t>Дезагреганты</t>
  </si>
  <si>
    <t>Бетаблокаторы</t>
  </si>
  <si>
    <t>Антагонисты кальция</t>
  </si>
  <si>
    <t>АМКР</t>
  </si>
  <si>
    <t>Лонгидаза</t>
  </si>
  <si>
    <t>Эуфиллин</t>
  </si>
  <si>
    <t>Пентоксифиллин</t>
  </si>
  <si>
    <t>Витамин С</t>
  </si>
  <si>
    <t>Эр масса</t>
  </si>
  <si>
    <t>Другое лечение</t>
  </si>
  <si>
    <t>WBC V1 10*9</t>
  </si>
  <si>
    <t>NEUT%</t>
  </si>
  <si>
    <t>NEUTabs</t>
  </si>
  <si>
    <t>LYM%</t>
  </si>
  <si>
    <t>LYMabs</t>
  </si>
  <si>
    <t>MON%</t>
  </si>
  <si>
    <t>MONabs</t>
  </si>
  <si>
    <t>EOS%</t>
  </si>
  <si>
    <t>EOSabs</t>
  </si>
  <si>
    <t>NLR</t>
  </si>
  <si>
    <t>RBC V1 10*12</t>
  </si>
  <si>
    <t>HGB V1</t>
  </si>
  <si>
    <t>Анемия V1</t>
  </si>
  <si>
    <t>ESR V1</t>
  </si>
  <si>
    <t>PLT V1</t>
  </si>
  <si>
    <t>СРБ1</t>
  </si>
  <si>
    <t>WBC V2 10*9</t>
  </si>
  <si>
    <t>RBC V2 10*12</t>
  </si>
  <si>
    <t>HGB V2</t>
  </si>
  <si>
    <t>Анемия</t>
  </si>
  <si>
    <t>ESR V2</t>
  </si>
  <si>
    <t>PLT V2</t>
  </si>
  <si>
    <t>СРБ 2</t>
  </si>
  <si>
    <t>фибриноген1</t>
  </si>
  <si>
    <t>АЧТВ V1</t>
  </si>
  <si>
    <t>ПВ V1</t>
  </si>
  <si>
    <t>МНО V1</t>
  </si>
  <si>
    <t>D-димер</t>
  </si>
  <si>
    <t>фибриноген 2</t>
  </si>
  <si>
    <t>АЧТВ V2</t>
  </si>
  <si>
    <t>ПВ V2</t>
  </si>
  <si>
    <t>МНО V2</t>
  </si>
  <si>
    <t>Фибриноген V2</t>
  </si>
  <si>
    <t>Глюкоза при поступлении</t>
  </si>
  <si>
    <t>Глюкоза последний результат</t>
  </si>
  <si>
    <t>АЛТ1</t>
  </si>
  <si>
    <t>АСТ1</t>
  </si>
  <si>
    <t>общий белок1</t>
  </si>
  <si>
    <t>билирубин общий1</t>
  </si>
  <si>
    <t>билирубин прямой1</t>
  </si>
  <si>
    <t>креатинин1</t>
  </si>
  <si>
    <t>СКФ1</t>
  </si>
  <si>
    <t>Стадия ХБП1</t>
  </si>
  <si>
    <t>Натрий1</t>
  </si>
  <si>
    <t>Калий1</t>
  </si>
  <si>
    <t>АЛТ 2</t>
  </si>
  <si>
    <t>АСТ 2</t>
  </si>
  <si>
    <t>общий белок2</t>
  </si>
  <si>
    <t>билирубин общий2</t>
  </si>
  <si>
    <t>билирубин прямой2</t>
  </si>
  <si>
    <t>креатинин2</t>
  </si>
  <si>
    <t>СКФ2</t>
  </si>
  <si>
    <t>Стадия ХБП2</t>
  </si>
  <si>
    <t>Натрий2</t>
  </si>
  <si>
    <t>Калий2</t>
  </si>
  <si>
    <t>Значение  y по формуле</t>
  </si>
  <si>
    <t>Значение P по формуле</t>
  </si>
  <si>
    <t>Расхождение</t>
  </si>
  <si>
    <t>Выписан</t>
  </si>
  <si>
    <t>м</t>
  </si>
  <si>
    <t>нет</t>
  </si>
  <si>
    <t>U 07.1 Коронавирусная инфекция, вызванная вирусом COVID-19, неподтверженная</t>
  </si>
  <si>
    <t>Внебольничная двусторонняя полисегментарная пневмония</t>
  </si>
  <si>
    <t>среднетяжелое</t>
  </si>
  <si>
    <t>да</t>
  </si>
  <si>
    <t>гепарин</t>
  </si>
  <si>
    <t>дексаметазон метилпреднизолон</t>
  </si>
  <si>
    <t>метипред</t>
  </si>
  <si>
    <t>омепразол</t>
  </si>
  <si>
    <t>апиксабан</t>
  </si>
  <si>
    <t>1, 01</t>
  </si>
  <si>
    <t>ж</t>
  </si>
  <si>
    <t>U 07.1 Коронавирусная инфекция, вызванная вирусом COVID-19, подтверженная</t>
  </si>
  <si>
    <t>левофлоксацин</t>
  </si>
  <si>
    <t>дексаметазон преднизолон</t>
  </si>
  <si>
    <t>ПИКС</t>
  </si>
  <si>
    <t>дексаметазон метипред</t>
  </si>
  <si>
    <t>эналаприл</t>
  </si>
  <si>
    <t>тяжелое</t>
  </si>
  <si>
    <t>амоксиклав</t>
  </si>
  <si>
    <t>дексаметазон</t>
  </si>
  <si>
    <t>апиксабан, фавипиравир</t>
  </si>
  <si>
    <t>ободочная кишка</t>
  </si>
  <si>
    <t>нетакимаб</t>
  </si>
  <si>
    <t>дексаметазон, метипред</t>
  </si>
  <si>
    <t>цефтриаксон</t>
  </si>
  <si>
    <t>лизиноприл</t>
  </si>
  <si>
    <t>амлодипин</t>
  </si>
  <si>
    <t>инсулинонезависимый</t>
  </si>
  <si>
    <t>левофлоксацин, цефтриаксон</t>
  </si>
  <si>
    <t>апиксабан, прадакса</t>
  </si>
  <si>
    <t>стенокардия напряжения</t>
  </si>
  <si>
    <t>цефтриксон</t>
  </si>
  <si>
    <t>прадакса</t>
  </si>
  <si>
    <t>периндоприл</t>
  </si>
  <si>
    <t>аторвастатин</t>
  </si>
  <si>
    <t>продакса, ацекардол</t>
  </si>
  <si>
    <t>инсулинозависимый</t>
  </si>
  <si>
    <t>сульперазон</t>
  </si>
  <si>
    <t>флуконазол</t>
  </si>
  <si>
    <t>фавипиравир</t>
  </si>
  <si>
    <t>метилпреднизолон, дексаметазон</t>
  </si>
  <si>
    <t>стероидный</t>
  </si>
  <si>
    <t>Сердечная недостаточность</t>
  </si>
  <si>
    <t>цефтриаксон, азитрмицин</t>
  </si>
  <si>
    <t>метипред, дексаметазон</t>
  </si>
  <si>
    <t>преднизолон, метипред, дексаметазон</t>
  </si>
  <si>
    <t>ксарелто</t>
  </si>
  <si>
    <t>азитромицин</t>
  </si>
  <si>
    <t>транексам, этамзилат</t>
  </si>
  <si>
    <t>симбикорт,беродуал</t>
  </si>
  <si>
    <t>пароксизмальная ФП</t>
  </si>
  <si>
    <t>дексаметазон, преднизолон</t>
  </si>
  <si>
    <t>фамотидин,церекард,амиодарон, цитофлавин</t>
  </si>
  <si>
    <t>инсулинзависимый</t>
  </si>
  <si>
    <t>лефлобакт</t>
  </si>
  <si>
    <t>эликвис</t>
  </si>
  <si>
    <t>метилпреднизолон</t>
  </si>
  <si>
    <t>дексаметазон, метипреднизолон</t>
  </si>
  <si>
    <t>мексидол,эликвис,тиамин,гептрал</t>
  </si>
  <si>
    <t>индапамид</t>
  </si>
  <si>
    <t>гепарин, прадакса</t>
  </si>
  <si>
    <t>бисопролол</t>
  </si>
  <si>
    <t>фамотиди, стерофундин, бромгексин, моксонидин</t>
  </si>
  <si>
    <t>омепрозол, гептрал, пентоксифиллин</t>
  </si>
  <si>
    <t>омепрозол, прегабалин, цитиколин, эналаприл</t>
  </si>
  <si>
    <t>цефриаксон,лефлобакт</t>
  </si>
  <si>
    <t>омепрозол,эликвис,</t>
  </si>
  <si>
    <t>омепрозол,</t>
  </si>
  <si>
    <t>срднетяжелое</t>
  </si>
  <si>
    <t>омез, амброксол, прадакса</t>
  </si>
  <si>
    <t>омепрозол,ринсулин</t>
  </si>
  <si>
    <t>омепрозол</t>
  </si>
  <si>
    <t>омепрозол, эликвис, эналаприл,пентоксифилин</t>
  </si>
  <si>
    <t>эниксум, омепрозол, эликвис</t>
  </si>
  <si>
    <t>омез,амитриптилин, бисопролол</t>
  </si>
  <si>
    <t>цефоперазон/сульбактам, лефофлоксацин</t>
  </si>
  <si>
    <t>омепрозол, эликвис, амброкосол</t>
  </si>
  <si>
    <t>омепрозол, эликвис,пентоксифиллин</t>
  </si>
  <si>
    <t>омепрозол, эликвис</t>
  </si>
  <si>
    <t>&gt;0,19</t>
  </si>
  <si>
    <t>омепрозол,пентоксифиллин, эликвис</t>
  </si>
  <si>
    <t>1, 02</t>
  </si>
  <si>
    <t>цефтриаксон, азитромицин</t>
  </si>
  <si>
    <t>1 БСМП</t>
  </si>
  <si>
    <t>молочная железа</t>
  </si>
  <si>
    <t>ГПОД</t>
  </si>
  <si>
    <t>цефтриаксон, левофлоксацин</t>
  </si>
  <si>
    <t>дексаметазон,ивепред</t>
  </si>
  <si>
    <t>сарилумаб</t>
  </si>
  <si>
    <t>верошпирон</t>
  </si>
  <si>
    <t>отриц</t>
  </si>
  <si>
    <t>барицитиниб, нетакимаб</t>
  </si>
  <si>
    <t xml:space="preserve">неалкогольный стеатогепатит низкой степени активности </t>
  </si>
  <si>
    <t>извазивный кандидоз</t>
  </si>
  <si>
    <t>барицитиниб</t>
  </si>
  <si>
    <t>экватор</t>
  </si>
  <si>
    <t>метопролол</t>
  </si>
  <si>
    <t>будесонид,фамотидин,амброксол,берлитион,нейробион,адаптол,пимафуцин,энтерол</t>
  </si>
  <si>
    <t xml:space="preserve">бронхиальная астма, смешанная форма, контролируемая </t>
  </si>
  <si>
    <t>будесонид</t>
  </si>
  <si>
    <t>Стенокардия напряжения, ПИКС</t>
  </si>
  <si>
    <t xml:space="preserve">Недостаточность МК 2 ст., ТК 2ст., Дилатация предсердий, Гипертрофия ЛЖУмеренная легочная гипертензия , хр. внутренний геморрой </t>
  </si>
  <si>
    <t>левилимаб, барицитиниб</t>
  </si>
  <si>
    <t>вальсакор</t>
  </si>
  <si>
    <t>аторис</t>
  </si>
  <si>
    <t>есть</t>
  </si>
  <si>
    <t>псориаз</t>
  </si>
  <si>
    <t>тоцилизумаб</t>
  </si>
  <si>
    <t>фамотидин, флюкостат</t>
  </si>
  <si>
    <t>крайнетяжелое</t>
  </si>
  <si>
    <t xml:space="preserve">спутник </t>
  </si>
  <si>
    <t>левофлоксацин,цефтриаксон</t>
  </si>
  <si>
    <t>метилпреднизлон</t>
  </si>
  <si>
    <t>фамотидин, вит Д</t>
  </si>
  <si>
    <t>СН</t>
  </si>
  <si>
    <t>бронхиальная астма смешанная форма, средней степени тяжести, контролируемая, саркоидоз легких</t>
  </si>
  <si>
    <t>верапамил</t>
  </si>
  <si>
    <t>симбикорт</t>
  </si>
  <si>
    <t>олокизумаб</t>
  </si>
  <si>
    <t>амброксол, флуимуцил,будесонид</t>
  </si>
  <si>
    <t>варикозное расширение вен НК, инвазивный кандидоз</t>
  </si>
  <si>
    <t>лозартан</t>
  </si>
  <si>
    <t>фамотидин</t>
  </si>
  <si>
    <t xml:space="preserve">Бронхиальная астма </t>
  </si>
  <si>
    <t>левилимаб</t>
  </si>
  <si>
    <t>амброксол</t>
  </si>
  <si>
    <t>идиопатический тромбоцитоз</t>
  </si>
  <si>
    <t>спутник</t>
  </si>
  <si>
    <t>парацетамол</t>
  </si>
  <si>
    <t>экоклав</t>
  </si>
  <si>
    <t>тоцилизумаб,барицитиниб</t>
  </si>
  <si>
    <t xml:space="preserve">НАЖБП. Стеатогепатит низкой степени активности </t>
  </si>
  <si>
    <t>метирпед</t>
  </si>
  <si>
    <t>патнопразол</t>
  </si>
  <si>
    <t>цефтриаксон,левофлоксацин</t>
  </si>
  <si>
    <t>МКБ. Подагра</t>
  </si>
  <si>
    <t>ЖКБ</t>
  </si>
  <si>
    <t>цефтриаксон,левофлоксацин,меронем</t>
  </si>
  <si>
    <t>преднизолон,дексаметазон</t>
  </si>
  <si>
    <t>ЦВБ. ЖКБ. Варикозная болезнь НК</t>
  </si>
  <si>
    <t>ивепред,метипред,</t>
  </si>
  <si>
    <t>эликвис,предуктал ОД, глибенкламид</t>
  </si>
  <si>
    <t>метипред,дексаметазон</t>
  </si>
  <si>
    <t>пульмикорт,ринсулин</t>
  </si>
  <si>
    <t>Хр. гастрит ремиссия</t>
  </si>
  <si>
    <t>цефтриаксон,сульперазон</t>
  </si>
  <si>
    <t>ивепред,дексаметазон</t>
  </si>
  <si>
    <t>яквинус</t>
  </si>
  <si>
    <t>ВРВНК</t>
  </si>
  <si>
    <t>пароксизмальная форма ФП</t>
  </si>
  <si>
    <t xml:space="preserve">Бронхиальная астма смешаной формы , хр. неврит лицевого нерва </t>
  </si>
  <si>
    <t>джозамицин</t>
  </si>
  <si>
    <t>преднизолон</t>
  </si>
  <si>
    <t>умифеновир</t>
  </si>
  <si>
    <t xml:space="preserve">МКБ вне обострения </t>
  </si>
  <si>
    <t>дексаметазон,метипред</t>
  </si>
  <si>
    <t>будесонид,форсига,метформин,гликлазид</t>
  </si>
  <si>
    <t>амоксициллин,левофлоксацин</t>
  </si>
  <si>
    <t xml:space="preserve">НАЖБП. Стеатогепатит минимальной степени активности </t>
  </si>
  <si>
    <t>рак матки, мтс паренхимы обоих легких,мягких тканей брюшной стенки</t>
  </si>
  <si>
    <t>Вторичные изменения паренхимы обоих легких, мягких тканей брюшной стенки. Малый плевральный выпот справа.</t>
  </si>
  <si>
    <t>фамотидин,ксарелто</t>
  </si>
  <si>
    <t>полож.</t>
  </si>
  <si>
    <t>нарушение толерантности к глюкозе</t>
  </si>
  <si>
    <t>Хр. гастрит , ремиссия. Деформирующий остеоартроз с преимущесвенным поражением коленных суставов.</t>
  </si>
  <si>
    <t>моксонидин</t>
  </si>
  <si>
    <t>Трансаминаземия смешанного генеза</t>
  </si>
  <si>
    <t>цефтриаксон,цефоперазон,сульбактам</t>
  </si>
  <si>
    <t>дексаметазон,метилпреднизолон</t>
  </si>
  <si>
    <t>отриц.</t>
  </si>
  <si>
    <t>Вульгарный псориаз</t>
  </si>
  <si>
    <t>Варикозная болезнь вен НК</t>
  </si>
  <si>
    <t>цефтриаксон,левофлоксацин, амоксиклав</t>
  </si>
  <si>
    <t>пульмикорт</t>
  </si>
  <si>
    <t>дексаметазон,метирпед</t>
  </si>
  <si>
    <t xml:space="preserve">Варикозная болезнь нижних конечностей </t>
  </si>
  <si>
    <t>вит д</t>
  </si>
  <si>
    <t>отр</t>
  </si>
  <si>
    <t>меропенем,цефтриаксон,левофлоксацин</t>
  </si>
  <si>
    <t>конкор АМ</t>
  </si>
  <si>
    <t>реамберин</t>
  </si>
  <si>
    <t>базальноклеточная карцинома</t>
  </si>
  <si>
    <t>метипред 16</t>
  </si>
  <si>
    <t>энап</t>
  </si>
  <si>
    <t>фамотидин, актовегин</t>
  </si>
  <si>
    <t>50.4</t>
  </si>
  <si>
    <t xml:space="preserve">НЦД по гипертоническому типу, синусовая тахикардия </t>
  </si>
  <si>
    <t>кларитромицин,цефтриаксон</t>
  </si>
  <si>
    <t>цефтриаксон,левофлоксацин,амоксиклав</t>
  </si>
  <si>
    <t>персистирующая ФП</t>
  </si>
  <si>
    <t>цефтриаксон,левофлоксацин,амоксиклав,меропенем</t>
  </si>
  <si>
    <t>метронидазол,флуконазол</t>
  </si>
  <si>
    <t>лизиноприл,периндоприл</t>
  </si>
  <si>
    <t>конкор</t>
  </si>
  <si>
    <t xml:space="preserve">ЯБ 12-ти перстной кишки вне обостения </t>
  </si>
  <si>
    <t>цефтриаксон,левофлоксацин,</t>
  </si>
  <si>
    <t>метипроед</t>
  </si>
  <si>
    <t>дексаметазон,преднизолон,метипред</t>
  </si>
  <si>
    <t>апиксабан,фамотидин,будесонид,пульмикорт</t>
  </si>
  <si>
    <t>метипред 12</t>
  </si>
  <si>
    <t>цефтриаксон,левофлоксацин,ванкомицин</t>
  </si>
  <si>
    <t>амброксол,ринсулин</t>
  </si>
  <si>
    <t>кандидоз слизистой полости рта МКБ камни левой почки. Эритроцитурия</t>
  </si>
  <si>
    <t>фамотидин,октолипен,реамберин,будесонид</t>
  </si>
  <si>
    <t>ЦВБ ОНМК</t>
  </si>
  <si>
    <t>дексаметазон,метипред,преднол</t>
  </si>
  <si>
    <t>ПБЛНПГ</t>
  </si>
  <si>
    <t>д</t>
  </si>
  <si>
    <t>фавипиравир,будесонид</t>
  </si>
  <si>
    <t>среднетяэжелое</t>
  </si>
  <si>
    <t>дексаметазон,метпред,ивипред</t>
  </si>
  <si>
    <t>цефтриаксон,амоксиклав</t>
  </si>
  <si>
    <t>бакцефорт</t>
  </si>
  <si>
    <t>лозап,эуфиллин,фуросемид</t>
  </si>
  <si>
    <t>стеатоз печени</t>
  </si>
  <si>
    <t>амоксициллин</t>
  </si>
  <si>
    <t>дзожамицин</t>
  </si>
  <si>
    <t>левофлоксацин,меропенем</t>
  </si>
  <si>
    <t>ивепред,дексаметазон,метипред</t>
  </si>
  <si>
    <t>Варикозная болезнь нижних конечностей с2 ст. с обеих сторон</t>
  </si>
  <si>
    <t>среднетяэелое</t>
  </si>
  <si>
    <t>левофлоксацин,</t>
  </si>
  <si>
    <t>десаметазон,метипред</t>
  </si>
  <si>
    <t>ТРомбоцитопения неясного генеза, ревматоидный артрит</t>
  </si>
  <si>
    <t>дексаметазон,преднизолон</t>
  </si>
  <si>
    <t>кандидоз ротовой плости</t>
  </si>
  <si>
    <t>цефтриаксон,левофлоксацин,меропенем</t>
  </si>
  <si>
    <t>дексаметазон,метилпреднизолон,ивепред</t>
  </si>
  <si>
    <t>тофацитиниб</t>
  </si>
  <si>
    <t>нольпаза,вит в1,в6,апиксабан</t>
  </si>
  <si>
    <t>цефтриаксон,левофлоксацин,меропенем,амоксиклав,ванкомицин</t>
  </si>
  <si>
    <t>нетакимаб,тоцилизумаб</t>
  </si>
  <si>
    <t>суфрактант БЛ</t>
  </si>
  <si>
    <t>амоксиклав,цефтриаксон</t>
  </si>
  <si>
    <t>вит.Д,будесонид</t>
  </si>
  <si>
    <t>миома матки</t>
  </si>
  <si>
    <t xml:space="preserve">ЖКБ ремиссия </t>
  </si>
  <si>
    <t>будесонид,спиронолактон,фамотидин,вит Д, АЦЦ</t>
  </si>
  <si>
    <t>стенокадия напряжения</t>
  </si>
  <si>
    <t xml:space="preserve">ревматоидный артрит </t>
  </si>
  <si>
    <t>цефоперазон</t>
  </si>
  <si>
    <t>гепарие</t>
  </si>
  <si>
    <t>метипред 20</t>
  </si>
  <si>
    <t>касиривимаб,имдевимаб</t>
  </si>
  <si>
    <t>розувастатин</t>
  </si>
  <si>
    <t>клексан</t>
  </si>
  <si>
    <t>ЦВБ энцефалопатия смешанного генеза. посттравматическая субдуральная гематома. ЦВБ ОНМК</t>
  </si>
  <si>
    <t>метирпред</t>
  </si>
  <si>
    <t>стенокардия напряжение. ПИКС</t>
  </si>
  <si>
    <t>ОНМК</t>
  </si>
  <si>
    <t>Варикозное расширение вен НК</t>
  </si>
  <si>
    <t>будесонид,парацетамол,фамотидин,индапамид,нейпилепт</t>
  </si>
  <si>
    <t>опухоль мочевого пузыря</t>
  </si>
  <si>
    <t xml:space="preserve">Хр. гастрит ремиссия. Гематурия. </t>
  </si>
  <si>
    <t>метпред</t>
  </si>
  <si>
    <t>гипертрансфераземия смешанного генеза. МКБ конкремент левой почки. Киста левой почки</t>
  </si>
  <si>
    <t>цефтриаксон,левофлоксацинЮмеропенем</t>
  </si>
  <si>
    <t>дексаметазон,ивепред,метипред</t>
  </si>
  <si>
    <t xml:space="preserve">диабетическая нефропатия </t>
  </si>
  <si>
    <t>даксаметазон,метипред</t>
  </si>
  <si>
    <t>реамберин,октолипен,эликвис</t>
  </si>
  <si>
    <t>Варикозная болезнь НК</t>
  </si>
  <si>
    <t>азитромицин,цефтриаксон</t>
  </si>
  <si>
    <t>магния сульфат,пульмикорт,фамотидин</t>
  </si>
  <si>
    <t>Варикозная болезнь НК. МКБ вне обострения</t>
  </si>
  <si>
    <t>дексаметазон,преднизолон,метпред</t>
  </si>
  <si>
    <t>вит Д</t>
  </si>
  <si>
    <t>тикагрелор</t>
  </si>
  <si>
    <t>умифеновир,ацекардол</t>
  </si>
  <si>
    <t>биспролол</t>
  </si>
  <si>
    <t>пульмикорт,ко-перинева</t>
  </si>
  <si>
    <t xml:space="preserve">неалкогольный стеатогепатит. ЖКЬ. Простая антибиотикоассоциированная диарея </t>
  </si>
  <si>
    <t>цефтриаксон,левофлоксацин,меропенем,ванкомицин</t>
  </si>
  <si>
    <t>метронидазол</t>
  </si>
  <si>
    <t>креон,мильгамма,октолипен,атровент,пульмикорт</t>
  </si>
  <si>
    <t>фамотидин,реамберин</t>
  </si>
  <si>
    <t xml:space="preserve">да </t>
  </si>
  <si>
    <t>фамотидин,феррум лек,окситоцин</t>
  </si>
  <si>
    <t xml:space="preserve">Камень желчного пузыря. МКБ. хр. цистит вне обострения </t>
  </si>
  <si>
    <t>цефтриаксон,левофлоксацин,ванкомицин,амоксиклав</t>
  </si>
  <si>
    <t>фуросемид,неосмектин,индометацин,ношпа,канефрон Н</t>
  </si>
  <si>
    <t>вит Д,будесонид,фавипиравир</t>
  </si>
  <si>
    <t>цефтриаксон,левофлоксацин,цефоперазон,сульбактам</t>
  </si>
  <si>
    <t>Хр. бронхит</t>
  </si>
  <si>
    <t>бициллин</t>
  </si>
  <si>
    <t>бисопролол,метопролол</t>
  </si>
  <si>
    <t>веошпирон</t>
  </si>
  <si>
    <t>вит Д,анальгин,папаверинг,торасемид,амброксол,фуросемид,фамотидин,моксонидин</t>
  </si>
  <si>
    <t>гестационный</t>
  </si>
  <si>
    <t xml:space="preserve">Состояние после экстренного КС. Вертеброгенная люмбалгия, мышечно-тонический синдром, дисфункция лонного сочленения, варикозное расширение вен НК. Гестагенный СД. НЖО 2 ст. Гестационная тромбоцитопения. Ифекция половых путей </t>
  </si>
  <si>
    <t>лизобакт</t>
  </si>
  <si>
    <t>меропенем,линезолид</t>
  </si>
  <si>
    <t>ивепред</t>
  </si>
  <si>
    <t>кеторол,окситоцин</t>
  </si>
  <si>
    <t>Мертв</t>
  </si>
  <si>
    <t>COVID-19</t>
  </si>
  <si>
    <t>цефтриаксон; левофлоксацин; бакцефорт; тиепенем</t>
  </si>
  <si>
    <t>эноксапарин</t>
  </si>
  <si>
    <t>метилпреднизолон; дексаметазон</t>
  </si>
  <si>
    <t>метипред, ивепред</t>
  </si>
  <si>
    <t>4; 250</t>
  </si>
  <si>
    <t>нейпилепт; фамотидин; либексин</t>
  </si>
  <si>
    <t>хронический бронхит</t>
  </si>
  <si>
    <t>дексаметазон; преднихолон</t>
  </si>
  <si>
    <t>фамотидин, кали хлорид+магния сульфат, моксонидин. Изокардин</t>
  </si>
  <si>
    <t>-</t>
  </si>
  <si>
    <t>гемолиз</t>
  </si>
  <si>
    <t>отрицательный</t>
  </si>
  <si>
    <t>2 типа</t>
  </si>
  <si>
    <t>атеросклеротический кардиосклероз</t>
  </si>
  <si>
    <t>2А</t>
  </si>
  <si>
    <t>подагра; кисты почек</t>
  </si>
  <si>
    <t>фамотидин, нейпилепт</t>
  </si>
  <si>
    <t>слабо положительный; фибриноген 2 = 336</t>
  </si>
  <si>
    <t>постинфарктный кардиосклероз</t>
  </si>
  <si>
    <t>???</t>
  </si>
  <si>
    <t>дексаметазон, метипред, будесонид</t>
  </si>
  <si>
    <t>линезолид; фуросемид</t>
  </si>
  <si>
    <t>цефтриаксон; левофлоксацин</t>
  </si>
  <si>
    <t>интраканазол</t>
  </si>
  <si>
    <t>гепарин, ривароксабан</t>
  </si>
  <si>
    <t>метилпреднизолон; дексаметазон; будесонид</t>
  </si>
  <si>
    <t>положительный</t>
  </si>
  <si>
    <t>артериальная гипертензия</t>
  </si>
  <si>
    <t>цефтриаксон, левофлоксацин, меронем</t>
  </si>
  <si>
    <t>ривароксабан</t>
  </si>
  <si>
    <t>дексаметазон, метилпреднизолон</t>
  </si>
  <si>
    <t>24, 5</t>
  </si>
  <si>
    <t>иммуноглобулин человеческий норм, ЦНС</t>
  </si>
  <si>
    <t>ЯБЖ</t>
  </si>
  <si>
    <t>альбумин, нейпилепт, вит Д</t>
  </si>
  <si>
    <t>хронический подагрический артрит</t>
  </si>
  <si>
    <t>дексаметазон, будесонид</t>
  </si>
  <si>
    <t>24; 1</t>
  </si>
  <si>
    <t>стенокардия напряжения 3 ФК. ФП. Восстановление ритма</t>
  </si>
  <si>
    <t>моксифлоксацин; цефтриаксон; меропенем</t>
  </si>
  <si>
    <t>дексаметазон; метипред</t>
  </si>
  <si>
    <t>8; 4</t>
  </si>
  <si>
    <t>1000; 16</t>
  </si>
  <si>
    <t>левилимаб; кевзара</t>
  </si>
  <si>
    <t>сурфактант; лазикс; кордарон; ЦНС; амиодарон</t>
  </si>
  <si>
    <t>слабо положительный</t>
  </si>
  <si>
    <t>хронический бронхит вне обострения, подагра, ДГПЖ, перенесенное ОНМК</t>
  </si>
  <si>
    <t>цефтриаксон, левофлоксацин, меропенем, ванкомицин,</t>
  </si>
  <si>
    <t>эноксапарин, гепарин</t>
  </si>
  <si>
    <t>метилпреднизолон,</t>
  </si>
  <si>
    <t>гипотиреоз</t>
  </si>
  <si>
    <t>моксифлоксацин, цефтриаксон</t>
  </si>
  <si>
    <t>1000; 32</t>
  </si>
  <si>
    <t>олокизумаб, барицитиниб</t>
  </si>
  <si>
    <t>фамотидин, амброксол, цитофлавин, эутирокс</t>
  </si>
  <si>
    <t>цефтриаксон, левофлокацин, меропенем</t>
  </si>
  <si>
    <t>32; 24</t>
  </si>
  <si>
    <t>моксонидин, сульперазон</t>
  </si>
  <si>
    <t>пупочная грыжка, холецистэктомия 1988</t>
  </si>
  <si>
    <t>цефтриаксон, левофлоксацин, меропенем</t>
  </si>
  <si>
    <t>метилпреднизолон, дексаметазон, будесонид</t>
  </si>
  <si>
    <t>мексидол, калий, адаптол</t>
  </si>
  <si>
    <t>слабо положительное</t>
  </si>
  <si>
    <t>7,8??</t>
  </si>
  <si>
    <t>близорукость, ОНМК, аппендэктомия 1960</t>
  </si>
  <si>
    <t>дексаметазон, метилпреднизолон, будесонид</t>
  </si>
  <si>
    <t>32; 500; 1</t>
  </si>
  <si>
    <t>транексамовая кислота, альтеплаза, фамотидин, амиодарон</t>
  </si>
  <si>
    <t>цефтриаксон, ванккомицин, левофлоксацин, меропенем</t>
  </si>
  <si>
    <t>20; 32</t>
  </si>
  <si>
    <t>почти</t>
  </si>
  <si>
    <t>флуконазол, интраканазол</t>
  </si>
  <si>
    <t>метилпреднизолон, метипред</t>
  </si>
  <si>
    <t>олокизумаб, тоцилизумаб</t>
  </si>
  <si>
    <t>тромб масса, линекс, гептрал, мексидол, фуросемид, линезолид, пиперациллин+тазобактам, дренирование плевр полости</t>
  </si>
  <si>
    <t>?</t>
  </si>
  <si>
    <t>1000; 32; 5</t>
  </si>
  <si>
    <t>амброксол, фамотидин, ренгалин</t>
  </si>
  <si>
    <t>ЖКБ: хронический холецистит</t>
  </si>
  <si>
    <t>дексаметазон, ивепред, метипред, будесонид</t>
  </si>
  <si>
    <t>32; 500; 16</t>
  </si>
  <si>
    <t>экстрасистолия</t>
  </si>
  <si>
    <t>левофлоксацин, цефтриаксон, меропенем</t>
  </si>
  <si>
    <t>гепарин, эноксипарин</t>
  </si>
  <si>
    <t>16; 6</t>
  </si>
  <si>
    <t>н</t>
  </si>
  <si>
    <t>ЦНС, фамотидин, адаптол, сибазон</t>
  </si>
  <si>
    <t>Гипотиреоз. остеоартроз. холецистэктомия. аппендэктомия.</t>
  </si>
  <si>
    <t>левофлоксацин, цефтриаксон, амоксиклав</t>
  </si>
  <si>
    <t>2|1</t>
  </si>
  <si>
    <t>32; 0,5</t>
  </si>
  <si>
    <t>фамотидин; эутирокс, будесонид</t>
  </si>
  <si>
    <t>лев.м/ж T2N0M0 прав.м/ж T3N1M0</t>
  </si>
  <si>
    <t>СН 2</t>
  </si>
  <si>
    <t>дексаметазон; преднизолон</t>
  </si>
  <si>
    <t>32; 180</t>
  </si>
  <si>
    <t>фамотидин; промедол, норадреналин, кеторолак</t>
  </si>
  <si>
    <t>&gt;1200</t>
  </si>
  <si>
    <t>цефтриаксон, меропенем</t>
  </si>
  <si>
    <t>32; 6</t>
  </si>
  <si>
    <t>левилимаб, упадацитиниб</t>
  </si>
  <si>
    <t>сурфактант, бромгексин, фамотидин</t>
  </si>
  <si>
    <t xml:space="preserve">2 типа </t>
  </si>
  <si>
    <t>нарушение ритма</t>
  </si>
  <si>
    <t>ХОБЛ</t>
  </si>
  <si>
    <t>крайне тяжелое</t>
  </si>
  <si>
    <t>варфарин</t>
  </si>
  <si>
    <t>32; 5</t>
  </si>
  <si>
    <t>фамотидин, кордарон, пропофол, рокуроний, адреналин, норадреналин, фуросемид</t>
  </si>
  <si>
    <t>базалиома кожи</t>
  </si>
  <si>
    <t>гепарин, эноксапарин</t>
  </si>
  <si>
    <t>24; 24; 8</t>
  </si>
  <si>
    <t>фуросемид, фамотидин</t>
  </si>
  <si>
    <t>&lt;50 нг/л</t>
  </si>
  <si>
    <t>085??</t>
  </si>
  <si>
    <t>гепарин, фраксипарин</t>
  </si>
  <si>
    <t>вит Д, пропофол</t>
  </si>
  <si>
    <t>гамковивак</t>
  </si>
  <si>
    <t>метилпреднизолон; ивепред; дексаметазон</t>
  </si>
  <si>
    <t>6; 500; 32</t>
  </si>
  <si>
    <t>вит Д, фамотидин; ковид-глобулин; омепразол</t>
  </si>
  <si>
    <t>гепарин; эноксапарин</t>
  </si>
  <si>
    <t>вит Д, фамотидин</t>
  </si>
  <si>
    <t>аутоиммунный тиреоидит</t>
  </si>
  <si>
    <t>фуросемид; изосорбида динитрат</t>
  </si>
  <si>
    <t>метилпреднизолон, ивепред, дексаметазон</t>
  </si>
  <si>
    <t>500; 500; 32 потом 24</t>
  </si>
  <si>
    <t>вит Д, фуросемид</t>
  </si>
  <si>
    <t>легкая</t>
  </si>
  <si>
    <t>дексаметазон, метилпреднизолон; преднизолон</t>
  </si>
  <si>
    <t>24; 500; 60</t>
  </si>
  <si>
    <t>да 2 дозы</t>
  </si>
  <si>
    <t>анальгин; гемофильтрация; 6 доз тромбоконцентрата; 2 дозы свежезамороженной плазмы; вит Д; Л-тирозин; морфин; фуросемид; парацетамол; фентанил; парацетамол</t>
  </si>
  <si>
    <t>не понимаю что написано???</t>
  </si>
  <si>
    <t>азитромицин, левофлоксацин</t>
  </si>
  <si>
    <t>эноксипарин</t>
  </si>
  <si>
    <t>фамотидин, норадреналин, СЗП 2 дозы, лапаротомия-гематома</t>
  </si>
  <si>
    <t>3268 ЕД</t>
  </si>
  <si>
    <t>2909 ЕД</t>
  </si>
  <si>
    <t>тромбоцитопения неясного генеза, холецистэктомия 2019, замена хрусталика 2011</t>
  </si>
  <si>
    <t>??</t>
  </si>
  <si>
    <t>24; 180</t>
  </si>
  <si>
    <t>бромгексин, фамотидин, моксонидин</t>
  </si>
  <si>
    <t>фамотидин, амиодарон, вит Д</t>
  </si>
  <si>
    <t>преднизолон, дексаметазон, метилпреднизолон</t>
  </si>
  <si>
    <t>дексаметазон; метилпреднизолон</t>
  </si>
  <si>
    <t>32; 12</t>
  </si>
  <si>
    <t>амброксол, фамотидин</t>
  </si>
  <si>
    <t>бронхиальная атма</t>
  </si>
  <si>
    <t>цефтриаксон, меропенем, левофлоксацин</t>
  </si>
  <si>
    <t>дексаметазон, метилпреднизолон, серетид</t>
  </si>
  <si>
    <t>24; 4</t>
  </si>
  <si>
    <t>фамотидин, серетид, лозартан, моксонидин, урапидил</t>
  </si>
  <si>
    <t>дексаметазон; метилпреднизолон; преднизолон; будесонид</t>
  </si>
  <si>
    <t>24; 4; 60</t>
  </si>
  <si>
    <t>фамотидин; Вит Д; индапамид; Калий хлорид</t>
  </si>
  <si>
    <t>цефтриаксон; фторхинолон</t>
  </si>
  <si>
    <t>неконтролируемая</t>
  </si>
  <si>
    <t>ивепред, дексаметазон; будесонид</t>
  </si>
  <si>
    <t>1000; 32; 8</t>
  </si>
  <si>
    <t>цефтриаксон; ванкомицин</t>
  </si>
  <si>
    <t>эноксипарин; дабигатран; гепарин</t>
  </si>
  <si>
    <t>дексаметазон, метилпреднизолон; будесонид</t>
  </si>
  <si>
    <t>24; 6</t>
  </si>
  <si>
    <t>фамотидин, Вит Д; прадакса</t>
  </si>
  <si>
    <t>левофлоксацин; цефтриаксон</t>
  </si>
  <si>
    <t>500; 4</t>
  </si>
  <si>
    <t xml:space="preserve">дексаметазон </t>
  </si>
  <si>
    <t>умифеновир, амброксол</t>
  </si>
  <si>
    <t>&lt;0,5</t>
  </si>
  <si>
    <t>состоявшееся носовое кровотечение, кандидоз ротовой полости</t>
  </si>
  <si>
    <t>Сovid-19</t>
  </si>
  <si>
    <t xml:space="preserve">тяжелое </t>
  </si>
  <si>
    <t>амоксиклав, цефтриаксон</t>
  </si>
  <si>
    <t>цефтриаксон, левофлоксацин, меропенем, моксифлоксацин</t>
  </si>
  <si>
    <t>флуконазол, р-р кандида (клотримазол)</t>
  </si>
  <si>
    <t>гепарин, эноксапарин, ривароксабан</t>
  </si>
  <si>
    <t>дексаметазон, метипред, ивепред, метрогил дента</t>
  </si>
  <si>
    <t>32; 16; 500</t>
  </si>
  <si>
    <t>Аквалор, р-р Кандида, тиоктацид, вит В1 И В6, хлорид калия, мексидол, берлитион, альбумин 20%, панангин</t>
  </si>
  <si>
    <t>C-r прямой кишки</t>
  </si>
  <si>
    <t>и</t>
  </si>
  <si>
    <t xml:space="preserve">Covid-19 </t>
  </si>
  <si>
    <t xml:space="preserve">крайне тяжелое </t>
  </si>
  <si>
    <t>цефтриаксон, левофлоксацин, ванкомицин, цефоперазон</t>
  </si>
  <si>
    <t>32; 90</t>
  </si>
  <si>
    <t>индапамид, фамотидин, рокуроний</t>
  </si>
  <si>
    <t>диабетическая нефропатия</t>
  </si>
  <si>
    <t>Covid-19</t>
  </si>
  <si>
    <t>дексаметазон, метипред, преднизолон</t>
  </si>
  <si>
    <t xml:space="preserve">32; 16; 60 </t>
  </si>
  <si>
    <t>24 16</t>
  </si>
  <si>
    <t>фамотидин, амброксол, р-р адреналина 1 мл + 20 мл 0,9 р-ра NaCl</t>
  </si>
  <si>
    <t>нд</t>
  </si>
  <si>
    <t>пол(отр)</t>
  </si>
  <si>
    <t>цефтриаксон, левофлоксацин, меропенем, ванкомицин</t>
  </si>
  <si>
    <t>фамотидин, фуросемид, вит.Д</t>
  </si>
  <si>
    <t>хронический бронхит, хронический простатит</t>
  </si>
  <si>
    <t>ковивак</t>
  </si>
  <si>
    <t>метилпреднизолон, метипред, дексаметазон</t>
  </si>
  <si>
    <t>500; 32; 12</t>
  </si>
  <si>
    <t>500; 24</t>
  </si>
  <si>
    <t>реамберин, вит.Д, хлорид калия, солянокислая магнезия, глюкоза 5%, фамотидин, адаптол</t>
  </si>
  <si>
    <t>бронхиальная астма смешанного генеза</t>
  </si>
  <si>
    <t xml:space="preserve">среднетяжелое </t>
  </si>
  <si>
    <t>не помнит</t>
  </si>
  <si>
    <t>цефтриаксон, амоксиклав, левофлоксацин</t>
  </si>
  <si>
    <t>32; 20; 4</t>
  </si>
  <si>
    <t>32; 2</t>
  </si>
  <si>
    <t>фуросемид, вит.Д, калия хлорид</t>
  </si>
  <si>
    <t>с</t>
  </si>
  <si>
    <t>хронический гастрит</t>
  </si>
  <si>
    <t>цефтриаксон, левофлоксацин, меронем, ванкомицин</t>
  </si>
  <si>
    <t>дексаметазон, метил-преднизолон, метипред</t>
  </si>
  <si>
    <t>32; 500; 24</t>
  </si>
  <si>
    <t>вит.Д, фамотидин, фуросемид, адаптол, сонапакс, глюкоза 5%, калия хлорид</t>
  </si>
  <si>
    <t>тревожно-депрессивная реакция легкой степени, ситуационно обусловленная</t>
  </si>
  <si>
    <t>цефтриакон</t>
  </si>
  <si>
    <t>32; 20; 2</t>
  </si>
  <si>
    <t>фамотидин, вит.Д, мексидол, цитиколин, калия хлорид</t>
  </si>
  <si>
    <t>внутрисосудистый тромбоз ветвей легочной артерии</t>
  </si>
  <si>
    <t>метилпреднизолон, дексаметазон, пульмикорт</t>
  </si>
  <si>
    <t>500; 32; 2</t>
  </si>
  <si>
    <t>фамотидин, калия хлорид в/в</t>
  </si>
  <si>
    <t>48; 24; 4</t>
  </si>
  <si>
    <t>Дексаметазон</t>
  </si>
  <si>
    <t>фамотидин, метоклопрамид</t>
  </si>
  <si>
    <t>24; 20</t>
  </si>
  <si>
    <t>фамотидин, вит.Д, нейпилент (цитиколин)</t>
  </si>
  <si>
    <t>32; 28; 2</t>
  </si>
  <si>
    <t>пропофол, фуросемид</t>
  </si>
  <si>
    <t>гипертрансфераземия смешанного генеза</t>
  </si>
  <si>
    <t>меронем</t>
  </si>
  <si>
    <t>фраксипарин, гепарин</t>
  </si>
  <si>
    <t>24; 24</t>
  </si>
  <si>
    <t>фамотидин, фуросемид</t>
  </si>
  <si>
    <t>острый гнойный отит справа, поствоспалительная лицевая нейропатия справа, полинейропатия критических состояний, сенсомоторная форма</t>
  </si>
  <si>
    <t>цефтриаксон, ко-тримаксозол (бисептол)</t>
  </si>
  <si>
    <t>цефтриаксон, левофлоксацин, меропенем, амоксиклав, ципромед</t>
  </si>
  <si>
    <t>32; 28; 4</t>
  </si>
  <si>
    <t>цересил, пирацетам, сернокислая магнезия, вит. Гр. В1 и В6, мильгамма, флогензим, прозерин, кеторол, ципромед, снуп</t>
  </si>
  <si>
    <t>Состояние после холецистэктомии</t>
  </si>
  <si>
    <t>цефтриаксон, амоксиклав</t>
  </si>
  <si>
    <t>24; 400; 20</t>
  </si>
  <si>
    <t>метипред, метилпреднизолон</t>
  </si>
  <si>
    <t>20; 16</t>
  </si>
  <si>
    <t>фамотидин, вит. Д</t>
  </si>
  <si>
    <t>2а</t>
  </si>
  <si>
    <t>жкб, холецистектомия бду</t>
  </si>
  <si>
    <t>цефтриаксон, левофлоксацин,</t>
  </si>
  <si>
    <t>24; 24; 4</t>
  </si>
  <si>
    <t>16; 24</t>
  </si>
  <si>
    <t>фамотидин, вит.Д</t>
  </si>
  <si>
    <t>мкб, аденома надпочечников</t>
  </si>
  <si>
    <t>пол (отр)</t>
  </si>
  <si>
    <t>20; 24</t>
  </si>
  <si>
    <t>актелизе</t>
  </si>
  <si>
    <t>фамотидин, фуросемид, индапамид</t>
  </si>
  <si>
    <t>нарушение ритма по типу перманентной формф фибрилляции предсердий, тахисистолический вариант</t>
  </si>
  <si>
    <t>Значительная легочная гипертензия, атеросклероз аорты, недостаточность мк 3 ст, тк 3 ст, уплотннение створок ак, мк ХБВ С5</t>
  </si>
  <si>
    <t>цефтриаксон, моксифлоксацин</t>
  </si>
  <si>
    <t>метил-преднизолон, метипред</t>
  </si>
  <si>
    <t>фамотидин, ремдесивир, ивепред, амброксол, солянокислая магнезия</t>
  </si>
  <si>
    <t>валсартан</t>
  </si>
  <si>
    <t>фамотидин, вит.Д,</t>
  </si>
  <si>
    <t xml:space="preserve"> стенокардия напряжения ФК2</t>
  </si>
  <si>
    <t>Бронхиальная астма смешанная форма средней тяжести</t>
  </si>
  <si>
    <t>метипред, метил-преднизолон</t>
  </si>
  <si>
    <t>24; 250</t>
  </si>
  <si>
    <t>28; 32</t>
  </si>
  <si>
    <t>эдарби-кло</t>
  </si>
  <si>
    <t>форадил-комби, амброксол, глюкоза 5%, фамотидин, вит.Д, пульмикорт, беродуал, альбумин</t>
  </si>
  <si>
    <t>предстадия</t>
  </si>
  <si>
    <t>Умеренная легочная гипертензия</t>
  </si>
  <si>
    <t>цефтриаксон, левофлоксацин, цефоперазон/сульбактам</t>
  </si>
  <si>
    <t>32; 1000</t>
  </si>
  <si>
    <t>20;  250</t>
  </si>
  <si>
    <t>фамотидин, будесонид, пульмикорт</t>
  </si>
  <si>
    <t>нарушение ритма по типу желудочковой и наджелудочковой экстрасистолии</t>
  </si>
  <si>
    <t>Многоузловой токсический зоб, стадия медикаментозной ремиссии, состояние после правосторонней адреналэктомии 2007г, состояние после резекции правой почки, объемное образование левого надпочечника</t>
  </si>
  <si>
    <t>цефтриаксон, меронем</t>
  </si>
  <si>
    <t>престанс</t>
  </si>
  <si>
    <t>Диабетическая нейропатия, сенсоматорная форма</t>
  </si>
  <si>
    <t>фамотидин, парацетамол, беродуал</t>
  </si>
  <si>
    <t xml:space="preserve">32; 16; 90 </t>
  </si>
  <si>
    <t>фамотидин, KCL 4%? Вит.Д</t>
  </si>
  <si>
    <t>стенокардия напряжения 3 фк, наджелудочковая эс, АКШ</t>
  </si>
  <si>
    <t>дексаметазон, метипред, метилпреднизолон, пульмикорт</t>
  </si>
  <si>
    <t>ПИКС, ФП перманентная форма, тахисистолия</t>
  </si>
  <si>
    <t>соталол, метопролол</t>
  </si>
  <si>
    <t>фамотидин, фуросемид, максонидин</t>
  </si>
  <si>
    <t>32; 24; 60</t>
  </si>
  <si>
    <t>фамотидин, реамберин, вит.Д</t>
  </si>
  <si>
    <t>Спутник лайт</t>
  </si>
  <si>
    <t>32; 500</t>
  </si>
  <si>
    <t>ФП пароксизмальной формы</t>
  </si>
  <si>
    <t>Стеатогепатит низкой степени активности, посткатетеризационный уретрит</t>
  </si>
  <si>
    <t>24; 500</t>
  </si>
  <si>
    <t>лизинопрл</t>
  </si>
  <si>
    <t>амиодарон</t>
  </si>
  <si>
    <t>калия хлорид, глюкоза, сернокислая магнезия, фамотидин, дексмединмоксонидин, фуросемид</t>
  </si>
  <si>
    <t>ФП пароксизмальной формы, тахисистолия</t>
  </si>
  <si>
    <t>Энцефалопатия смешанного генеза</t>
  </si>
  <si>
    <t>цефтриаксон, левофлоксацин, цефоперазон+сульбактам</t>
  </si>
  <si>
    <t>фамотидин, калия хлорид, сернокислая магнезия, глюкоза 5%, вит.Д</t>
  </si>
  <si>
    <t>Хронический гастрит</t>
  </si>
  <si>
    <t>фамотидин, мексидол</t>
  </si>
  <si>
    <t>цефтриаксон, левофлоксацин, амоксиклав</t>
  </si>
  <si>
    <t>дексаметазон, метипред, ивепред</t>
  </si>
  <si>
    <t>24; 24; 500</t>
  </si>
  <si>
    <t>24; 16</t>
  </si>
  <si>
    <t>пирацетам, линезолид, вит.Д., фамотидин, хлорид калия, фуросемид, сернокислая магнезия</t>
  </si>
  <si>
    <t>дексаметазон, ивепред, метипред</t>
  </si>
  <si>
    <t>32; 1000; 20</t>
  </si>
  <si>
    <t>24; 32</t>
  </si>
  <si>
    <t>фамотидин, вит.Д, калия хлорид, кальция хлорид, парацетамол, анальгин, димедрол, морфин, промедол, сибазон</t>
  </si>
  <si>
    <t>фамотидин, цитиколин, вит.Д</t>
  </si>
  <si>
    <t>2б</t>
  </si>
  <si>
    <t>Бронхиальная астма, диабетическая нефропатия</t>
  </si>
  <si>
    <t>дексаметазон, ивепред</t>
  </si>
  <si>
    <t>48; 500</t>
  </si>
  <si>
    <t>стенокардия напряжения 2фк</t>
  </si>
  <si>
    <t xml:space="preserve">ЦВБ вследствие церебрального атеросклероза и гипертонической болезни, ХИМ III ст., синдром вестибулопатии с кмеренными когнитивными нарушениями. ОНМК. Хронический простатит, ремиссия. </t>
  </si>
  <si>
    <t>16; 32</t>
  </si>
  <si>
    <t>фамотидин, амброксол, вит.Д, глюкоза 5%</t>
  </si>
  <si>
    <t>Ожирение III степени</t>
  </si>
  <si>
    <t>фамотидин, фуросемид, хлорид калия, глюеоза 5%, солянокислая магнезия</t>
  </si>
  <si>
    <t>ХОБЛ, Вибрационная болезнь</t>
  </si>
  <si>
    <t>левофлоксацин, амоксиклав, цефтриаксон, ванкомицин</t>
  </si>
  <si>
    <t xml:space="preserve">ИБ апрель </t>
  </si>
  <si>
    <t>тут начнет Д.Д.</t>
  </si>
  <si>
    <t>тут Лена начнет живых</t>
  </si>
  <si>
    <t>выписан</t>
  </si>
  <si>
    <t>тяжелое течение</t>
  </si>
  <si>
    <t>будесонид, фамотидин, вит.D3</t>
  </si>
  <si>
    <t>нжбп, стеатогепатит с минимальной ферментативной активностью</t>
  </si>
  <si>
    <t>средне тяжелое течение</t>
  </si>
  <si>
    <t>24, 24</t>
  </si>
  <si>
    <t>верошпирон, фуросемид, калия хлорид, будесонид</t>
  </si>
  <si>
    <t>инсулиннезависимый</t>
  </si>
  <si>
    <t>мкб, камень левой почки</t>
  </si>
  <si>
    <t xml:space="preserve">COVID-19 </t>
  </si>
  <si>
    <t>пульмикорт, новатрон</t>
  </si>
  <si>
    <t>24, 16</t>
  </si>
  <si>
    <t>эликвис, вит.Д</t>
  </si>
  <si>
    <t>диабетическая нефропатия, ХБП 3б</t>
  </si>
  <si>
    <t xml:space="preserve"> да</t>
  </si>
  <si>
    <t xml:space="preserve">средне тяжёлое течение </t>
  </si>
  <si>
    <t xml:space="preserve">Цефтриаксон </t>
  </si>
  <si>
    <t xml:space="preserve">омепразол </t>
  </si>
  <si>
    <t>11,,8</t>
  </si>
  <si>
    <t xml:space="preserve">выписан </t>
  </si>
  <si>
    <t>цвб, хим IIст</t>
  </si>
  <si>
    <t xml:space="preserve">тяжелое течение </t>
  </si>
  <si>
    <t xml:space="preserve">дексаметазон, метилпреднизолон </t>
  </si>
  <si>
    <t xml:space="preserve">метилпреднизолон </t>
  </si>
  <si>
    <t xml:space="preserve">розувастатин </t>
  </si>
  <si>
    <t xml:space="preserve">адеметионин </t>
  </si>
  <si>
    <t>стенокардия напряжения 1фк, стеноз пмжа 90%,вз оа50%,чика и эп пмжа</t>
  </si>
  <si>
    <t xml:space="preserve">предстадия </t>
  </si>
  <si>
    <t xml:space="preserve"> COVID-19 </t>
  </si>
  <si>
    <t xml:space="preserve">средне тяжелое течение </t>
  </si>
  <si>
    <t xml:space="preserve">лизиноприл </t>
  </si>
  <si>
    <t xml:space="preserve">эноксапарин </t>
  </si>
  <si>
    <t xml:space="preserve">дексаметазон, метипред </t>
  </si>
  <si>
    <t xml:space="preserve">парацетамол </t>
  </si>
  <si>
    <t xml:space="preserve">стероидный </t>
  </si>
  <si>
    <t>Цефтриаксон, левофлоксацин</t>
  </si>
  <si>
    <t>эноксапарин, апиксабан</t>
  </si>
  <si>
    <t>16, 24</t>
  </si>
  <si>
    <t xml:space="preserve">метопролол </t>
  </si>
  <si>
    <t>деформирующий остеоартроз</t>
  </si>
  <si>
    <t>24, 18</t>
  </si>
  <si>
    <t xml:space="preserve">инсулиннезависимый </t>
  </si>
  <si>
    <t xml:space="preserve">ХБП с2, </t>
  </si>
  <si>
    <t xml:space="preserve">не помнит </t>
  </si>
  <si>
    <t>24, 20</t>
  </si>
  <si>
    <t xml:space="preserve">Амлодипин </t>
  </si>
  <si>
    <t xml:space="preserve">ацетилцистеин, флуконазол </t>
  </si>
  <si>
    <t>пикс</t>
  </si>
  <si>
    <t>нарушение проводимости по типу преходящей нблнпг, кандидоз ротовой полости</t>
  </si>
  <si>
    <t xml:space="preserve">Амоксиклав </t>
  </si>
  <si>
    <t xml:space="preserve">эноксапарин, апиксабан </t>
  </si>
  <si>
    <t>32, 24</t>
  </si>
  <si>
    <t xml:space="preserve">верошпирон </t>
  </si>
  <si>
    <t>флуконазол, р-р кандида, нольпаза, Вит В1 и В6</t>
  </si>
  <si>
    <t xml:space="preserve">понмк, олигофрения </t>
  </si>
  <si>
    <t xml:space="preserve">Эналаприл </t>
  </si>
  <si>
    <t xml:space="preserve">фамотидин </t>
  </si>
  <si>
    <t xml:space="preserve">бронхиальная астма смешанного генеза, хронический гастрит </t>
  </si>
  <si>
    <t xml:space="preserve">Цефтриаксон, Амоксиклав </t>
  </si>
  <si>
    <t xml:space="preserve">Цефтриаксон, левофлоксацин </t>
  </si>
  <si>
    <t xml:space="preserve">метилпреднизолон, дексаметазон, метипред </t>
  </si>
  <si>
    <t>500, 32, 20</t>
  </si>
  <si>
    <t xml:space="preserve">Пульмикорт </t>
  </si>
  <si>
    <t xml:space="preserve">хронический панкреатит, ремиссия </t>
  </si>
  <si>
    <t>1 компонент Спутник v</t>
  </si>
  <si>
    <t xml:space="preserve">метипред </t>
  </si>
  <si>
    <t xml:space="preserve">бисопролол </t>
  </si>
  <si>
    <t xml:space="preserve">Амброксол </t>
  </si>
  <si>
    <t xml:space="preserve">нет </t>
  </si>
  <si>
    <t xml:space="preserve">бронхиальная астма смешанная форма вне обострения </t>
  </si>
  <si>
    <t xml:space="preserve">гепарин </t>
  </si>
  <si>
    <t xml:space="preserve">эуфиллин, парацетамол </t>
  </si>
  <si>
    <t>тут Лена закончит живых</t>
  </si>
  <si>
    <t>тут Лена начнет мертвых</t>
  </si>
  <si>
    <t>тут Лена закончит мертвых</t>
  </si>
  <si>
    <t>тут Лейла начинает мертвых</t>
  </si>
  <si>
    <t>цефтриаксон, левофлоксацин, ванкомицин</t>
  </si>
  <si>
    <t>фамотидин, квамател</t>
  </si>
  <si>
    <t>пароксизм, фибрилляция-трепетания предсердий</t>
  </si>
  <si>
    <t>2 ст</t>
  </si>
  <si>
    <t>Вит Д, амиодарон</t>
  </si>
  <si>
    <t>диффузный кардиосклероз, стенокардия напряжения</t>
  </si>
  <si>
    <t xml:space="preserve">                           </t>
  </si>
  <si>
    <t>тригрим</t>
  </si>
  <si>
    <t>стенокардия напряжения 3 ФК</t>
  </si>
  <si>
    <t>250, 125</t>
  </si>
  <si>
    <t>коргликард, лазикс</t>
  </si>
  <si>
    <t>варикозное расширение вен нижних конечностей</t>
  </si>
  <si>
    <t>был переведен из гкб 4</t>
  </si>
  <si>
    <t>хронический простатит</t>
  </si>
  <si>
    <t>рак левой м/ж</t>
  </si>
  <si>
    <t>мастэктомия слева, многоузловой токсический зоб, ревматоидный артрит</t>
  </si>
  <si>
    <t>лазикс</t>
  </si>
  <si>
    <t>ЦВБ:ОНМК</t>
  </si>
  <si>
    <t>&gt;7</t>
  </si>
  <si>
    <t>да???</t>
  </si>
  <si>
    <t>2Б</t>
  </si>
  <si>
    <t>Диабетическая нейропатия, сенсомоторная форма. диабетическая нефропатия. диабетическая ангиопатия нижних конечностей, состояние после ампутации верхней трети правой нижней конечности, 1 пальца левой нижней конечности. Облитерирующий атеросклероз артерий нижних конечностей. бедренно-подколенная окклюзия слева, 4 стадия.</t>
  </si>
  <si>
    <t>36; 12</t>
  </si>
  <si>
    <t>те же 2 лс</t>
  </si>
  <si>
    <t>стенокардия напряжения 2 ФК</t>
  </si>
  <si>
    <t>отрицает</t>
  </si>
  <si>
    <t>рак слюнной железы слева, оперативное лечение 2020</t>
  </si>
  <si>
    <t>диффузный кардиосклероз</t>
  </si>
  <si>
    <t>Флеботромбоз глубоких вен нижних конечностей. ТЭЛА. Динамическая киш непроходимость-операция 2021 (лапаротомия). ЦВБ:ХИМ 2.Бытовая травма 2020 (ушиб гр клетки, перелом Th 11)</t>
  </si>
  <si>
    <t>реамберин, допамин, промедол</t>
  </si>
  <si>
    <t>ЦВБ: ХИМ 2-3 ст. ЯБЖ и ДПК</t>
  </si>
  <si>
    <t>сернокислая магнезия, фуросемид</t>
  </si>
  <si>
    <t>ТУР от 2020. рецидив рака мочевого пузыря</t>
  </si>
  <si>
    <t>в стадии нестойкой ремиссии</t>
  </si>
  <si>
    <t>Варикозное расширение вен нижних конечностей.ГПОД</t>
  </si>
  <si>
    <t>дексаметазон, метилпреднизолон, метипред</t>
  </si>
  <si>
    <t>альбумин, транжира, метформин, пиперациллин/тазобактам, олуминант, кордарон, фенилэфрин</t>
  </si>
  <si>
    <t>Тромбофлебит глубоких вен правой нижней конечности</t>
  </si>
  <si>
    <t>АКШ.НПБНПГ. Гиперплазия ПЖ. Мочевые кисты обеих почек</t>
  </si>
  <si>
    <t>преднизолон, дексаметазон</t>
  </si>
  <si>
    <t>120; 16</t>
  </si>
  <si>
    <t>умифеновир, вит Д</t>
  </si>
  <si>
    <t>нарушение ритма. АКШ</t>
  </si>
  <si>
    <t>аспирин кардио, фамотидин</t>
  </si>
  <si>
    <t>кларитромицин</t>
  </si>
  <si>
    <t>умифеновир, вит Д, фамотидин</t>
  </si>
  <si>
    <t>левофлоксацин, цефалоспорины</t>
  </si>
  <si>
    <t>240, 180</t>
  </si>
  <si>
    <t>глюказа, амиодарон, умифеновир</t>
  </si>
  <si>
    <t>тут Лейла закончит мертвых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</si>
</sst>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.m"/>
    <numFmt numFmtId="165" formatCode="dd.mm"/>
    <numFmt numFmtId="166" formatCode="d/m"/>
    <numFmt numFmtId="167" formatCode="d-m"/>
  </numFmts>
  <fonts count="6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5B9BD5"/>
        <bgColor rgb="FF5B9BD5"/>
      </patternFill>
    </fill>
    <fill>
      <patternFill patternType="solid">
        <fgColor rgb="FFF8CBAD"/>
        <bgColor rgb="FFF8CBAD"/>
      </patternFill>
    </fill>
    <fill>
      <patternFill patternType="solid">
        <fgColor rgb="FFFFFFFF"/>
        <bgColor rgb="FFFFFFFF"/>
      </patternFill>
    </fill>
    <fill>
      <patternFill patternType="solid">
        <fgColor rgb="FFC65911"/>
        <bgColor rgb="FFC65911"/>
      </patternFill>
    </fill>
    <fill>
      <patternFill patternType="solid">
        <fgColor rgb="FFBDD7EE"/>
        <bgColor rgb="FFBDD7EE"/>
      </patternFill>
    </fill>
    <fill>
      <patternFill patternType="solid">
        <fgColor rgb="FF92D050"/>
        <bgColor rgb="FF92D050"/>
      </patternFill>
    </fill>
    <fill>
      <patternFill patternType="solid">
        <fgColor rgb="FFC00000"/>
        <bgColor rgb="FFC00000"/>
      </patternFill>
    </fill>
    <fill>
      <patternFill patternType="solid">
        <fgColor rgb="FF00B0F0"/>
        <bgColor rgb="FF00B0F0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ACB9CA"/>
        <bgColor rgb="FFACB9CA"/>
      </patternFill>
    </fill>
    <fill>
      <patternFill patternType="solid">
        <fgColor rgb="FFA9D08E"/>
        <bgColor rgb="FFA9D08E"/>
      </patternFill>
    </fill>
    <fill>
      <patternFill patternType="solid">
        <fgColor rgb="FFCC0000"/>
        <bgColor rgb="FFCC0000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</fills>
  <borders count="1">
    <border/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3" fontId="2" numFmtId="0" xfId="0" applyAlignment="1" applyFont="1">
      <alignment readingOrder="0"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4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3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5" fontId="1" numFmtId="0" xfId="0" applyAlignment="1" applyFill="1" applyFont="1">
      <alignment readingOrder="0" shrinkToFit="0" vertical="bottom" wrapText="0"/>
    </xf>
    <xf borderId="0" fillId="5" fontId="1" numFmtId="0" xfId="0" applyAlignment="1" applyFont="1">
      <alignment shrinkToFit="0" vertical="bottom" wrapText="0"/>
    </xf>
    <xf borderId="0" fillId="5" fontId="1" numFmtId="0" xfId="0" applyAlignment="1" applyFont="1">
      <alignment horizontal="right" readingOrder="0" shrinkToFit="0" vertical="bottom" wrapText="0"/>
    </xf>
    <xf borderId="0" fillId="6" fontId="1" numFmtId="0" xfId="0" applyAlignment="1" applyFill="1" applyFont="1">
      <alignment horizontal="right" readingOrder="0" shrinkToFit="0" vertical="bottom" wrapText="0"/>
    </xf>
    <xf borderId="0" fillId="5" fontId="2" numFmtId="0" xfId="0" applyAlignment="1" applyFont="1">
      <alignment shrinkToFit="0" vertical="bottom" wrapText="0"/>
    </xf>
    <xf borderId="0" fillId="7" fontId="1" numFmtId="0" xfId="0" applyAlignment="1" applyFill="1" applyFont="1">
      <alignment readingOrder="0" shrinkToFit="0" vertical="bottom" wrapText="0"/>
    </xf>
    <xf borderId="0" fillId="4" fontId="1" numFmtId="0" xfId="0" applyAlignment="1" applyFont="1">
      <alignment horizontal="right" readingOrder="0" shrinkToFit="0" vertical="bottom" wrapText="0"/>
    </xf>
    <xf borderId="0" fillId="8" fontId="1" numFmtId="0" xfId="0" applyAlignment="1" applyFill="1" applyFont="1">
      <alignment readingOrder="0" shrinkToFit="0" vertical="bottom" wrapText="0"/>
    </xf>
    <xf borderId="0" fillId="4" fontId="1" numFmtId="0" xfId="0" applyAlignment="1" applyFont="1">
      <alignment shrinkToFit="0" vertical="bottom" wrapText="0"/>
    </xf>
    <xf borderId="0" fillId="9" fontId="1" numFmtId="0" xfId="0" applyAlignment="1" applyFill="1" applyFont="1">
      <alignment horizontal="right" readingOrder="0" shrinkToFit="0" vertical="bottom" wrapText="0"/>
    </xf>
    <xf borderId="0" fillId="7" fontId="4" numFmtId="0" xfId="0" applyAlignment="1" applyFont="1">
      <alignment horizontal="right" readingOrder="0" shrinkToFit="0" vertical="bottom" wrapText="0"/>
    </xf>
    <xf borderId="0" fillId="10" fontId="1" numFmtId="0" xfId="0" applyAlignment="1" applyFill="1" applyFont="1">
      <alignment horizontal="right" readingOrder="0" shrinkToFit="0" vertical="bottom" wrapText="0"/>
    </xf>
    <xf borderId="0" fillId="11" fontId="1" numFmtId="0" xfId="0" applyAlignment="1" applyFill="1" applyFont="1">
      <alignment shrinkToFit="0" vertical="bottom" wrapText="0"/>
    </xf>
    <xf borderId="0" fillId="6" fontId="1" numFmtId="0" xfId="0" applyAlignment="1" applyFont="1">
      <alignment shrinkToFit="0" vertical="bottom" wrapText="0"/>
    </xf>
    <xf borderId="0" fillId="12" fontId="1" numFmtId="0" xfId="0" applyAlignment="1" applyFill="1" applyFont="1">
      <alignment readingOrder="0" shrinkToFit="0" vertical="bottom" wrapText="0"/>
    </xf>
    <xf borderId="0" fillId="13" fontId="1" numFmtId="0" xfId="0" applyAlignment="1" applyFill="1" applyFont="1">
      <alignment horizontal="right" readingOrder="0" shrinkToFit="0" vertical="bottom" wrapText="0"/>
    </xf>
    <xf borderId="0" fillId="14" fontId="1" numFmtId="0" xfId="0" applyAlignment="1" applyFill="1" applyFont="1">
      <alignment readingOrder="0" shrinkToFit="0" vertical="bottom" wrapText="0"/>
    </xf>
    <xf borderId="0" fillId="15" fontId="1" numFmtId="0" xfId="0" applyAlignment="1" applyFill="1" applyFont="1">
      <alignment readingOrder="0" shrinkToFit="0" vertical="bottom" wrapText="0"/>
    </xf>
    <xf borderId="0" fillId="7" fontId="1" numFmtId="0" xfId="0" applyAlignment="1" applyFont="1">
      <alignment horizontal="right" readingOrder="0" shrinkToFit="0" vertical="bottom" wrapText="0"/>
    </xf>
    <xf borderId="0" fillId="16" fontId="1" numFmtId="0" xfId="0" applyAlignment="1" applyFill="1" applyFont="1">
      <alignment readingOrder="0" shrinkToFit="0" vertical="bottom" wrapText="0"/>
    </xf>
    <xf borderId="0" fillId="7" fontId="1" numFmtId="0" xfId="0" applyAlignment="1" applyFont="1">
      <alignment shrinkToFit="0" vertical="bottom" wrapText="0"/>
    </xf>
    <xf borderId="0" fillId="16" fontId="1" numFmtId="0" xfId="0" applyAlignment="1" applyFont="1">
      <alignment shrinkToFit="0" vertical="bottom" wrapText="0"/>
    </xf>
    <xf borderId="0" fillId="17" fontId="1" numFmtId="0" xfId="0" applyAlignment="1" applyFill="1" applyFont="1">
      <alignment horizontal="right" readingOrder="0" shrinkToFit="0" vertical="bottom" wrapText="0"/>
    </xf>
    <xf borderId="0" fillId="14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18" fontId="1" numFmtId="0" xfId="0" applyAlignment="1" applyFill="1" applyFont="1">
      <alignment readingOrder="0" shrinkToFit="0" vertical="bottom" wrapText="0"/>
    </xf>
    <xf borderId="0" fillId="19" fontId="1" numFmtId="0" xfId="0" applyAlignment="1" applyFill="1" applyFont="1">
      <alignment readingOrder="0" shrinkToFit="0" vertical="bottom" wrapText="0"/>
    </xf>
    <xf borderId="0" fillId="4" fontId="2" numFmtId="0" xfId="0" applyAlignment="1" applyFont="1">
      <alignment shrinkToFit="0" vertical="bottom" wrapText="0"/>
    </xf>
    <xf borderId="0" fillId="20" fontId="1" numFmtId="0" xfId="0" applyAlignment="1" applyFill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  <xf borderId="0" fillId="21" fontId="1" numFmtId="0" xfId="0" applyAlignment="1" applyFill="1" applyFont="1">
      <alignment horizontal="right" readingOrder="0" shrinkToFit="0" vertical="bottom" wrapText="0"/>
    </xf>
    <xf borderId="0" fillId="0" fontId="5" numFmtId="0" xfId="0" applyAlignment="1" applyFont="1">
      <alignment readingOrder="0"/>
    </xf>
    <xf borderId="0" fillId="22" fontId="5" numFmtId="0" xfId="0" applyAlignment="1" applyFill="1" applyFont="1">
      <alignment readingOrder="0"/>
    </xf>
    <xf borderId="0" fillId="4" fontId="5" numFmtId="0" xfId="0" applyFont="1"/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3" fontId="5" numFmtId="0" xfId="0" applyFont="1"/>
    <xf borderId="0" fillId="0" fontId="5" numFmtId="166" xfId="0" applyAlignment="1" applyFont="1" applyNumberFormat="1">
      <alignment readingOrder="0"/>
    </xf>
    <xf borderId="0" fillId="0" fontId="5" numFmtId="167" xfId="0" applyAlignment="1" applyFont="1" applyNumberFormat="1">
      <alignment readingOrder="0"/>
    </xf>
    <xf borderId="0" fillId="0" fontId="4" numFmtId="167" xfId="0" applyAlignment="1" applyFont="1" applyNumberFormat="1">
      <alignment horizontal="right" vertical="bottom"/>
    </xf>
    <xf borderId="0" fillId="14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7.5"/>
    <col customWidth="1" min="7" max="8" width="24.63"/>
    <col customWidth="1" min="9" max="9" width="29.25"/>
    <col customWidth="1" min="10" max="10" width="16.13"/>
    <col customWidth="1" min="12" max="12" width="45.5"/>
    <col customWidth="1" min="13" max="13" width="31.63"/>
    <col customWidth="1" min="14" max="14" width="39.88"/>
    <col customWidth="1" min="15" max="15" width="45.0"/>
    <col customWidth="1" min="16" max="16" width="43.63"/>
    <col customWidth="1" min="17" max="18" width="27.75"/>
    <col customWidth="1" min="19" max="19" width="10.88"/>
    <col customWidth="1" min="20" max="20" width="46.88"/>
    <col customWidth="1" min="21" max="22" width="29.5"/>
    <col customWidth="1" min="24" max="24" width="22.13"/>
    <col customWidth="1" min="25" max="25" width="13.75"/>
    <col customWidth="1" min="26" max="26" width="20.25"/>
    <col customWidth="1" min="30" max="30" width="19.38"/>
    <col customWidth="1" min="34" max="34" width="48.5"/>
    <col customWidth="1" min="35" max="35" width="20.25"/>
    <col customWidth="1" min="36" max="36" width="18.63"/>
    <col customWidth="1" min="37" max="37" width="8.88"/>
    <col customWidth="1" min="38" max="40" width="28.88"/>
    <col customWidth="1" min="41" max="41" width="30.75"/>
    <col customWidth="1" min="42" max="42" width="7.25"/>
    <col customWidth="1" min="43" max="43" width="6.88"/>
    <col customWidth="1" min="44" max="44" width="6.63"/>
    <col customWidth="1" min="45" max="45" width="28.25"/>
    <col customWidth="1" min="46" max="46" width="4.13"/>
    <col customWidth="1" min="47" max="47" width="4.38"/>
    <col customWidth="1" min="48" max="48" width="5.13"/>
    <col customWidth="1" min="49" max="49" width="4.0"/>
    <col customWidth="1" min="50" max="50" width="11.13"/>
    <col customWidth="1" min="51" max="51" width="4.5"/>
    <col customWidth="1" min="52" max="52" width="6.75"/>
    <col customWidth="1" min="53" max="53" width="9.63"/>
    <col customWidth="1" min="54" max="54" width="15.0"/>
    <col customWidth="1" min="55" max="55" width="4.5"/>
    <col customWidth="1" min="56" max="56" width="12.63"/>
    <col customWidth="1" min="59" max="59" width="29.88"/>
    <col customWidth="1" min="60" max="60" width="37.5"/>
    <col customWidth="1" min="61" max="61" width="34.25"/>
    <col customWidth="1" min="62" max="62" width="53.13"/>
    <col customWidth="1" min="103" max="103" width="14.13"/>
    <col customWidth="1" min="119" max="119" width="14.13"/>
    <col customWidth="1" min="133" max="133" width="21.0"/>
    <col customWidth="1" min="134" max="134" width="24.13"/>
    <col customWidth="1" min="157" max="157" width="1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4" t="s">
        <v>29</v>
      </c>
      <c r="AE1" s="5" t="s">
        <v>30</v>
      </c>
      <c r="AF1" s="5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4" t="s">
        <v>37</v>
      </c>
      <c r="AM1" s="4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4" t="s">
        <v>52</v>
      </c>
      <c r="BB1" s="5" t="s">
        <v>53</v>
      </c>
      <c r="BC1" s="5" t="s">
        <v>54</v>
      </c>
      <c r="BD1" s="5" t="s">
        <v>55</v>
      </c>
      <c r="BE1" s="4" t="s">
        <v>56</v>
      </c>
      <c r="BF1" s="4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91</v>
      </c>
      <c r="DE1" s="2" t="s">
        <v>92</v>
      </c>
      <c r="DF1" s="2" t="s">
        <v>93</v>
      </c>
      <c r="DG1" s="2" t="s">
        <v>94</v>
      </c>
      <c r="DH1" s="2" t="s">
        <v>95</v>
      </c>
      <c r="DI1" s="2" t="s">
        <v>96</v>
      </c>
      <c r="DJ1" s="2" t="s">
        <v>97</v>
      </c>
      <c r="DK1" s="2" t="s">
        <v>98</v>
      </c>
      <c r="DL1" s="2" t="s">
        <v>99</v>
      </c>
      <c r="DM1" s="2" t="s">
        <v>107</v>
      </c>
      <c r="DN1" s="2" t="s">
        <v>108</v>
      </c>
      <c r="DO1" s="2" t="s">
        <v>109</v>
      </c>
      <c r="DP1" s="2" t="s">
        <v>110</v>
      </c>
      <c r="DQ1" s="2" t="s">
        <v>111</v>
      </c>
      <c r="DR1" s="2" t="s">
        <v>112</v>
      </c>
      <c r="DS1" s="2" t="s">
        <v>113</v>
      </c>
      <c r="DT1" s="2" t="s">
        <v>114</v>
      </c>
      <c r="DU1" s="2" t="s">
        <v>115</v>
      </c>
      <c r="DV1" s="2" t="s">
        <v>116</v>
      </c>
      <c r="DW1" s="2" t="s">
        <v>117</v>
      </c>
      <c r="DX1" s="2" t="s">
        <v>118</v>
      </c>
      <c r="DY1" s="2" t="s">
        <v>119</v>
      </c>
      <c r="DZ1" s="2" t="s">
        <v>120</v>
      </c>
      <c r="EA1" s="2" t="s">
        <v>121</v>
      </c>
      <c r="EB1" s="2" t="s">
        <v>122</v>
      </c>
      <c r="EC1" s="2" t="s">
        <v>123</v>
      </c>
      <c r="ED1" s="2" t="s">
        <v>124</v>
      </c>
      <c r="EE1" s="2" t="s">
        <v>125</v>
      </c>
      <c r="EF1" s="2" t="s">
        <v>126</v>
      </c>
      <c r="EG1" s="2" t="s">
        <v>127</v>
      </c>
      <c r="EH1" s="2" t="s">
        <v>128</v>
      </c>
      <c r="EI1" s="2" t="s">
        <v>129</v>
      </c>
      <c r="EJ1" s="6" t="s">
        <v>130</v>
      </c>
      <c r="EK1" s="2" t="s">
        <v>131</v>
      </c>
      <c r="EL1" s="2" t="s">
        <v>132</v>
      </c>
      <c r="EM1" s="2" t="s">
        <v>133</v>
      </c>
      <c r="EN1" s="2" t="s">
        <v>134</v>
      </c>
      <c r="EO1" s="2" t="s">
        <v>135</v>
      </c>
      <c r="EP1" s="2" t="s">
        <v>136</v>
      </c>
      <c r="EQ1" s="2" t="s">
        <v>137</v>
      </c>
      <c r="ER1" s="2" t="s">
        <v>138</v>
      </c>
      <c r="ES1" s="2" t="s">
        <v>139</v>
      </c>
      <c r="ET1" s="2" t="s">
        <v>140</v>
      </c>
      <c r="EU1" s="2" t="s">
        <v>141</v>
      </c>
      <c r="EV1" s="2" t="s">
        <v>142</v>
      </c>
      <c r="EW1" s="2" t="s">
        <v>143</v>
      </c>
      <c r="EX1" s="2" t="s">
        <v>144</v>
      </c>
      <c r="EY1" s="2" t="s">
        <v>145</v>
      </c>
      <c r="EZ1" s="2" t="s">
        <v>146</v>
      </c>
      <c r="FA1" s="2" t="s">
        <v>3</v>
      </c>
      <c r="FB1" s="2" t="s">
        <v>147</v>
      </c>
      <c r="FC1" s="2" t="s">
        <v>3</v>
      </c>
    </row>
    <row r="2">
      <c r="A2" s="7">
        <v>1.0</v>
      </c>
      <c r="B2" s="8">
        <v>1.0</v>
      </c>
      <c r="C2" s="9"/>
      <c r="D2" s="1" t="s">
        <v>148</v>
      </c>
      <c r="E2" s="7">
        <v>43.0</v>
      </c>
      <c r="F2" s="1" t="s">
        <v>149</v>
      </c>
      <c r="G2" s="7"/>
      <c r="H2" s="7">
        <v>14.0</v>
      </c>
      <c r="I2" s="1" t="s">
        <v>150</v>
      </c>
      <c r="J2" s="1" t="s">
        <v>150</v>
      </c>
      <c r="K2" s="9"/>
      <c r="L2" s="1" t="s">
        <v>150</v>
      </c>
      <c r="M2" s="1" t="s">
        <v>150</v>
      </c>
      <c r="N2" s="9"/>
      <c r="O2" s="1" t="str">
        <f t="shared" ref="O2:O145" si="1">IF(EC2&gt;=6.1,IF(EC2&lt;7,"да","нет"),"нет")</f>
        <v>нет</v>
      </c>
      <c r="P2" s="1" t="s">
        <v>150</v>
      </c>
      <c r="Q2" s="1" t="s">
        <v>150</v>
      </c>
      <c r="R2" s="9"/>
      <c r="S2" s="1" t="s">
        <v>150</v>
      </c>
      <c r="T2" s="9"/>
      <c r="U2" s="1"/>
      <c r="V2" s="9"/>
      <c r="W2" s="9"/>
      <c r="X2" s="9"/>
      <c r="Y2" s="1" t="s">
        <v>150</v>
      </c>
      <c r="Z2" s="9"/>
      <c r="AA2" s="9"/>
      <c r="AB2" s="9"/>
      <c r="AC2" s="9"/>
      <c r="AD2" s="1"/>
      <c r="AE2" s="1" t="s">
        <v>150</v>
      </c>
      <c r="AF2" s="7">
        <v>0.0</v>
      </c>
      <c r="AG2" s="1" t="s">
        <v>151</v>
      </c>
      <c r="AH2" s="1" t="s">
        <v>152</v>
      </c>
      <c r="AI2" s="1" t="s">
        <v>153</v>
      </c>
      <c r="AJ2" s="7">
        <v>1.0</v>
      </c>
      <c r="AK2" s="1" t="s">
        <v>150</v>
      </c>
      <c r="AL2" s="1"/>
      <c r="AM2" s="1"/>
      <c r="AN2" s="1">
        <v>15.0</v>
      </c>
      <c r="AO2" s="1" t="str">
        <f t="shared" ref="AO2:AO225" si="2">IF(AN2&lt;15,"да","нет")</f>
        <v>нет</v>
      </c>
      <c r="AP2" s="9"/>
      <c r="AQ2" s="9"/>
      <c r="AR2" s="9" t="str">
        <f t="shared" ref="AR2:AR225" si="3">AQ2/((AP2/100)*(AP2/100))</f>
        <v>#DIV/0!</v>
      </c>
      <c r="AS2" s="7" t="str">
        <f t="shared" ref="AS2:AS225" si="4">IF(AR2&lt;18.5,"Недостаточный вес",IF(AR2&lt;25,"Нормальный вес",IF(AR2&lt;30,"Избыточный вес (предожирение)",IF(AR2&lt;35,"Ожирение I степени",IF(AR2&lt;40,"Ожирение II степени","Ожирение III степени (морбидное)")))))</f>
        <v>#DIV/0!</v>
      </c>
      <c r="AT2" s="7">
        <v>120.0</v>
      </c>
      <c r="AU2" s="7">
        <v>80.0</v>
      </c>
      <c r="AV2" s="8">
        <v>100.0</v>
      </c>
      <c r="AW2" s="7">
        <v>112.0</v>
      </c>
      <c r="AX2" s="7">
        <v>37.0</v>
      </c>
      <c r="AY2" s="7">
        <v>18.0</v>
      </c>
      <c r="AZ2" s="7">
        <v>98.0</v>
      </c>
      <c r="BA2" s="10" t="str">
        <f t="shared" ref="BA2:BA225" si="5">IF(AZ2&lt;=95,"да","нет")</f>
        <v>нет</v>
      </c>
      <c r="BB2" s="9"/>
      <c r="BC2" s="11"/>
      <c r="BD2" s="12" t="str">
        <f t="shared" ref="BD2:BD225" si="6">(AZ2/BC2)/AY2</f>
        <v>#DIV/0!</v>
      </c>
      <c r="BE2" s="12">
        <f t="shared" ref="BE2:BE220" si="7">IF(AY2&gt;=22,1,0)+IF(AO2="да",1,0)+IF(AT2&lt;=100,1,0)</f>
        <v>0</v>
      </c>
      <c r="BF2" s="12">
        <f t="shared" ref="BF2:BF225" si="8">IF(AW2&lt;=40,3,IF(AW2&lt;=50,1,IF(AW2&lt;=90,0,IF(AW2&lt;=110,1,IF(AW2&lt;=130,2,3)))))+IF(AY2&lt;=8,3,IF(AY2&lt;=11,1,IF(AY2&lt;=20,0,IF(AY2&lt;=24,2,3))))+IF(AZ2&lt;=91,3,IF(AZ2&lt;=93,2,IF(AZ2&lt;=95,1,0)))+IF(AX2&lt;=35,3,IF(AX2&lt;=36,1,IF(AX2&lt;=38,0,IF(AX2&lt;=39,1,2))))+IF(AT2&lt;=90,3,IF(AT2&lt;=100,2,IF(AT2&lt;=110,1,IF(AT2&lt;=219,0,3))))+IF(AO2="да",3,0)</f>
        <v>2</v>
      </c>
      <c r="BG2" s="1" t="s">
        <v>150</v>
      </c>
      <c r="BH2" s="9"/>
      <c r="BI2" s="1" t="s">
        <v>150</v>
      </c>
      <c r="BJ2" s="9"/>
      <c r="BK2" s="1" t="s">
        <v>150</v>
      </c>
      <c r="BL2" s="9"/>
      <c r="BM2" s="1" t="s">
        <v>154</v>
      </c>
      <c r="BN2" s="1" t="s">
        <v>155</v>
      </c>
      <c r="BO2" s="1" t="s">
        <v>150</v>
      </c>
      <c r="BP2" s="9"/>
      <c r="BQ2" s="9"/>
      <c r="BR2" s="1" t="s">
        <v>154</v>
      </c>
      <c r="BS2" s="1" t="s">
        <v>156</v>
      </c>
      <c r="BT2" s="9"/>
      <c r="BU2" s="1" t="s">
        <v>157</v>
      </c>
      <c r="BV2" s="7">
        <v>4.0</v>
      </c>
      <c r="BW2" s="1" t="s">
        <v>150</v>
      </c>
      <c r="BX2" s="1" t="s">
        <v>150</v>
      </c>
      <c r="BY2" s="1" t="s">
        <v>150</v>
      </c>
      <c r="BZ2" s="1" t="s">
        <v>158</v>
      </c>
      <c r="CA2" s="1"/>
      <c r="CB2" s="9"/>
      <c r="CC2" s="9"/>
      <c r="CD2" s="9"/>
      <c r="CE2" s="9"/>
      <c r="CF2" s="9"/>
      <c r="CG2" s="9"/>
      <c r="CH2" s="9"/>
      <c r="CI2" s="9"/>
      <c r="CJ2" s="9"/>
      <c r="CK2" s="9"/>
      <c r="CL2" s="1" t="s">
        <v>159</v>
      </c>
      <c r="CM2" s="7">
        <v>5.9</v>
      </c>
      <c r="CN2" s="7"/>
      <c r="CO2" s="7">
        <f t="shared" ref="CO2:CO78" si="9">CM2*CN2/100</f>
        <v>0</v>
      </c>
      <c r="CP2" s="7"/>
      <c r="CQ2" s="7">
        <f t="shared" ref="CQ2:CQ225" si="10">CO2*CP2/100</f>
        <v>0</v>
      </c>
      <c r="CR2" s="7"/>
      <c r="CS2" s="7">
        <f t="shared" ref="CS2:CS225" si="11">CQ2*CR2/100</f>
        <v>0</v>
      </c>
      <c r="CT2" s="7"/>
      <c r="CU2" s="7">
        <f t="shared" ref="CU2:CU225" si="12">CS2*CT2/100</f>
        <v>0</v>
      </c>
      <c r="CV2" s="7" t="str">
        <f t="shared" ref="CV2:CV225" si="13">CO2/CQ2</f>
        <v>#DIV/0!</v>
      </c>
      <c r="CW2" s="7">
        <v>5.1</v>
      </c>
      <c r="CX2" s="7">
        <v>149.0</v>
      </c>
      <c r="CY2" s="7" t="str">
        <f t="shared" ref="CY2:CY225" si="14">IF(F2="жен",IF(CX2&gt;=120,"Норма",IF(CX2&gt;=100,"Легкая степень",IF(CX2&gt;=80,"Средняя степень","Тяжелая степень"))),IF(CX2&gt;=130,"Норма",IF(CX2&gt;=110,"Легкая степень",IF(CX2&gt;=80,"Средняя степень","Тяжелая степень"))))</f>
        <v>Норма</v>
      </c>
      <c r="CZ2" s="7">
        <v>36.0</v>
      </c>
      <c r="DA2" s="7">
        <v>306.0</v>
      </c>
      <c r="DB2" s="7">
        <v>16.0</v>
      </c>
      <c r="DC2" s="7">
        <v>16.1</v>
      </c>
      <c r="DD2" s="7"/>
      <c r="DE2" s="7"/>
      <c r="DF2" s="7"/>
      <c r="DG2" s="7"/>
      <c r="DH2" s="7"/>
      <c r="DI2" s="7"/>
      <c r="DJ2" s="7"/>
      <c r="DK2" s="7"/>
      <c r="DL2" s="7"/>
      <c r="DM2" s="7">
        <v>4.8</v>
      </c>
      <c r="DN2" s="7">
        <v>140.0</v>
      </c>
      <c r="DO2" s="7" t="str">
        <f t="shared" ref="DO2:DO225" si="15">IF(F2="жен",IF(DN2&gt;=120,"Норма",IF(DN2&gt;=100,"Легкая степень",IF(DN2&gt;=80,"Средняя степень","Тяжелая степень"))),IF(DN2&gt;=130,"Норма",IF(DN2&gt;=110,"Легкая степень",IF(DN2&gt;=80,"Средняя степень","Тяжелая степень"))))</f>
        <v>Норма</v>
      </c>
      <c r="DP2" s="7">
        <v>3.0</v>
      </c>
      <c r="DQ2" s="7">
        <v>402.0</v>
      </c>
      <c r="DR2" s="7">
        <v>7.0</v>
      </c>
      <c r="DS2" s="13">
        <v>4.4</v>
      </c>
      <c r="DT2" s="7">
        <v>22.8</v>
      </c>
      <c r="DU2" s="7">
        <v>11.7</v>
      </c>
      <c r="DV2" s="7">
        <v>1.06</v>
      </c>
      <c r="DW2" s="9"/>
      <c r="DX2" s="9"/>
      <c r="DY2" s="7">
        <v>25.0</v>
      </c>
      <c r="DZ2" s="7">
        <v>11.2</v>
      </c>
      <c r="EA2" s="1" t="s">
        <v>160</v>
      </c>
      <c r="EB2" s="7"/>
      <c r="EC2" s="7">
        <v>5.3</v>
      </c>
      <c r="ED2" s="7">
        <v>3.2</v>
      </c>
      <c r="EE2" s="7">
        <v>24.0</v>
      </c>
      <c r="EF2" s="7">
        <v>49.0</v>
      </c>
      <c r="EG2" s="7">
        <v>78.0</v>
      </c>
      <c r="EH2" s="7">
        <v>14.8</v>
      </c>
      <c r="EI2" s="7">
        <v>3.9</v>
      </c>
      <c r="EJ2" s="7">
        <v>100.0</v>
      </c>
      <c r="EK2" s="11">
        <f t="shared" ref="EK2:EK225" si="16">IF(EJ2&lt;=62,144*(EJ2/61.9)^-0.329*0.993^E2,144*(EJ2/61.9)^-1.209*0.993^E2)</f>
        <v>59.61206579</v>
      </c>
      <c r="EL2" s="11" t="str">
        <f t="shared" ref="EL2:EL225" si="17">IF(EK2&gt;=90,"C1",IF(EK2&gt;=60,"C2",IF(EK2&gt;=45,"C3a",IF(EK2&gt;=30,"C3b",IF(EK2&gt;=15,"C4","C5")))))</f>
        <v>C3a</v>
      </c>
      <c r="EM2" s="9"/>
      <c r="EN2" s="9"/>
      <c r="EO2" s="7">
        <v>246.0</v>
      </c>
      <c r="EP2" s="7">
        <v>53.0</v>
      </c>
      <c r="EQ2" s="7">
        <v>74.0</v>
      </c>
      <c r="ER2" s="7">
        <v>19.6</v>
      </c>
      <c r="ES2" s="7">
        <v>4.4</v>
      </c>
      <c r="ET2" s="7">
        <v>90.0</v>
      </c>
      <c r="EU2" s="11">
        <f t="shared" ref="EU2:EU225" si="18">IF(ET2&lt;=62,144*(ET2/61.9)^-0.329*0.993^E2,144*(ET2/61.9)^-1.209*0.993^E2)</f>
        <v>67.71033744</v>
      </c>
      <c r="EV2" s="11" t="str">
        <f t="shared" ref="EV2:EV225" si="19">IF(EU2&gt;=90,"C1",IF(EU2&gt;=60,"C2",IF(EU2&gt;=45,"C3a",IF(EU2&gt;=30,"C3b",IF(EU2&gt;=15,"C4","C5")))))</f>
        <v>C2</v>
      </c>
      <c r="EW2" s="9"/>
      <c r="EX2" s="9"/>
      <c r="EY2" s="9" t="str">
        <f t="shared" ref="EY2:EY225" si="20">10.3549-0.3925*BF2-0.0583*E2+0.0234*EE2-0.0363*EF2-0.1175*AR2</f>
        <v>#DIV/0!</v>
      </c>
      <c r="EZ2" s="9" t="str">
        <f t="shared" ref="EZ2:EZ225" si="21">1/(1+EXP(EY2))</f>
        <v>#DIV/0!</v>
      </c>
      <c r="FA2" s="9" t="str">
        <f t="shared" ref="FA2:FA225" si="22">IF(EZ2 &gt;= 0.52, "Неблагоприятный", "Благоприятный")</f>
        <v>#DIV/0!</v>
      </c>
      <c r="FB2" s="9"/>
      <c r="FC2" s="1" t="s">
        <v>148</v>
      </c>
    </row>
    <row r="3">
      <c r="A3" s="7">
        <v>2.0</v>
      </c>
      <c r="B3" s="8">
        <v>2.0</v>
      </c>
      <c r="C3" s="7">
        <v>5642.0</v>
      </c>
      <c r="D3" s="1" t="s">
        <v>148</v>
      </c>
      <c r="E3" s="7">
        <v>55.0</v>
      </c>
      <c r="F3" s="1" t="s">
        <v>161</v>
      </c>
      <c r="G3" s="7"/>
      <c r="H3" s="7">
        <v>6.0</v>
      </c>
      <c r="I3" s="1" t="s">
        <v>150</v>
      </c>
      <c r="J3" s="1" t="s">
        <v>150</v>
      </c>
      <c r="K3" s="9"/>
      <c r="L3" s="1" t="s">
        <v>150</v>
      </c>
      <c r="M3" s="1" t="s">
        <v>150</v>
      </c>
      <c r="N3" s="9"/>
      <c r="O3" s="1" t="str">
        <f t="shared" si="1"/>
        <v>нет</v>
      </c>
      <c r="P3" s="1" t="s">
        <v>150</v>
      </c>
      <c r="Q3" s="1" t="s">
        <v>150</v>
      </c>
      <c r="R3" s="9"/>
      <c r="S3" s="1" t="s">
        <v>150</v>
      </c>
      <c r="T3" s="9"/>
      <c r="U3" s="9"/>
      <c r="V3" s="9"/>
      <c r="W3" s="9"/>
      <c r="X3" s="9"/>
      <c r="Y3" s="1" t="s">
        <v>150</v>
      </c>
      <c r="Z3" s="9"/>
      <c r="AA3" s="9"/>
      <c r="AB3" s="9"/>
      <c r="AC3" s="9"/>
      <c r="AD3" s="1"/>
      <c r="AE3" s="1" t="s">
        <v>150</v>
      </c>
      <c r="AF3" s="7">
        <v>0.0</v>
      </c>
      <c r="AG3" s="1" t="s">
        <v>162</v>
      </c>
      <c r="AH3" s="1" t="s">
        <v>152</v>
      </c>
      <c r="AI3" s="1" t="s">
        <v>153</v>
      </c>
      <c r="AJ3" s="7">
        <v>2.0</v>
      </c>
      <c r="AK3" s="1" t="s">
        <v>154</v>
      </c>
      <c r="AL3" s="1"/>
      <c r="AM3" s="1"/>
      <c r="AN3" s="1">
        <v>15.0</v>
      </c>
      <c r="AO3" s="1" t="str">
        <f t="shared" si="2"/>
        <v>нет</v>
      </c>
      <c r="AP3" s="9"/>
      <c r="AQ3" s="9"/>
      <c r="AR3" s="9" t="str">
        <f t="shared" si="3"/>
        <v>#DIV/0!</v>
      </c>
      <c r="AS3" s="7" t="str">
        <f t="shared" si="4"/>
        <v>#DIV/0!</v>
      </c>
      <c r="AT3" s="7">
        <v>135.0</v>
      </c>
      <c r="AU3" s="7">
        <v>82.0</v>
      </c>
      <c r="AV3" s="8">
        <v>108.5</v>
      </c>
      <c r="AW3" s="7">
        <v>90.0</v>
      </c>
      <c r="AX3" s="7">
        <v>37.3</v>
      </c>
      <c r="AY3" s="7">
        <v>17.0</v>
      </c>
      <c r="AZ3" s="7">
        <v>95.0</v>
      </c>
      <c r="BA3" s="10" t="str">
        <f t="shared" si="5"/>
        <v>да</v>
      </c>
      <c r="BB3" s="9"/>
      <c r="BC3" s="11"/>
      <c r="BD3" s="12" t="str">
        <f t="shared" si="6"/>
        <v>#DIV/0!</v>
      </c>
      <c r="BE3" s="12">
        <f t="shared" si="7"/>
        <v>0</v>
      </c>
      <c r="BF3" s="12">
        <f t="shared" si="8"/>
        <v>1</v>
      </c>
      <c r="BG3" s="1" t="s">
        <v>150</v>
      </c>
      <c r="BH3" s="9"/>
      <c r="BI3" s="1" t="s">
        <v>154</v>
      </c>
      <c r="BJ3" s="1" t="s">
        <v>163</v>
      </c>
      <c r="BK3" s="1" t="s">
        <v>150</v>
      </c>
      <c r="BL3" s="9"/>
      <c r="BM3" s="1" t="s">
        <v>154</v>
      </c>
      <c r="BN3" s="1" t="s">
        <v>155</v>
      </c>
      <c r="BO3" s="1" t="s">
        <v>150</v>
      </c>
      <c r="BP3" s="9"/>
      <c r="BQ3" s="9"/>
      <c r="BR3" s="1" t="s">
        <v>154</v>
      </c>
      <c r="BS3" s="1" t="s">
        <v>164</v>
      </c>
      <c r="BT3" s="7">
        <v>72.0</v>
      </c>
      <c r="BU3" s="1" t="s">
        <v>157</v>
      </c>
      <c r="BV3" s="7">
        <v>16.0</v>
      </c>
      <c r="BW3" s="1" t="s">
        <v>150</v>
      </c>
      <c r="BX3" s="1" t="s">
        <v>150</v>
      </c>
      <c r="BY3" s="1" t="s">
        <v>150</v>
      </c>
      <c r="BZ3" s="1" t="s">
        <v>158</v>
      </c>
      <c r="CA3" s="1"/>
      <c r="CB3" s="9"/>
      <c r="CC3" s="9"/>
      <c r="CD3" s="9"/>
      <c r="CE3" s="9"/>
      <c r="CF3" s="9"/>
      <c r="CG3" s="9"/>
      <c r="CH3" s="9"/>
      <c r="CI3" s="9"/>
      <c r="CJ3" s="9"/>
      <c r="CK3" s="9"/>
      <c r="CL3" s="1" t="s">
        <v>159</v>
      </c>
      <c r="CM3" s="7">
        <v>3.9</v>
      </c>
      <c r="CN3" s="7"/>
      <c r="CO3" s="7">
        <f t="shared" si="9"/>
        <v>0</v>
      </c>
      <c r="CP3" s="7"/>
      <c r="CQ3" s="7">
        <f t="shared" si="10"/>
        <v>0</v>
      </c>
      <c r="CR3" s="7"/>
      <c r="CS3" s="7">
        <f t="shared" si="11"/>
        <v>0</v>
      </c>
      <c r="CT3" s="7"/>
      <c r="CU3" s="7">
        <f t="shared" si="12"/>
        <v>0</v>
      </c>
      <c r="CV3" s="7" t="str">
        <f t="shared" si="13"/>
        <v>#DIV/0!</v>
      </c>
      <c r="CW3" s="7">
        <v>4.5</v>
      </c>
      <c r="CX3" s="7">
        <v>136.0</v>
      </c>
      <c r="CY3" s="7" t="str">
        <f t="shared" si="14"/>
        <v>Норма</v>
      </c>
      <c r="CZ3" s="7">
        <v>5.0</v>
      </c>
      <c r="DA3" s="7">
        <v>137.0</v>
      </c>
      <c r="DB3" s="7">
        <v>10.7</v>
      </c>
      <c r="DC3" s="7">
        <v>5.8</v>
      </c>
      <c r="DD3" s="7"/>
      <c r="DE3" s="7"/>
      <c r="DF3" s="7"/>
      <c r="DG3" s="7"/>
      <c r="DH3" s="7"/>
      <c r="DI3" s="7"/>
      <c r="DJ3" s="7"/>
      <c r="DK3" s="7"/>
      <c r="DL3" s="7"/>
      <c r="DM3" s="7">
        <v>4.4</v>
      </c>
      <c r="DN3" s="7">
        <v>130.0</v>
      </c>
      <c r="DO3" s="7" t="str">
        <f t="shared" si="15"/>
        <v>Норма</v>
      </c>
      <c r="DP3" s="7">
        <v>17.0</v>
      </c>
      <c r="DQ3" s="7">
        <v>200.0</v>
      </c>
      <c r="DR3" s="7">
        <v>5.0</v>
      </c>
      <c r="DS3" s="13">
        <v>3.08</v>
      </c>
      <c r="DT3" s="7">
        <v>30.2</v>
      </c>
      <c r="DU3" s="7">
        <v>11.2</v>
      </c>
      <c r="DV3" s="7">
        <v>0.94</v>
      </c>
      <c r="DW3" s="9"/>
      <c r="DX3" s="9"/>
      <c r="DY3" s="7">
        <v>28.2</v>
      </c>
      <c r="DZ3" s="7">
        <v>10.6</v>
      </c>
      <c r="EA3" s="7">
        <v>0.95</v>
      </c>
      <c r="EB3" s="7"/>
      <c r="EC3" s="7">
        <v>5.38</v>
      </c>
      <c r="ED3" s="7">
        <v>7.4</v>
      </c>
      <c r="EE3" s="7">
        <v>39.0</v>
      </c>
      <c r="EF3" s="7">
        <v>43.0</v>
      </c>
      <c r="EG3" s="7">
        <v>77.0</v>
      </c>
      <c r="EH3" s="7">
        <v>5.4</v>
      </c>
      <c r="EI3" s="9"/>
      <c r="EJ3" s="7">
        <v>90.0</v>
      </c>
      <c r="EK3" s="14">
        <f t="shared" si="16"/>
        <v>62.23661448</v>
      </c>
      <c r="EL3" s="11" t="str">
        <f t="shared" si="17"/>
        <v>C2</v>
      </c>
      <c r="EM3" s="9"/>
      <c r="EN3" s="9"/>
      <c r="EO3" s="7">
        <v>40.0</v>
      </c>
      <c r="EP3" s="7">
        <v>31.0</v>
      </c>
      <c r="EQ3" s="7">
        <v>64.0</v>
      </c>
      <c r="ER3" s="7">
        <v>12.0</v>
      </c>
      <c r="ES3" s="9"/>
      <c r="ET3" s="7">
        <v>60.0</v>
      </c>
      <c r="EU3" s="11">
        <f t="shared" si="18"/>
        <v>98.86114167</v>
      </c>
      <c r="EV3" s="11" t="str">
        <f t="shared" si="19"/>
        <v>C1</v>
      </c>
      <c r="EW3" s="9"/>
      <c r="EX3" s="9"/>
      <c r="EY3" s="9" t="str">
        <f t="shared" si="20"/>
        <v>#DIV/0!</v>
      </c>
      <c r="EZ3" s="9" t="str">
        <f t="shared" si="21"/>
        <v>#DIV/0!</v>
      </c>
      <c r="FA3" s="9" t="str">
        <f t="shared" si="22"/>
        <v>#DIV/0!</v>
      </c>
      <c r="FB3" s="9"/>
      <c r="FC3" s="1" t="s">
        <v>148</v>
      </c>
    </row>
    <row r="4">
      <c r="A4" s="7">
        <v>3.0</v>
      </c>
      <c r="B4" s="8">
        <v>3.0</v>
      </c>
      <c r="C4" s="7">
        <v>17863.0</v>
      </c>
      <c r="D4" s="1" t="s">
        <v>148</v>
      </c>
      <c r="E4" s="7">
        <v>70.0</v>
      </c>
      <c r="F4" s="1" t="s">
        <v>149</v>
      </c>
      <c r="G4" s="7"/>
      <c r="H4" s="7">
        <v>11.0</v>
      </c>
      <c r="I4" s="1" t="s">
        <v>150</v>
      </c>
      <c r="J4" s="1" t="s">
        <v>150</v>
      </c>
      <c r="K4" s="9"/>
      <c r="L4" s="1" t="s">
        <v>150</v>
      </c>
      <c r="M4" s="1" t="s">
        <v>150</v>
      </c>
      <c r="N4" s="9"/>
      <c r="O4" s="1" t="str">
        <f t="shared" si="1"/>
        <v>да</v>
      </c>
      <c r="P4" s="1" t="s">
        <v>150</v>
      </c>
      <c r="Q4" s="1" t="s">
        <v>154</v>
      </c>
      <c r="R4" s="7">
        <v>3.0</v>
      </c>
      <c r="S4" s="1" t="s">
        <v>154</v>
      </c>
      <c r="T4" s="1" t="s">
        <v>165</v>
      </c>
      <c r="U4" s="9"/>
      <c r="V4" s="9"/>
      <c r="W4" s="9"/>
      <c r="X4" s="9"/>
      <c r="Y4" s="1" t="s">
        <v>150</v>
      </c>
      <c r="Z4" s="9"/>
      <c r="AA4" s="9"/>
      <c r="AB4" s="9"/>
      <c r="AC4" s="9"/>
      <c r="AD4" s="1"/>
      <c r="AE4" s="1" t="s">
        <v>150</v>
      </c>
      <c r="AF4" s="7">
        <v>0.0</v>
      </c>
      <c r="AG4" s="1" t="s">
        <v>162</v>
      </c>
      <c r="AH4" s="1" t="s">
        <v>152</v>
      </c>
      <c r="AI4" s="1" t="s">
        <v>153</v>
      </c>
      <c r="AJ4" s="7">
        <v>1.0</v>
      </c>
      <c r="AK4" s="1" t="s">
        <v>154</v>
      </c>
      <c r="AL4" s="1"/>
      <c r="AM4" s="1"/>
      <c r="AN4" s="1">
        <v>15.0</v>
      </c>
      <c r="AO4" s="1" t="str">
        <f t="shared" si="2"/>
        <v>нет</v>
      </c>
      <c r="AP4" s="9"/>
      <c r="AQ4" s="9"/>
      <c r="AR4" s="9" t="str">
        <f t="shared" si="3"/>
        <v>#DIV/0!</v>
      </c>
      <c r="AS4" s="7" t="str">
        <f t="shared" si="4"/>
        <v>#DIV/0!</v>
      </c>
      <c r="AT4" s="7">
        <v>130.0</v>
      </c>
      <c r="AU4" s="7">
        <v>80.0</v>
      </c>
      <c r="AV4" s="8">
        <v>105.0</v>
      </c>
      <c r="AW4" s="7">
        <v>103.0</v>
      </c>
      <c r="AX4" s="7">
        <v>37.3</v>
      </c>
      <c r="AY4" s="7">
        <v>16.0</v>
      </c>
      <c r="AZ4" s="7">
        <v>96.0</v>
      </c>
      <c r="BA4" s="10" t="str">
        <f t="shared" si="5"/>
        <v>нет</v>
      </c>
      <c r="BB4" s="9"/>
      <c r="BC4" s="11"/>
      <c r="BD4" s="12" t="str">
        <f t="shared" si="6"/>
        <v>#DIV/0!</v>
      </c>
      <c r="BE4" s="12">
        <f t="shared" si="7"/>
        <v>0</v>
      </c>
      <c r="BF4" s="12">
        <f t="shared" si="8"/>
        <v>1</v>
      </c>
      <c r="BG4" s="1" t="s">
        <v>150</v>
      </c>
      <c r="BH4" s="9"/>
      <c r="BI4" s="1" t="s">
        <v>150</v>
      </c>
      <c r="BJ4" s="9"/>
      <c r="BK4" s="1" t="s">
        <v>150</v>
      </c>
      <c r="BL4" s="9"/>
      <c r="BM4" s="1" t="s">
        <v>154</v>
      </c>
      <c r="BN4" s="1" t="s">
        <v>155</v>
      </c>
      <c r="BO4" s="1" t="s">
        <v>150</v>
      </c>
      <c r="BP4" s="9"/>
      <c r="BQ4" s="9"/>
      <c r="BR4" s="1" t="s">
        <v>154</v>
      </c>
      <c r="BS4" s="1" t="s">
        <v>166</v>
      </c>
      <c r="BT4" s="7">
        <v>48.0</v>
      </c>
      <c r="BU4" s="1" t="s">
        <v>157</v>
      </c>
      <c r="BV4" s="7">
        <v>8.0</v>
      </c>
      <c r="BW4" s="1" t="s">
        <v>150</v>
      </c>
      <c r="BX4" s="1" t="s">
        <v>150</v>
      </c>
      <c r="BY4" s="1" t="s">
        <v>150</v>
      </c>
      <c r="BZ4" s="1" t="s">
        <v>158</v>
      </c>
      <c r="CA4" s="1" t="s">
        <v>167</v>
      </c>
      <c r="CC4" s="9"/>
      <c r="CD4" s="9"/>
      <c r="CE4" s="9"/>
      <c r="CF4" s="9"/>
      <c r="CG4" s="9"/>
      <c r="CH4" s="9"/>
      <c r="CI4" s="9"/>
      <c r="CJ4" s="9"/>
      <c r="CK4" s="9"/>
      <c r="CL4" s="9"/>
      <c r="CM4" s="7">
        <v>3.8</v>
      </c>
      <c r="CN4" s="7"/>
      <c r="CO4" s="7">
        <f t="shared" si="9"/>
        <v>0</v>
      </c>
      <c r="CP4" s="7"/>
      <c r="CQ4" s="7">
        <f t="shared" si="10"/>
        <v>0</v>
      </c>
      <c r="CR4" s="7"/>
      <c r="CS4" s="7">
        <f t="shared" si="11"/>
        <v>0</v>
      </c>
      <c r="CT4" s="7"/>
      <c r="CU4" s="7">
        <f t="shared" si="12"/>
        <v>0</v>
      </c>
      <c r="CV4" s="7" t="str">
        <f t="shared" si="13"/>
        <v>#DIV/0!</v>
      </c>
      <c r="CW4" s="7">
        <v>5.1</v>
      </c>
      <c r="CX4" s="7">
        <v>166.0</v>
      </c>
      <c r="CY4" s="7" t="str">
        <f t="shared" si="14"/>
        <v>Норма</v>
      </c>
      <c r="CZ4" s="7">
        <v>6.0</v>
      </c>
      <c r="DA4" s="7">
        <v>149.0</v>
      </c>
      <c r="DB4" s="7">
        <v>14.3</v>
      </c>
      <c r="DC4" s="7">
        <v>8.8</v>
      </c>
      <c r="DD4" s="7"/>
      <c r="DE4" s="7"/>
      <c r="DF4" s="7"/>
      <c r="DG4" s="7"/>
      <c r="DH4" s="7"/>
      <c r="DI4" s="7"/>
      <c r="DJ4" s="7"/>
      <c r="DK4" s="7"/>
      <c r="DL4" s="7"/>
      <c r="DM4" s="7">
        <v>4.6</v>
      </c>
      <c r="DN4" s="7">
        <v>149.0</v>
      </c>
      <c r="DO4" s="7" t="str">
        <f t="shared" si="15"/>
        <v>Норма</v>
      </c>
      <c r="DP4" s="7">
        <v>2.0</v>
      </c>
      <c r="DQ4" s="7">
        <v>225.0</v>
      </c>
      <c r="DR4" s="9"/>
      <c r="DS4" s="13">
        <v>2.6</v>
      </c>
      <c r="DT4" s="7">
        <v>33.5</v>
      </c>
      <c r="DU4" s="7">
        <v>12.6</v>
      </c>
      <c r="DV4" s="7">
        <v>1.06</v>
      </c>
      <c r="DW4" s="7">
        <v>0.83</v>
      </c>
      <c r="DX4" s="9"/>
      <c r="DY4" s="7">
        <v>51.0</v>
      </c>
      <c r="DZ4" s="7">
        <v>11.9</v>
      </c>
      <c r="EA4" s="7">
        <v>1.0</v>
      </c>
      <c r="EB4" s="7"/>
      <c r="EC4" s="7">
        <v>6.6</v>
      </c>
      <c r="ED4" s="9"/>
      <c r="EE4" s="7">
        <v>62.0</v>
      </c>
      <c r="EF4" s="7">
        <v>73.0</v>
      </c>
      <c r="EG4" s="7">
        <v>76.0</v>
      </c>
      <c r="EH4" s="7">
        <v>21.0</v>
      </c>
      <c r="EI4" s="7">
        <v>5.9</v>
      </c>
      <c r="EJ4" s="7">
        <v>120.0</v>
      </c>
      <c r="EK4" s="14">
        <f t="shared" si="16"/>
        <v>39.55794798</v>
      </c>
      <c r="EL4" s="11" t="str">
        <f t="shared" si="17"/>
        <v>C3b</v>
      </c>
      <c r="EM4" s="9"/>
      <c r="EN4" s="9"/>
      <c r="EO4" s="9"/>
      <c r="EP4" s="9"/>
      <c r="EQ4" s="9"/>
      <c r="ER4" s="9"/>
      <c r="ES4" s="9"/>
      <c r="ET4" s="9"/>
      <c r="EU4" s="11" t="str">
        <f t="shared" si="18"/>
        <v>#NUM!</v>
      </c>
      <c r="EV4" s="11" t="str">
        <f t="shared" si="19"/>
        <v>#NUM!</v>
      </c>
      <c r="EW4" s="9"/>
      <c r="EX4" s="9"/>
      <c r="EY4" s="9" t="str">
        <f t="shared" si="20"/>
        <v>#DIV/0!</v>
      </c>
      <c r="EZ4" s="9" t="str">
        <f t="shared" si="21"/>
        <v>#DIV/0!</v>
      </c>
      <c r="FA4" s="9" t="str">
        <f t="shared" si="22"/>
        <v>#DIV/0!</v>
      </c>
      <c r="FB4" s="9"/>
      <c r="FC4" s="1" t="s">
        <v>148</v>
      </c>
    </row>
    <row r="5">
      <c r="A5" s="7">
        <v>4.0</v>
      </c>
      <c r="B5" s="8">
        <v>4.0</v>
      </c>
      <c r="C5" s="7">
        <v>24635.0</v>
      </c>
      <c r="D5" s="1" t="s">
        <v>148</v>
      </c>
      <c r="E5" s="7">
        <v>67.0</v>
      </c>
      <c r="F5" s="1" t="s">
        <v>161</v>
      </c>
      <c r="G5" s="7"/>
      <c r="H5" s="7">
        <v>35.0</v>
      </c>
      <c r="I5" s="1" t="s">
        <v>150</v>
      </c>
      <c r="J5" s="1" t="s">
        <v>150</v>
      </c>
      <c r="K5" s="9"/>
      <c r="L5" s="1" t="s">
        <v>150</v>
      </c>
      <c r="M5" s="1" t="s">
        <v>150</v>
      </c>
      <c r="N5" s="9"/>
      <c r="O5" s="1" t="str">
        <f t="shared" si="1"/>
        <v>нет</v>
      </c>
      <c r="P5" s="1" t="s">
        <v>150</v>
      </c>
      <c r="Q5" s="1" t="s">
        <v>154</v>
      </c>
      <c r="R5" s="7">
        <v>2.0</v>
      </c>
      <c r="S5" s="1" t="s">
        <v>150</v>
      </c>
      <c r="T5" s="9"/>
      <c r="U5" s="9"/>
      <c r="V5" s="9"/>
      <c r="W5" s="9"/>
      <c r="X5" s="9"/>
      <c r="Y5" s="1" t="s">
        <v>150</v>
      </c>
      <c r="Z5" s="9"/>
      <c r="AA5" s="9"/>
      <c r="AB5" s="9"/>
      <c r="AC5" s="9"/>
      <c r="AD5" s="1"/>
      <c r="AE5" s="1" t="s">
        <v>150</v>
      </c>
      <c r="AF5" s="7">
        <v>0.0</v>
      </c>
      <c r="AG5" s="1" t="s">
        <v>151</v>
      </c>
      <c r="AH5" s="1" t="s">
        <v>152</v>
      </c>
      <c r="AI5" s="1" t="s">
        <v>168</v>
      </c>
      <c r="AJ5" s="7">
        <v>4.0</v>
      </c>
      <c r="AK5" s="1" t="s">
        <v>150</v>
      </c>
      <c r="AL5" s="1"/>
      <c r="AM5" s="1"/>
      <c r="AN5" s="1">
        <v>15.0</v>
      </c>
      <c r="AO5" s="1" t="str">
        <f t="shared" si="2"/>
        <v>нет</v>
      </c>
      <c r="AP5" s="9"/>
      <c r="AQ5" s="9"/>
      <c r="AR5" s="9" t="str">
        <f t="shared" si="3"/>
        <v>#DIV/0!</v>
      </c>
      <c r="AS5" s="7" t="str">
        <f t="shared" si="4"/>
        <v>#DIV/0!</v>
      </c>
      <c r="AT5" s="7">
        <v>142.0</v>
      </c>
      <c r="AU5" s="7">
        <v>84.0</v>
      </c>
      <c r="AV5" s="8">
        <v>113.0</v>
      </c>
      <c r="AW5" s="7">
        <v>94.0</v>
      </c>
      <c r="AX5" s="7">
        <v>38.5</v>
      </c>
      <c r="AY5" s="7">
        <v>16.0</v>
      </c>
      <c r="AZ5" s="7">
        <v>95.0</v>
      </c>
      <c r="BA5" s="10" t="str">
        <f t="shared" si="5"/>
        <v>да</v>
      </c>
      <c r="BB5" s="9"/>
      <c r="BC5" s="11"/>
      <c r="BD5" s="12" t="str">
        <f t="shared" si="6"/>
        <v>#DIV/0!</v>
      </c>
      <c r="BE5" s="12">
        <f t="shared" si="7"/>
        <v>0</v>
      </c>
      <c r="BF5" s="12">
        <f t="shared" si="8"/>
        <v>3</v>
      </c>
      <c r="BG5" s="1" t="s">
        <v>150</v>
      </c>
      <c r="BH5" s="9"/>
      <c r="BI5" s="1" t="s">
        <v>154</v>
      </c>
      <c r="BJ5" s="1" t="s">
        <v>163</v>
      </c>
      <c r="BK5" s="1" t="s">
        <v>150</v>
      </c>
      <c r="BL5" s="9"/>
      <c r="BM5" s="1" t="s">
        <v>154</v>
      </c>
      <c r="BN5" s="1" t="s">
        <v>155</v>
      </c>
      <c r="BO5" s="1" t="s">
        <v>150</v>
      </c>
      <c r="BP5" s="9"/>
      <c r="BQ5" s="9"/>
      <c r="BR5" s="1" t="s">
        <v>154</v>
      </c>
      <c r="BS5" s="1" t="s">
        <v>166</v>
      </c>
      <c r="BT5" s="9"/>
      <c r="BU5" s="1" t="s">
        <v>157</v>
      </c>
      <c r="BV5" s="7">
        <v>8.0</v>
      </c>
      <c r="BW5" s="1" t="s">
        <v>150</v>
      </c>
      <c r="BX5" s="1" t="s">
        <v>150</v>
      </c>
      <c r="BY5" s="1" t="s">
        <v>150</v>
      </c>
      <c r="BZ5" s="1" t="s">
        <v>158</v>
      </c>
      <c r="CA5" s="1"/>
      <c r="CB5" s="9"/>
      <c r="CC5" s="9"/>
      <c r="CD5" s="9"/>
      <c r="CE5" s="9"/>
      <c r="CF5" s="9"/>
      <c r="CG5" s="9"/>
      <c r="CH5" s="9"/>
      <c r="CI5" s="9"/>
      <c r="CJ5" s="1" t="s">
        <v>154</v>
      </c>
      <c r="CK5" s="9"/>
      <c r="CL5" s="1" t="s">
        <v>159</v>
      </c>
      <c r="CM5" s="7">
        <v>9.4</v>
      </c>
      <c r="CN5" s="7"/>
      <c r="CO5" s="7">
        <f t="shared" si="9"/>
        <v>0</v>
      </c>
      <c r="CP5" s="7"/>
      <c r="CQ5" s="7">
        <f t="shared" si="10"/>
        <v>0</v>
      </c>
      <c r="CR5" s="7"/>
      <c r="CS5" s="7">
        <f t="shared" si="11"/>
        <v>0</v>
      </c>
      <c r="CT5" s="7"/>
      <c r="CU5" s="7">
        <f t="shared" si="12"/>
        <v>0</v>
      </c>
      <c r="CV5" s="7" t="str">
        <f t="shared" si="13"/>
        <v>#DIV/0!</v>
      </c>
      <c r="CW5" s="7">
        <v>4.0</v>
      </c>
      <c r="CX5" s="7">
        <v>131.0</v>
      </c>
      <c r="CY5" s="7" t="str">
        <f t="shared" si="14"/>
        <v>Норма</v>
      </c>
      <c r="CZ5" s="7">
        <v>20.0</v>
      </c>
      <c r="DA5" s="9"/>
      <c r="DB5" s="7">
        <v>1.6</v>
      </c>
      <c r="DC5" s="7">
        <v>12.1</v>
      </c>
      <c r="DD5" s="7"/>
      <c r="DE5" s="7"/>
      <c r="DF5" s="7"/>
      <c r="DG5" s="7"/>
      <c r="DH5" s="7"/>
      <c r="DI5" s="7"/>
      <c r="DJ5" s="7"/>
      <c r="DK5" s="7"/>
      <c r="DL5" s="7"/>
      <c r="DM5" s="7">
        <v>3.9</v>
      </c>
      <c r="DN5" s="7">
        <v>125.0</v>
      </c>
      <c r="DO5" s="7" t="str">
        <f t="shared" si="15"/>
        <v>Легкая степень</v>
      </c>
      <c r="DP5" s="7">
        <v>56.0</v>
      </c>
      <c r="DQ5" s="9"/>
      <c r="DR5" s="7">
        <v>30.3</v>
      </c>
      <c r="DS5" s="13">
        <v>3.35</v>
      </c>
      <c r="DT5" s="7">
        <v>22.9</v>
      </c>
      <c r="DU5" s="7">
        <v>10.4</v>
      </c>
      <c r="DV5" s="7">
        <v>0.93</v>
      </c>
      <c r="DW5" s="9"/>
      <c r="DX5" s="9"/>
      <c r="DY5" s="7">
        <v>31.7</v>
      </c>
      <c r="DZ5" s="7">
        <v>21.3</v>
      </c>
      <c r="EA5" s="7">
        <v>1.79</v>
      </c>
      <c r="EB5" s="9"/>
      <c r="EC5" s="9"/>
      <c r="ED5" s="7">
        <v>5.9</v>
      </c>
      <c r="EE5" s="7">
        <v>147.0</v>
      </c>
      <c r="EF5" s="7">
        <v>30.0</v>
      </c>
      <c r="EG5" s="7">
        <v>66.0</v>
      </c>
      <c r="EH5" s="7">
        <v>16.3</v>
      </c>
      <c r="EI5" s="7">
        <v>3.1</v>
      </c>
      <c r="EJ5" s="7">
        <v>70.0</v>
      </c>
      <c r="EK5" s="14">
        <f t="shared" si="16"/>
        <v>77.51622338</v>
      </c>
      <c r="EL5" s="11" t="str">
        <f t="shared" si="17"/>
        <v>C2</v>
      </c>
      <c r="EM5" s="9"/>
      <c r="EN5" s="9"/>
      <c r="EO5" s="7">
        <v>140.0</v>
      </c>
      <c r="EP5" s="7">
        <v>99.0</v>
      </c>
      <c r="EQ5" s="7">
        <v>62.0</v>
      </c>
      <c r="ER5" s="7">
        <v>14.1</v>
      </c>
      <c r="ES5" s="7">
        <v>3.1</v>
      </c>
      <c r="ET5" s="7">
        <v>70.0</v>
      </c>
      <c r="EU5" s="11">
        <f t="shared" si="18"/>
        <v>77.51622338</v>
      </c>
      <c r="EV5" s="11" t="str">
        <f t="shared" si="19"/>
        <v>C2</v>
      </c>
      <c r="EW5" s="9"/>
      <c r="EX5" s="9"/>
      <c r="EY5" s="9" t="str">
        <f t="shared" si="20"/>
        <v>#DIV/0!</v>
      </c>
      <c r="EZ5" s="9" t="str">
        <f t="shared" si="21"/>
        <v>#DIV/0!</v>
      </c>
      <c r="FA5" s="9" t="str">
        <f t="shared" si="22"/>
        <v>#DIV/0!</v>
      </c>
      <c r="FB5" s="9"/>
      <c r="FC5" s="1" t="s">
        <v>148</v>
      </c>
    </row>
    <row r="6">
      <c r="A6" s="7">
        <v>5.0</v>
      </c>
      <c r="B6" s="8">
        <v>5.0</v>
      </c>
      <c r="C6" s="7">
        <v>28919.0</v>
      </c>
      <c r="D6" s="1" t="s">
        <v>148</v>
      </c>
      <c r="E6" s="7">
        <v>65.0</v>
      </c>
      <c r="F6" s="1" t="s">
        <v>161</v>
      </c>
      <c r="G6" s="7"/>
      <c r="H6" s="7">
        <v>15.0</v>
      </c>
      <c r="I6" s="1" t="s">
        <v>150</v>
      </c>
      <c r="J6" s="1" t="s">
        <v>150</v>
      </c>
      <c r="K6" s="9"/>
      <c r="L6" s="1" t="s">
        <v>150</v>
      </c>
      <c r="M6" s="1" t="s">
        <v>150</v>
      </c>
      <c r="N6" s="9"/>
      <c r="O6" s="1" t="str">
        <f t="shared" si="1"/>
        <v>нет</v>
      </c>
      <c r="P6" s="1" t="s">
        <v>150</v>
      </c>
      <c r="Q6" s="1" t="s">
        <v>150</v>
      </c>
      <c r="R6" s="9"/>
      <c r="S6" s="1" t="s">
        <v>150</v>
      </c>
      <c r="T6" s="9"/>
      <c r="U6" s="9"/>
      <c r="V6" s="9"/>
      <c r="W6" s="9"/>
      <c r="X6" s="9"/>
      <c r="Y6" s="1" t="s">
        <v>150</v>
      </c>
      <c r="Z6" s="9"/>
      <c r="AA6" s="9"/>
      <c r="AB6" s="9"/>
      <c r="AC6" s="9"/>
      <c r="AD6" s="1"/>
      <c r="AE6" s="1" t="s">
        <v>150</v>
      </c>
      <c r="AF6" s="7">
        <v>0.0</v>
      </c>
      <c r="AG6" s="1" t="s">
        <v>162</v>
      </c>
      <c r="AH6" s="1" t="s">
        <v>152</v>
      </c>
      <c r="AI6" s="1" t="s">
        <v>168</v>
      </c>
      <c r="AJ6" s="7">
        <v>4.0</v>
      </c>
      <c r="AK6" s="1" t="s">
        <v>154</v>
      </c>
      <c r="AL6" s="1"/>
      <c r="AM6" s="1"/>
      <c r="AN6" s="1">
        <v>15.0</v>
      </c>
      <c r="AO6" s="1" t="str">
        <f t="shared" si="2"/>
        <v>нет</v>
      </c>
      <c r="AP6" s="9"/>
      <c r="AQ6" s="9"/>
      <c r="AR6" s="9" t="str">
        <f t="shared" si="3"/>
        <v>#DIV/0!</v>
      </c>
      <c r="AS6" s="7" t="str">
        <f t="shared" si="4"/>
        <v>#DIV/0!</v>
      </c>
      <c r="AT6" s="7">
        <v>130.0</v>
      </c>
      <c r="AU6" s="7">
        <v>80.0</v>
      </c>
      <c r="AV6" s="8">
        <v>105.0</v>
      </c>
      <c r="AW6" s="7">
        <v>99.0</v>
      </c>
      <c r="AX6" s="7">
        <v>36.3</v>
      </c>
      <c r="AY6" s="7">
        <v>24.0</v>
      </c>
      <c r="AZ6" s="7">
        <v>81.0</v>
      </c>
      <c r="BA6" s="10" t="str">
        <f t="shared" si="5"/>
        <v>да</v>
      </c>
      <c r="BB6" s="9"/>
      <c r="BC6" s="11"/>
      <c r="BD6" s="12" t="str">
        <f t="shared" si="6"/>
        <v>#DIV/0!</v>
      </c>
      <c r="BE6" s="12">
        <f t="shared" si="7"/>
        <v>1</v>
      </c>
      <c r="BF6" s="12">
        <f t="shared" si="8"/>
        <v>6</v>
      </c>
      <c r="BG6" s="1" t="s">
        <v>154</v>
      </c>
      <c r="BH6" s="1" t="s">
        <v>169</v>
      </c>
      <c r="BI6" s="1" t="s">
        <v>150</v>
      </c>
      <c r="BJ6" s="9"/>
      <c r="BK6" s="1" t="s">
        <v>150</v>
      </c>
      <c r="BL6" s="9"/>
      <c r="BM6" s="1" t="s">
        <v>154</v>
      </c>
      <c r="BN6" s="1" t="s">
        <v>155</v>
      </c>
      <c r="BO6" s="1" t="s">
        <v>150</v>
      </c>
      <c r="BP6" s="9"/>
      <c r="BQ6" s="9"/>
      <c r="BR6" s="1" t="s">
        <v>154</v>
      </c>
      <c r="BS6" s="1" t="s">
        <v>170</v>
      </c>
      <c r="BT6" s="9"/>
      <c r="BU6" s="1" t="s">
        <v>157</v>
      </c>
      <c r="BV6" s="7">
        <v>16.0</v>
      </c>
      <c r="BW6" s="1" t="s">
        <v>150</v>
      </c>
      <c r="BX6" s="1" t="s">
        <v>150</v>
      </c>
      <c r="BY6" s="1" t="s">
        <v>150</v>
      </c>
      <c r="BZ6" s="1" t="s">
        <v>158</v>
      </c>
      <c r="CA6" s="1"/>
      <c r="CB6" s="9"/>
      <c r="CC6" s="9"/>
      <c r="CD6" s="9"/>
      <c r="CE6" s="9"/>
      <c r="CF6" s="9"/>
      <c r="CG6" s="9"/>
      <c r="CH6" s="9"/>
      <c r="CI6" s="9"/>
      <c r="CJ6" s="9"/>
      <c r="CK6" s="9"/>
      <c r="CL6" s="1" t="s">
        <v>171</v>
      </c>
      <c r="CM6" s="7">
        <v>8.9</v>
      </c>
      <c r="CN6" s="7"/>
      <c r="CO6" s="7">
        <f t="shared" si="9"/>
        <v>0</v>
      </c>
      <c r="CP6" s="7"/>
      <c r="CQ6" s="7">
        <f t="shared" si="10"/>
        <v>0</v>
      </c>
      <c r="CR6" s="7"/>
      <c r="CS6" s="7">
        <f t="shared" si="11"/>
        <v>0</v>
      </c>
      <c r="CT6" s="7"/>
      <c r="CU6" s="7">
        <f t="shared" si="12"/>
        <v>0</v>
      </c>
      <c r="CV6" s="7" t="str">
        <f t="shared" si="13"/>
        <v>#DIV/0!</v>
      </c>
      <c r="CW6" s="7">
        <v>4.9</v>
      </c>
      <c r="CX6" s="7">
        <v>137.0</v>
      </c>
      <c r="CY6" s="7" t="str">
        <f t="shared" si="14"/>
        <v>Норма</v>
      </c>
      <c r="CZ6" s="7">
        <v>37.0</v>
      </c>
      <c r="DA6" s="9"/>
      <c r="DB6" s="7">
        <v>137.9</v>
      </c>
      <c r="DC6" s="7">
        <v>14.1</v>
      </c>
      <c r="DD6" s="7"/>
      <c r="DE6" s="7"/>
      <c r="DF6" s="7"/>
      <c r="DG6" s="7"/>
      <c r="DH6" s="7"/>
      <c r="DI6" s="7"/>
      <c r="DJ6" s="7"/>
      <c r="DK6" s="7"/>
      <c r="DL6" s="7"/>
      <c r="DM6" s="7">
        <v>4.6</v>
      </c>
      <c r="DN6" s="7">
        <v>141.0</v>
      </c>
      <c r="DO6" s="7" t="str">
        <f t="shared" si="15"/>
        <v>Норма</v>
      </c>
      <c r="DP6" s="7">
        <v>25.0</v>
      </c>
      <c r="DQ6" s="7">
        <v>101.0</v>
      </c>
      <c r="DR6" s="7">
        <v>16.0</v>
      </c>
      <c r="DS6" s="13">
        <v>6.1</v>
      </c>
      <c r="DT6" s="7">
        <v>37.9</v>
      </c>
      <c r="DU6" s="7">
        <v>13.9</v>
      </c>
      <c r="DV6" s="7">
        <v>1.2</v>
      </c>
      <c r="DW6" s="7">
        <v>0.76</v>
      </c>
      <c r="DX6" s="9"/>
      <c r="DY6" s="9"/>
      <c r="DZ6" s="9"/>
      <c r="EA6" s="9"/>
      <c r="EB6" s="7"/>
      <c r="EC6" s="7">
        <v>7.7</v>
      </c>
      <c r="ED6" s="7">
        <v>5.8</v>
      </c>
      <c r="EE6" s="7">
        <v>24.0</v>
      </c>
      <c r="EF6" s="7">
        <v>27.0</v>
      </c>
      <c r="EG6" s="7">
        <v>67.0</v>
      </c>
      <c r="EH6" s="7">
        <v>9.1</v>
      </c>
      <c r="EI6" s="7">
        <v>2.0</v>
      </c>
      <c r="EJ6" s="7">
        <v>70.0</v>
      </c>
      <c r="EK6" s="14">
        <f t="shared" si="16"/>
        <v>78.61295268</v>
      </c>
      <c r="EL6" s="11" t="str">
        <f t="shared" si="17"/>
        <v>C2</v>
      </c>
      <c r="EM6" s="9"/>
      <c r="EN6" s="9"/>
      <c r="EO6" s="7">
        <v>71.0</v>
      </c>
      <c r="EP6" s="7">
        <v>18.0</v>
      </c>
      <c r="EQ6" s="7">
        <v>56.0</v>
      </c>
      <c r="ER6" s="7">
        <v>25.0</v>
      </c>
      <c r="ES6" s="7">
        <v>5.8</v>
      </c>
      <c r="ET6" s="7">
        <v>70.0</v>
      </c>
      <c r="EU6" s="11">
        <f t="shared" si="18"/>
        <v>78.61295268</v>
      </c>
      <c r="EV6" s="11" t="str">
        <f t="shared" si="19"/>
        <v>C2</v>
      </c>
      <c r="EW6" s="9"/>
      <c r="EX6" s="9"/>
      <c r="EY6" s="9" t="str">
        <f t="shared" si="20"/>
        <v>#DIV/0!</v>
      </c>
      <c r="EZ6" s="9" t="str">
        <f t="shared" si="21"/>
        <v>#DIV/0!</v>
      </c>
      <c r="FA6" s="9" t="str">
        <f t="shared" si="22"/>
        <v>#DIV/0!</v>
      </c>
      <c r="FB6" s="9"/>
      <c r="FC6" s="1" t="s">
        <v>148</v>
      </c>
    </row>
    <row r="7">
      <c r="A7" s="7">
        <v>6.0</v>
      </c>
      <c r="B7" s="8">
        <v>6.0</v>
      </c>
      <c r="C7" s="7">
        <v>31583.0</v>
      </c>
      <c r="D7" s="1" t="s">
        <v>148</v>
      </c>
      <c r="E7" s="7">
        <v>54.0</v>
      </c>
      <c r="F7" s="1" t="s">
        <v>161</v>
      </c>
      <c r="G7" s="7"/>
      <c r="H7" s="7">
        <v>6.0</v>
      </c>
      <c r="I7" s="1" t="s">
        <v>150</v>
      </c>
      <c r="J7" s="1" t="s">
        <v>154</v>
      </c>
      <c r="K7" s="1" t="s">
        <v>172</v>
      </c>
      <c r="L7" s="1" t="s">
        <v>150</v>
      </c>
      <c r="M7" s="1" t="s">
        <v>150</v>
      </c>
      <c r="N7" s="9"/>
      <c r="O7" s="1" t="str">
        <f t="shared" si="1"/>
        <v>нет</v>
      </c>
      <c r="P7" s="1" t="s">
        <v>150</v>
      </c>
      <c r="Q7" s="1" t="s">
        <v>150</v>
      </c>
      <c r="R7" s="9"/>
      <c r="S7" s="1" t="s">
        <v>150</v>
      </c>
      <c r="T7" s="9"/>
      <c r="U7" s="9"/>
      <c r="V7" s="9"/>
      <c r="W7" s="9"/>
      <c r="X7" s="9"/>
      <c r="Y7" s="1" t="s">
        <v>150</v>
      </c>
      <c r="Z7" s="9"/>
      <c r="AA7" s="9"/>
      <c r="AB7" s="9"/>
      <c r="AC7" s="9"/>
      <c r="AD7" s="1"/>
      <c r="AE7" s="1" t="s">
        <v>150</v>
      </c>
      <c r="AF7" s="7">
        <v>0.0</v>
      </c>
      <c r="AG7" s="1" t="s">
        <v>162</v>
      </c>
      <c r="AH7" s="1" t="s">
        <v>152</v>
      </c>
      <c r="AI7" s="1" t="s">
        <v>153</v>
      </c>
      <c r="AJ7" s="7">
        <v>2.0</v>
      </c>
      <c r="AK7" s="1" t="s">
        <v>154</v>
      </c>
      <c r="AL7" s="1"/>
      <c r="AM7" s="1"/>
      <c r="AN7" s="1">
        <v>15.0</v>
      </c>
      <c r="AO7" s="1" t="str">
        <f t="shared" si="2"/>
        <v>нет</v>
      </c>
      <c r="AP7" s="9"/>
      <c r="AQ7" s="9"/>
      <c r="AR7" s="9" t="str">
        <f t="shared" si="3"/>
        <v>#DIV/0!</v>
      </c>
      <c r="AS7" s="7" t="str">
        <f t="shared" si="4"/>
        <v>#DIV/0!</v>
      </c>
      <c r="AT7" s="7">
        <v>130.0</v>
      </c>
      <c r="AU7" s="7">
        <v>80.0</v>
      </c>
      <c r="AV7" s="8">
        <v>105.0</v>
      </c>
      <c r="AW7" s="7">
        <v>73.0</v>
      </c>
      <c r="AX7" s="7">
        <v>36.7</v>
      </c>
      <c r="AY7" s="7">
        <v>22.0</v>
      </c>
      <c r="AZ7" s="7">
        <v>95.0</v>
      </c>
      <c r="BA7" s="10" t="str">
        <f t="shared" si="5"/>
        <v>да</v>
      </c>
      <c r="BB7" s="9"/>
      <c r="BC7" s="11"/>
      <c r="BD7" s="12" t="str">
        <f t="shared" si="6"/>
        <v>#DIV/0!</v>
      </c>
      <c r="BE7" s="12">
        <f t="shared" si="7"/>
        <v>1</v>
      </c>
      <c r="BF7" s="12">
        <f t="shared" si="8"/>
        <v>3</v>
      </c>
      <c r="BG7" s="1" t="s">
        <v>150</v>
      </c>
      <c r="BH7" s="9"/>
      <c r="BI7" s="1" t="s">
        <v>150</v>
      </c>
      <c r="BJ7" s="9"/>
      <c r="BK7" s="1" t="s">
        <v>150</v>
      </c>
      <c r="BL7" s="9"/>
      <c r="BM7" s="1" t="s">
        <v>154</v>
      </c>
      <c r="BN7" s="1" t="s">
        <v>155</v>
      </c>
      <c r="BO7" s="1" t="s">
        <v>150</v>
      </c>
      <c r="BP7" s="9"/>
      <c r="BQ7" s="9"/>
      <c r="BR7" s="1" t="s">
        <v>154</v>
      </c>
      <c r="BS7" s="1" t="s">
        <v>170</v>
      </c>
      <c r="BT7" s="9"/>
      <c r="BU7" s="1" t="s">
        <v>157</v>
      </c>
      <c r="BV7" s="7">
        <v>16.0</v>
      </c>
      <c r="BW7" s="1" t="s">
        <v>150</v>
      </c>
      <c r="BX7" s="1" t="s">
        <v>150</v>
      </c>
      <c r="BY7" s="1" t="s">
        <v>150</v>
      </c>
      <c r="BZ7" s="1" t="s">
        <v>158</v>
      </c>
      <c r="CA7" s="1"/>
      <c r="CB7" s="9"/>
      <c r="CC7" s="9"/>
      <c r="CD7" s="9"/>
      <c r="CE7" s="9"/>
      <c r="CF7" s="9"/>
      <c r="CG7" s="9"/>
      <c r="CH7" s="9"/>
      <c r="CI7" s="9"/>
      <c r="CJ7" s="9"/>
      <c r="CK7" s="9"/>
      <c r="CL7" s="1" t="s">
        <v>171</v>
      </c>
      <c r="CM7" s="7">
        <v>7.8</v>
      </c>
      <c r="CN7" s="7"/>
      <c r="CO7" s="7">
        <f t="shared" si="9"/>
        <v>0</v>
      </c>
      <c r="CP7" s="7"/>
      <c r="CQ7" s="7">
        <f t="shared" si="10"/>
        <v>0</v>
      </c>
      <c r="CR7" s="7"/>
      <c r="CS7" s="7">
        <f t="shared" si="11"/>
        <v>0</v>
      </c>
      <c r="CT7" s="7"/>
      <c r="CU7" s="7">
        <f t="shared" si="12"/>
        <v>0</v>
      </c>
      <c r="CV7" s="7" t="str">
        <f t="shared" si="13"/>
        <v>#DIV/0!</v>
      </c>
      <c r="CW7" s="7">
        <v>4.2</v>
      </c>
      <c r="CX7" s="7">
        <v>129.0</v>
      </c>
      <c r="CY7" s="7" t="str">
        <f t="shared" si="14"/>
        <v>Легкая степень</v>
      </c>
      <c r="CZ7" s="7">
        <v>2.0</v>
      </c>
      <c r="DA7" s="7">
        <v>240.0</v>
      </c>
      <c r="DB7" s="7">
        <v>20.3</v>
      </c>
      <c r="DC7" s="7">
        <v>8.3</v>
      </c>
      <c r="DD7" s="7"/>
      <c r="DE7" s="7"/>
      <c r="DF7" s="7"/>
      <c r="DG7" s="7"/>
      <c r="DH7" s="7"/>
      <c r="DI7" s="7"/>
      <c r="DJ7" s="7"/>
      <c r="DK7" s="7"/>
      <c r="DL7" s="7"/>
      <c r="DM7" s="7">
        <v>4.4</v>
      </c>
      <c r="DN7" s="7">
        <v>137.0</v>
      </c>
      <c r="DO7" s="7" t="str">
        <f t="shared" si="15"/>
        <v>Норма</v>
      </c>
      <c r="DP7" s="7">
        <v>7.0</v>
      </c>
      <c r="DQ7" s="7">
        <v>148.0</v>
      </c>
      <c r="DR7" s="7">
        <v>18.0</v>
      </c>
      <c r="DS7" s="13">
        <v>5.5</v>
      </c>
      <c r="DT7" s="7">
        <v>34.2</v>
      </c>
      <c r="DU7" s="7">
        <v>13.1</v>
      </c>
      <c r="DV7" s="7">
        <v>1.1</v>
      </c>
      <c r="DW7" s="7">
        <v>0.35</v>
      </c>
      <c r="DX7" s="9"/>
      <c r="DY7" s="9"/>
      <c r="DZ7" s="9"/>
      <c r="EA7" s="9"/>
      <c r="EB7" s="7"/>
      <c r="EC7" s="7">
        <v>8.1</v>
      </c>
      <c r="ED7" s="7">
        <v>8.4</v>
      </c>
      <c r="EE7" s="7">
        <v>40.0</v>
      </c>
      <c r="EF7" s="7">
        <v>65.0</v>
      </c>
      <c r="EG7" s="7">
        <v>68.0</v>
      </c>
      <c r="EH7" s="7">
        <v>11.1</v>
      </c>
      <c r="EI7" s="7">
        <v>3.5</v>
      </c>
      <c r="EJ7" s="7">
        <v>200.0</v>
      </c>
      <c r="EK7" s="14">
        <f t="shared" si="16"/>
        <v>23.86880304</v>
      </c>
      <c r="EL7" s="11" t="str">
        <f t="shared" si="17"/>
        <v>C4</v>
      </c>
      <c r="EM7" s="9"/>
      <c r="EN7" s="9"/>
      <c r="EO7" s="7">
        <v>155.0</v>
      </c>
      <c r="EP7" s="7">
        <v>171.0</v>
      </c>
      <c r="EQ7" s="7">
        <v>66.0</v>
      </c>
      <c r="ER7" s="7">
        <v>4.1</v>
      </c>
      <c r="ES7" s="7">
        <v>0.6</v>
      </c>
      <c r="ET7" s="7">
        <v>80.0</v>
      </c>
      <c r="EU7" s="11">
        <f t="shared" si="18"/>
        <v>72.26701413</v>
      </c>
      <c r="EV7" s="11" t="str">
        <f t="shared" si="19"/>
        <v>C2</v>
      </c>
      <c r="EW7" s="9"/>
      <c r="EX7" s="9"/>
      <c r="EY7" s="9" t="str">
        <f t="shared" si="20"/>
        <v>#DIV/0!</v>
      </c>
      <c r="EZ7" s="9" t="str">
        <f t="shared" si="21"/>
        <v>#DIV/0!</v>
      </c>
      <c r="FA7" s="9" t="str">
        <f t="shared" si="22"/>
        <v>#DIV/0!</v>
      </c>
      <c r="FB7" s="9"/>
      <c r="FC7" s="1" t="s">
        <v>148</v>
      </c>
    </row>
    <row r="8">
      <c r="A8" s="7">
        <v>7.0</v>
      </c>
      <c r="B8" s="8">
        <v>7.0</v>
      </c>
      <c r="C8" s="7">
        <v>21657.0</v>
      </c>
      <c r="D8" s="1" t="s">
        <v>148</v>
      </c>
      <c r="E8" s="7">
        <v>45.0</v>
      </c>
      <c r="F8" s="1" t="s">
        <v>149</v>
      </c>
      <c r="G8" s="7"/>
      <c r="H8" s="7">
        <v>12.0</v>
      </c>
      <c r="I8" s="1" t="s">
        <v>150</v>
      </c>
      <c r="J8" s="1" t="s">
        <v>150</v>
      </c>
      <c r="K8" s="9"/>
      <c r="L8" s="1" t="s">
        <v>150</v>
      </c>
      <c r="M8" s="1" t="s">
        <v>150</v>
      </c>
      <c r="N8" s="9"/>
      <c r="O8" s="1" t="str">
        <f t="shared" si="1"/>
        <v>нет</v>
      </c>
      <c r="P8" s="1" t="s">
        <v>150</v>
      </c>
      <c r="Q8" s="1" t="s">
        <v>154</v>
      </c>
      <c r="R8" s="7">
        <v>2.0</v>
      </c>
      <c r="S8" s="1" t="s">
        <v>150</v>
      </c>
      <c r="T8" s="9"/>
      <c r="U8" s="9"/>
      <c r="V8" s="9"/>
      <c r="W8" s="9"/>
      <c r="X8" s="9"/>
      <c r="Y8" s="1" t="s">
        <v>150</v>
      </c>
      <c r="Z8" s="9"/>
      <c r="AA8" s="9"/>
      <c r="AB8" s="9"/>
      <c r="AC8" s="9"/>
      <c r="AD8" s="1"/>
      <c r="AE8" s="1" t="s">
        <v>150</v>
      </c>
      <c r="AF8" s="7">
        <v>0.0</v>
      </c>
      <c r="AG8" s="1" t="s">
        <v>162</v>
      </c>
      <c r="AH8" s="1" t="s">
        <v>152</v>
      </c>
      <c r="AI8" s="1" t="s">
        <v>168</v>
      </c>
      <c r="AJ8" s="7">
        <v>3.0</v>
      </c>
      <c r="AK8" s="1" t="s">
        <v>154</v>
      </c>
      <c r="AL8" s="1"/>
      <c r="AM8" s="1"/>
      <c r="AN8" s="1">
        <v>15.0</v>
      </c>
      <c r="AO8" s="1" t="str">
        <f t="shared" si="2"/>
        <v>нет</v>
      </c>
      <c r="AP8" s="9"/>
      <c r="AQ8" s="9"/>
      <c r="AR8" s="9" t="str">
        <f t="shared" si="3"/>
        <v>#DIV/0!</v>
      </c>
      <c r="AS8" s="7" t="str">
        <f t="shared" si="4"/>
        <v>#DIV/0!</v>
      </c>
      <c r="AT8" s="7">
        <v>140.0</v>
      </c>
      <c r="AU8" s="7">
        <v>70.0</v>
      </c>
      <c r="AV8" s="8">
        <v>105.0</v>
      </c>
      <c r="AW8" s="7">
        <v>101.0</v>
      </c>
      <c r="AX8" s="7">
        <v>37.5</v>
      </c>
      <c r="AY8" s="7">
        <v>28.0</v>
      </c>
      <c r="AZ8" s="7">
        <v>94.0</v>
      </c>
      <c r="BA8" s="10" t="str">
        <f t="shared" si="5"/>
        <v>да</v>
      </c>
      <c r="BB8" s="9"/>
      <c r="BC8" s="11"/>
      <c r="BD8" s="12" t="str">
        <f t="shared" si="6"/>
        <v>#DIV/0!</v>
      </c>
      <c r="BE8" s="12">
        <f t="shared" si="7"/>
        <v>1</v>
      </c>
      <c r="BF8" s="12">
        <f t="shared" si="8"/>
        <v>5</v>
      </c>
      <c r="BG8" s="1" t="s">
        <v>150</v>
      </c>
      <c r="BH8" s="9"/>
      <c r="BI8" s="1" t="s">
        <v>150</v>
      </c>
      <c r="BJ8" s="9"/>
      <c r="BK8" s="1" t="s">
        <v>150</v>
      </c>
      <c r="BL8" s="9"/>
      <c r="BM8" s="1" t="s">
        <v>154</v>
      </c>
      <c r="BN8" s="1" t="s">
        <v>155</v>
      </c>
      <c r="BO8" s="1" t="s">
        <v>150</v>
      </c>
      <c r="BP8" s="9"/>
      <c r="BQ8" s="9"/>
      <c r="BR8" s="1" t="s">
        <v>154</v>
      </c>
      <c r="BS8" s="1" t="s">
        <v>170</v>
      </c>
      <c r="BT8" s="7">
        <v>20.0</v>
      </c>
      <c r="BU8" s="1" t="s">
        <v>157</v>
      </c>
      <c r="BV8" s="7">
        <v>16.0</v>
      </c>
      <c r="BW8" s="1" t="s">
        <v>150</v>
      </c>
      <c r="BX8" s="1" t="s">
        <v>154</v>
      </c>
      <c r="BY8" s="1" t="s">
        <v>173</v>
      </c>
      <c r="BZ8" s="1" t="s">
        <v>158</v>
      </c>
      <c r="CA8" s="1"/>
      <c r="CB8" s="9"/>
      <c r="CC8" s="9"/>
      <c r="CD8" s="9"/>
      <c r="CE8" s="9"/>
      <c r="CF8" s="9"/>
      <c r="CG8" s="9"/>
      <c r="CH8" s="9"/>
      <c r="CI8" s="1" t="s">
        <v>154</v>
      </c>
      <c r="CJ8" s="9"/>
      <c r="CK8" s="9"/>
      <c r="CL8" s="1" t="s">
        <v>159</v>
      </c>
      <c r="CM8" s="7">
        <v>6.1</v>
      </c>
      <c r="CN8" s="7"/>
      <c r="CO8" s="7">
        <f t="shared" si="9"/>
        <v>0</v>
      </c>
      <c r="CP8" s="7"/>
      <c r="CQ8" s="7">
        <f t="shared" si="10"/>
        <v>0</v>
      </c>
      <c r="CR8" s="7"/>
      <c r="CS8" s="7">
        <f t="shared" si="11"/>
        <v>0</v>
      </c>
      <c r="CT8" s="7"/>
      <c r="CU8" s="7">
        <f t="shared" si="12"/>
        <v>0</v>
      </c>
      <c r="CV8" s="7" t="str">
        <f t="shared" si="13"/>
        <v>#DIV/0!</v>
      </c>
      <c r="CW8" s="7">
        <v>5.0</v>
      </c>
      <c r="CX8" s="7">
        <v>160.0</v>
      </c>
      <c r="CY8" s="7" t="str">
        <f t="shared" si="14"/>
        <v>Норма</v>
      </c>
      <c r="CZ8" s="7">
        <v>2.0</v>
      </c>
      <c r="DA8" s="7">
        <v>221.0</v>
      </c>
      <c r="DB8" s="7">
        <v>33.0</v>
      </c>
      <c r="DC8" s="7">
        <v>14.5</v>
      </c>
      <c r="DD8" s="7"/>
      <c r="DE8" s="7"/>
      <c r="DF8" s="7"/>
      <c r="DG8" s="7"/>
      <c r="DH8" s="7"/>
      <c r="DI8" s="7"/>
      <c r="DJ8" s="7"/>
      <c r="DK8" s="7"/>
      <c r="DL8" s="7"/>
      <c r="DM8" s="7">
        <v>4.9</v>
      </c>
      <c r="DN8" s="7">
        <v>154.0</v>
      </c>
      <c r="DO8" s="7" t="str">
        <f t="shared" si="15"/>
        <v>Норма</v>
      </c>
      <c r="DP8" s="7">
        <v>1.0</v>
      </c>
      <c r="DQ8" s="7">
        <v>325.0</v>
      </c>
      <c r="DR8" s="7">
        <v>11.9</v>
      </c>
      <c r="DS8" s="13">
        <v>2.49</v>
      </c>
      <c r="DT8" s="7">
        <v>23.8</v>
      </c>
      <c r="DU8" s="7">
        <v>10.9</v>
      </c>
      <c r="DV8" s="7">
        <v>0.98</v>
      </c>
      <c r="DW8" s="9"/>
      <c r="DX8" s="9"/>
      <c r="DY8" s="7">
        <v>24.2</v>
      </c>
      <c r="DZ8" s="7">
        <v>10.1</v>
      </c>
      <c r="EA8" s="7">
        <v>0.85</v>
      </c>
      <c r="EB8" s="7"/>
      <c r="EC8" s="7">
        <v>5.6</v>
      </c>
      <c r="ED8" s="9"/>
      <c r="EE8" s="7">
        <v>159.0</v>
      </c>
      <c r="EF8" s="7">
        <v>141.0</v>
      </c>
      <c r="EG8" s="7">
        <v>71.0</v>
      </c>
      <c r="EH8" s="7">
        <v>15.6</v>
      </c>
      <c r="EI8" s="7">
        <v>2.4</v>
      </c>
      <c r="EJ8" s="7">
        <v>100.0</v>
      </c>
      <c r="EK8" s="14">
        <f t="shared" si="16"/>
        <v>58.78041786</v>
      </c>
      <c r="EL8" s="11" t="str">
        <f t="shared" si="17"/>
        <v>C3a</v>
      </c>
      <c r="EM8" s="9"/>
      <c r="EN8" s="9"/>
      <c r="EO8" s="7">
        <v>552.0</v>
      </c>
      <c r="EP8" s="7">
        <v>146.0</v>
      </c>
      <c r="EQ8" s="7">
        <v>72.0</v>
      </c>
      <c r="ER8" s="7">
        <v>16.4</v>
      </c>
      <c r="ES8" s="7">
        <v>4.5</v>
      </c>
      <c r="ET8" s="7">
        <v>110.0</v>
      </c>
      <c r="EU8" s="11">
        <f t="shared" si="18"/>
        <v>52.38282458</v>
      </c>
      <c r="EV8" s="11" t="str">
        <f t="shared" si="19"/>
        <v>C3a</v>
      </c>
      <c r="EW8" s="9"/>
      <c r="EX8" s="9"/>
      <c r="EY8" s="9" t="str">
        <f t="shared" si="20"/>
        <v>#DIV/0!</v>
      </c>
      <c r="EZ8" s="9" t="str">
        <f t="shared" si="21"/>
        <v>#DIV/0!</v>
      </c>
      <c r="FA8" s="9" t="str">
        <f t="shared" si="22"/>
        <v>#DIV/0!</v>
      </c>
      <c r="FB8" s="9"/>
      <c r="FC8" s="1" t="s">
        <v>148</v>
      </c>
    </row>
    <row r="9">
      <c r="A9" s="7">
        <v>8.0</v>
      </c>
      <c r="B9" s="8">
        <v>8.0</v>
      </c>
      <c r="C9" s="7">
        <v>23104.0</v>
      </c>
      <c r="D9" s="1" t="s">
        <v>148</v>
      </c>
      <c r="E9" s="7">
        <v>54.0</v>
      </c>
      <c r="F9" s="1" t="s">
        <v>161</v>
      </c>
      <c r="G9" s="7"/>
      <c r="H9" s="7">
        <v>4.0</v>
      </c>
      <c r="I9" s="1" t="s">
        <v>150</v>
      </c>
      <c r="J9" s="1" t="s">
        <v>150</v>
      </c>
      <c r="K9" s="9"/>
      <c r="L9" s="1" t="s">
        <v>150</v>
      </c>
      <c r="M9" s="1" t="s">
        <v>150</v>
      </c>
      <c r="N9" s="9"/>
      <c r="O9" s="1" t="str">
        <f t="shared" si="1"/>
        <v>да</v>
      </c>
      <c r="P9" s="1" t="s">
        <v>150</v>
      </c>
      <c r="Q9" s="1" t="s">
        <v>150</v>
      </c>
      <c r="R9" s="9"/>
      <c r="S9" s="1" t="s">
        <v>150</v>
      </c>
      <c r="T9" s="9"/>
      <c r="U9" s="9"/>
      <c r="V9" s="9"/>
      <c r="W9" s="9"/>
      <c r="X9" s="9"/>
      <c r="Y9" s="1" t="s">
        <v>150</v>
      </c>
      <c r="Z9" s="9"/>
      <c r="AA9" s="9"/>
      <c r="AB9" s="9"/>
      <c r="AC9" s="9"/>
      <c r="AD9" s="1"/>
      <c r="AE9" s="1" t="s">
        <v>150</v>
      </c>
      <c r="AF9" s="7">
        <v>0.0</v>
      </c>
      <c r="AG9" s="1" t="s">
        <v>162</v>
      </c>
      <c r="AH9" s="1" t="s">
        <v>152</v>
      </c>
      <c r="AI9" s="1" t="s">
        <v>168</v>
      </c>
      <c r="AJ9" s="7">
        <v>3.0</v>
      </c>
      <c r="AK9" s="1" t="s">
        <v>154</v>
      </c>
      <c r="AL9" s="1"/>
      <c r="AM9" s="1"/>
      <c r="AN9" s="1">
        <v>15.0</v>
      </c>
      <c r="AO9" s="1" t="str">
        <f t="shared" si="2"/>
        <v>нет</v>
      </c>
      <c r="AP9" s="9"/>
      <c r="AQ9" s="9"/>
      <c r="AR9" s="9" t="str">
        <f t="shared" si="3"/>
        <v>#DIV/0!</v>
      </c>
      <c r="AS9" s="7" t="str">
        <f t="shared" si="4"/>
        <v>#DIV/0!</v>
      </c>
      <c r="AT9" s="7">
        <v>130.0</v>
      </c>
      <c r="AU9" s="7">
        <v>80.0</v>
      </c>
      <c r="AV9" s="8">
        <v>105.0</v>
      </c>
      <c r="AW9" s="7">
        <v>70.0</v>
      </c>
      <c r="AX9" s="7">
        <v>36.7</v>
      </c>
      <c r="AY9" s="7">
        <v>18.0</v>
      </c>
      <c r="AZ9" s="7">
        <v>99.0</v>
      </c>
      <c r="BA9" s="10" t="str">
        <f t="shared" si="5"/>
        <v>нет</v>
      </c>
      <c r="BB9" s="9"/>
      <c r="BC9" s="11"/>
      <c r="BD9" s="12" t="str">
        <f t="shared" si="6"/>
        <v>#DIV/0!</v>
      </c>
      <c r="BE9" s="12">
        <f t="shared" si="7"/>
        <v>0</v>
      </c>
      <c r="BF9" s="12">
        <f t="shared" si="8"/>
        <v>0</v>
      </c>
      <c r="BG9" s="1" t="s">
        <v>150</v>
      </c>
      <c r="BH9" s="9"/>
      <c r="BI9" s="1" t="s">
        <v>150</v>
      </c>
      <c r="BJ9" s="9"/>
      <c r="BK9" s="1" t="s">
        <v>150</v>
      </c>
      <c r="BL9" s="9"/>
      <c r="BM9" s="1" t="s">
        <v>154</v>
      </c>
      <c r="BN9" s="1" t="s">
        <v>155</v>
      </c>
      <c r="BO9" s="1" t="s">
        <v>154</v>
      </c>
      <c r="BP9" s="1" t="s">
        <v>157</v>
      </c>
      <c r="BQ9" s="9"/>
      <c r="BR9" s="1" t="s">
        <v>154</v>
      </c>
      <c r="BS9" s="1" t="s">
        <v>174</v>
      </c>
      <c r="BT9" s="7">
        <v>48.0</v>
      </c>
      <c r="BU9" s="1" t="s">
        <v>157</v>
      </c>
      <c r="BV9" s="7">
        <v>18.0</v>
      </c>
      <c r="BW9" s="1" t="s">
        <v>150</v>
      </c>
      <c r="BX9" s="1" t="s">
        <v>150</v>
      </c>
      <c r="BY9" s="1" t="s">
        <v>150</v>
      </c>
      <c r="BZ9" s="1" t="s">
        <v>158</v>
      </c>
      <c r="CA9" s="1"/>
      <c r="CB9" s="9"/>
      <c r="CC9" s="9"/>
      <c r="CD9" s="9"/>
      <c r="CE9" s="9"/>
      <c r="CF9" s="9"/>
      <c r="CG9" s="9"/>
      <c r="CH9" s="9"/>
      <c r="CI9" s="9"/>
      <c r="CJ9" s="9"/>
      <c r="CK9" s="9"/>
      <c r="CL9" s="1" t="s">
        <v>159</v>
      </c>
      <c r="CM9" s="7">
        <v>7.2</v>
      </c>
      <c r="CN9" s="7"/>
      <c r="CO9" s="7">
        <f t="shared" si="9"/>
        <v>0</v>
      </c>
      <c r="CP9" s="7"/>
      <c r="CQ9" s="7">
        <f t="shared" si="10"/>
        <v>0</v>
      </c>
      <c r="CR9" s="7"/>
      <c r="CS9" s="7">
        <f t="shared" si="11"/>
        <v>0</v>
      </c>
      <c r="CT9" s="7"/>
      <c r="CU9" s="7">
        <f t="shared" si="12"/>
        <v>0</v>
      </c>
      <c r="CV9" s="7" t="str">
        <f t="shared" si="13"/>
        <v>#DIV/0!</v>
      </c>
      <c r="CW9" s="7">
        <v>3.9</v>
      </c>
      <c r="CX9" s="7">
        <v>129.0</v>
      </c>
      <c r="CY9" s="7" t="str">
        <f t="shared" si="14"/>
        <v>Легкая степень</v>
      </c>
      <c r="CZ9" s="7">
        <v>12.0</v>
      </c>
      <c r="DA9" s="7">
        <v>240.0</v>
      </c>
      <c r="DB9" s="7">
        <v>2.4</v>
      </c>
      <c r="DC9" s="7">
        <v>12.5</v>
      </c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7" t="str">
        <f t="shared" si="15"/>
        <v>Тяжелая степень</v>
      </c>
      <c r="DP9" s="9"/>
      <c r="DQ9" s="9"/>
      <c r="DR9" s="9"/>
      <c r="DS9" s="13">
        <v>3.8</v>
      </c>
      <c r="DT9" s="7">
        <v>37.8</v>
      </c>
      <c r="DU9" s="7">
        <v>12.9</v>
      </c>
      <c r="DV9" s="7">
        <v>1.08</v>
      </c>
      <c r="DW9" s="7">
        <v>0.77</v>
      </c>
      <c r="DX9" s="9"/>
      <c r="DY9" s="9"/>
      <c r="DZ9" s="9"/>
      <c r="EA9" s="9"/>
      <c r="EB9" s="7"/>
      <c r="EC9" s="7">
        <v>6.28</v>
      </c>
      <c r="ED9" s="9"/>
      <c r="EE9" s="7">
        <v>12.0</v>
      </c>
      <c r="EF9" s="7">
        <v>14.0</v>
      </c>
      <c r="EG9" s="7">
        <v>74.0</v>
      </c>
      <c r="EH9" s="7">
        <v>9.6</v>
      </c>
      <c r="EI9" s="7">
        <v>1.2</v>
      </c>
      <c r="EJ9" s="7">
        <v>50.0</v>
      </c>
      <c r="EK9" s="14">
        <f t="shared" si="16"/>
        <v>105.7126605</v>
      </c>
      <c r="EL9" s="11" t="str">
        <f t="shared" si="17"/>
        <v>C1</v>
      </c>
      <c r="EM9" s="9"/>
      <c r="EN9" s="9"/>
      <c r="EO9" s="9"/>
      <c r="EP9" s="9"/>
      <c r="EQ9" s="9"/>
      <c r="ER9" s="9"/>
      <c r="ES9" s="9"/>
      <c r="ET9" s="9"/>
      <c r="EU9" s="11" t="str">
        <f t="shared" si="18"/>
        <v>#NUM!</v>
      </c>
      <c r="EV9" s="11" t="str">
        <f t="shared" si="19"/>
        <v>#NUM!</v>
      </c>
      <c r="EW9" s="9"/>
      <c r="EX9" s="9"/>
      <c r="EY9" s="9" t="str">
        <f t="shared" si="20"/>
        <v>#DIV/0!</v>
      </c>
      <c r="EZ9" s="9" t="str">
        <f t="shared" si="21"/>
        <v>#DIV/0!</v>
      </c>
      <c r="FA9" s="9" t="str">
        <f t="shared" si="22"/>
        <v>#DIV/0!</v>
      </c>
      <c r="FB9" s="9"/>
      <c r="FC9" s="1" t="s">
        <v>148</v>
      </c>
    </row>
    <row r="10">
      <c r="A10" s="7">
        <v>9.0</v>
      </c>
      <c r="B10" s="8">
        <v>9.0</v>
      </c>
      <c r="C10" s="7">
        <v>13683.0</v>
      </c>
      <c r="D10" s="1" t="s">
        <v>148</v>
      </c>
      <c r="E10" s="7">
        <v>67.0</v>
      </c>
      <c r="F10" s="1" t="s">
        <v>161</v>
      </c>
      <c r="G10" s="7"/>
      <c r="H10" s="7">
        <v>16.0</v>
      </c>
      <c r="I10" s="1" t="s">
        <v>150</v>
      </c>
      <c r="J10" s="1" t="s">
        <v>150</v>
      </c>
      <c r="K10" s="9"/>
      <c r="L10" s="1" t="s">
        <v>150</v>
      </c>
      <c r="M10" s="1" t="s">
        <v>150</v>
      </c>
      <c r="N10" s="9"/>
      <c r="O10" s="1" t="str">
        <f t="shared" si="1"/>
        <v>нет</v>
      </c>
      <c r="P10" s="1" t="s">
        <v>150</v>
      </c>
      <c r="Q10" s="1" t="s">
        <v>154</v>
      </c>
      <c r="R10" s="7">
        <v>3.0</v>
      </c>
      <c r="S10" s="1" t="s">
        <v>150</v>
      </c>
      <c r="T10" s="9"/>
      <c r="U10" s="9"/>
      <c r="V10" s="9"/>
      <c r="W10" s="9"/>
      <c r="X10" s="9"/>
      <c r="Y10" s="1" t="s">
        <v>150</v>
      </c>
      <c r="Z10" s="9"/>
      <c r="AA10" s="9"/>
      <c r="AB10" s="9"/>
      <c r="AC10" s="9"/>
      <c r="AD10" s="1"/>
      <c r="AE10" s="1" t="s">
        <v>150</v>
      </c>
      <c r="AF10" s="7">
        <v>0.0</v>
      </c>
      <c r="AG10" s="1" t="s">
        <v>162</v>
      </c>
      <c r="AH10" s="1" t="s">
        <v>152</v>
      </c>
      <c r="AI10" s="1" t="s">
        <v>168</v>
      </c>
      <c r="AJ10" s="7">
        <v>2.0</v>
      </c>
      <c r="AK10" s="1" t="s">
        <v>154</v>
      </c>
      <c r="AL10" s="1"/>
      <c r="AM10" s="1"/>
      <c r="AN10" s="1">
        <v>15.0</v>
      </c>
      <c r="AO10" s="1" t="str">
        <f t="shared" si="2"/>
        <v>нет</v>
      </c>
      <c r="AP10" s="9"/>
      <c r="AQ10" s="9"/>
      <c r="AR10" s="9" t="str">
        <f t="shared" si="3"/>
        <v>#DIV/0!</v>
      </c>
      <c r="AS10" s="7" t="str">
        <f t="shared" si="4"/>
        <v>#DIV/0!</v>
      </c>
      <c r="AT10" s="7">
        <v>160.0</v>
      </c>
      <c r="AU10" s="7">
        <v>110.0</v>
      </c>
      <c r="AV10" s="8">
        <v>135.0</v>
      </c>
      <c r="AW10" s="7">
        <v>112.0</v>
      </c>
      <c r="AX10" s="7">
        <v>38.0</v>
      </c>
      <c r="AY10" s="7">
        <v>24.0</v>
      </c>
      <c r="AZ10" s="7">
        <v>86.0</v>
      </c>
      <c r="BA10" s="10" t="str">
        <f t="shared" si="5"/>
        <v>да</v>
      </c>
      <c r="BB10" s="9"/>
      <c r="BC10" s="11"/>
      <c r="BD10" s="12" t="str">
        <f t="shared" si="6"/>
        <v>#DIV/0!</v>
      </c>
      <c r="BE10" s="12">
        <f t="shared" si="7"/>
        <v>1</v>
      </c>
      <c r="BF10" s="12">
        <f t="shared" si="8"/>
        <v>7</v>
      </c>
      <c r="BG10" s="1" t="s">
        <v>154</v>
      </c>
      <c r="BH10" s="1" t="s">
        <v>175</v>
      </c>
      <c r="BI10" s="1" t="s">
        <v>150</v>
      </c>
      <c r="BJ10" s="9"/>
      <c r="BK10" s="1" t="s">
        <v>150</v>
      </c>
      <c r="BL10" s="9"/>
      <c r="BM10" s="1" t="s">
        <v>154</v>
      </c>
      <c r="BN10" s="1" t="s">
        <v>155</v>
      </c>
      <c r="BO10" s="1" t="s">
        <v>150</v>
      </c>
      <c r="BP10" s="9"/>
      <c r="BQ10" s="9"/>
      <c r="BR10" s="1" t="s">
        <v>154</v>
      </c>
      <c r="BS10" s="1" t="s">
        <v>170</v>
      </c>
      <c r="BT10" s="7">
        <v>16.0</v>
      </c>
      <c r="BU10" s="1" t="s">
        <v>157</v>
      </c>
      <c r="BV10" s="7">
        <v>16.0</v>
      </c>
      <c r="BW10" s="1" t="s">
        <v>150</v>
      </c>
      <c r="BX10" s="1" t="s">
        <v>150</v>
      </c>
      <c r="BY10" s="1" t="s">
        <v>150</v>
      </c>
      <c r="BZ10" s="1" t="s">
        <v>158</v>
      </c>
      <c r="CA10" s="1" t="s">
        <v>176</v>
      </c>
      <c r="CC10" s="9"/>
      <c r="CD10" s="9"/>
      <c r="CE10" s="1" t="s">
        <v>177</v>
      </c>
      <c r="CG10" s="9"/>
      <c r="CH10" s="9"/>
      <c r="CI10" s="9"/>
      <c r="CJ10" s="9"/>
      <c r="CK10" s="9"/>
      <c r="CL10" s="1" t="s">
        <v>159</v>
      </c>
      <c r="CM10" s="7">
        <v>4.8</v>
      </c>
      <c r="CN10" s="7"/>
      <c r="CO10" s="7">
        <f t="shared" si="9"/>
        <v>0</v>
      </c>
      <c r="CP10" s="7"/>
      <c r="CQ10" s="7">
        <f t="shared" si="10"/>
        <v>0</v>
      </c>
      <c r="CR10" s="7"/>
      <c r="CS10" s="7">
        <f t="shared" si="11"/>
        <v>0</v>
      </c>
      <c r="CT10" s="7"/>
      <c r="CU10" s="7">
        <f t="shared" si="12"/>
        <v>0</v>
      </c>
      <c r="CV10" s="7" t="str">
        <f t="shared" si="13"/>
        <v>#DIV/0!</v>
      </c>
      <c r="CW10" s="7">
        <v>4.4</v>
      </c>
      <c r="CX10" s="7">
        <v>133.0</v>
      </c>
      <c r="CY10" s="7" t="str">
        <f t="shared" si="14"/>
        <v>Норма</v>
      </c>
      <c r="CZ10" s="9"/>
      <c r="DA10" s="7">
        <v>130.0</v>
      </c>
      <c r="DB10" s="7">
        <v>139.5</v>
      </c>
      <c r="DC10" s="7">
        <v>8.1</v>
      </c>
      <c r="DD10" s="7"/>
      <c r="DE10" s="7"/>
      <c r="DF10" s="7"/>
      <c r="DG10" s="7"/>
      <c r="DH10" s="7"/>
      <c r="DI10" s="7"/>
      <c r="DJ10" s="7"/>
      <c r="DK10" s="7"/>
      <c r="DL10" s="7"/>
      <c r="DM10" s="7">
        <v>4.0</v>
      </c>
      <c r="DN10" s="7">
        <v>123.0</v>
      </c>
      <c r="DO10" s="7" t="str">
        <f t="shared" si="15"/>
        <v>Легкая степень</v>
      </c>
      <c r="DP10" s="7">
        <v>22.0</v>
      </c>
      <c r="DQ10" s="7">
        <v>258.0</v>
      </c>
      <c r="DR10" s="7">
        <v>9.7</v>
      </c>
      <c r="DS10" s="13">
        <v>5.5</v>
      </c>
      <c r="DT10" s="7">
        <v>35.7</v>
      </c>
      <c r="DU10" s="7">
        <v>11.1</v>
      </c>
      <c r="DV10" s="7">
        <v>0.93</v>
      </c>
      <c r="DW10" s="7">
        <v>1.66</v>
      </c>
      <c r="DX10" s="9"/>
      <c r="DY10" s="7">
        <v>22.1</v>
      </c>
      <c r="DZ10" s="7">
        <v>10.6</v>
      </c>
      <c r="EA10" s="7">
        <v>0.95</v>
      </c>
      <c r="EB10" s="7"/>
      <c r="EC10" s="7">
        <v>8.0</v>
      </c>
      <c r="ED10" s="7">
        <v>13.1</v>
      </c>
      <c r="EE10" s="7">
        <v>36.0</v>
      </c>
      <c r="EF10" s="7">
        <v>50.0</v>
      </c>
      <c r="EG10" s="7">
        <v>74.0</v>
      </c>
      <c r="EH10" s="7">
        <v>15.0</v>
      </c>
      <c r="EI10" s="7">
        <v>4.0</v>
      </c>
      <c r="EJ10" s="7">
        <v>100.0</v>
      </c>
      <c r="EK10" s="14">
        <f t="shared" si="16"/>
        <v>50.36352694</v>
      </c>
      <c r="EL10" s="11" t="str">
        <f t="shared" si="17"/>
        <v>C3a</v>
      </c>
      <c r="EM10" s="9"/>
      <c r="EN10" s="9"/>
      <c r="EO10" s="7">
        <v>124.0</v>
      </c>
      <c r="EP10" s="7">
        <v>66.0</v>
      </c>
      <c r="EQ10" s="7">
        <v>65.0</v>
      </c>
      <c r="ER10" s="7">
        <v>12.2</v>
      </c>
      <c r="ES10" s="7">
        <v>2.7</v>
      </c>
      <c r="ET10" s="7">
        <v>90.0</v>
      </c>
      <c r="EU10" s="11">
        <f t="shared" si="18"/>
        <v>57.20538885</v>
      </c>
      <c r="EV10" s="11" t="str">
        <f t="shared" si="19"/>
        <v>C3a</v>
      </c>
      <c r="EW10" s="9"/>
      <c r="EX10" s="9"/>
      <c r="EY10" s="9" t="str">
        <f t="shared" si="20"/>
        <v>#DIV/0!</v>
      </c>
      <c r="EZ10" s="9" t="str">
        <f t="shared" si="21"/>
        <v>#DIV/0!</v>
      </c>
      <c r="FA10" s="9" t="str">
        <f t="shared" si="22"/>
        <v>#DIV/0!</v>
      </c>
      <c r="FB10" s="9"/>
      <c r="FC10" s="1" t="s">
        <v>148</v>
      </c>
    </row>
    <row r="11">
      <c r="A11" s="7">
        <v>10.0</v>
      </c>
      <c r="B11" s="8">
        <v>10.0</v>
      </c>
      <c r="C11" s="7">
        <v>25665.0</v>
      </c>
      <c r="D11" s="1" t="s">
        <v>148</v>
      </c>
      <c r="E11" s="7">
        <v>50.0</v>
      </c>
      <c r="F11" s="1" t="s">
        <v>161</v>
      </c>
      <c r="G11" s="7"/>
      <c r="H11" s="7">
        <v>14.0</v>
      </c>
      <c r="I11" s="1" t="s">
        <v>150</v>
      </c>
      <c r="J11" s="1" t="s">
        <v>150</v>
      </c>
      <c r="K11" s="9"/>
      <c r="L11" s="1" t="s">
        <v>150</v>
      </c>
      <c r="M11" s="1" t="s">
        <v>154</v>
      </c>
      <c r="N11" s="1" t="s">
        <v>178</v>
      </c>
      <c r="O11" s="1" t="str">
        <f t="shared" si="1"/>
        <v>нет</v>
      </c>
      <c r="P11" s="1" t="s">
        <v>154</v>
      </c>
      <c r="Q11" s="1" t="s">
        <v>154</v>
      </c>
      <c r="R11" s="7">
        <v>2.0</v>
      </c>
      <c r="S11" s="1" t="s">
        <v>150</v>
      </c>
      <c r="T11" s="9"/>
      <c r="U11" s="9"/>
      <c r="V11" s="9"/>
      <c r="W11" s="9"/>
      <c r="X11" s="9"/>
      <c r="Y11" s="1" t="s">
        <v>150</v>
      </c>
      <c r="Z11" s="9"/>
      <c r="AA11" s="9"/>
      <c r="AB11" s="9"/>
      <c r="AC11" s="9"/>
      <c r="AD11" s="1"/>
      <c r="AE11" s="1" t="s">
        <v>150</v>
      </c>
      <c r="AF11" s="7">
        <v>0.0</v>
      </c>
      <c r="AG11" s="1" t="s">
        <v>162</v>
      </c>
      <c r="AH11" s="1" t="s">
        <v>152</v>
      </c>
      <c r="AI11" s="1" t="s">
        <v>168</v>
      </c>
      <c r="AJ11" s="7">
        <v>2.0</v>
      </c>
      <c r="AK11" s="1" t="s">
        <v>154</v>
      </c>
      <c r="AL11" s="1"/>
      <c r="AM11" s="1"/>
      <c r="AN11" s="1">
        <v>15.0</v>
      </c>
      <c r="AO11" s="1" t="str">
        <f t="shared" si="2"/>
        <v>нет</v>
      </c>
      <c r="AP11" s="9"/>
      <c r="AQ11" s="9"/>
      <c r="AR11" s="9" t="str">
        <f t="shared" si="3"/>
        <v>#DIV/0!</v>
      </c>
      <c r="AS11" s="7" t="str">
        <f t="shared" si="4"/>
        <v>#DIV/0!</v>
      </c>
      <c r="AT11" s="7">
        <v>140.0</v>
      </c>
      <c r="AU11" s="7">
        <v>90.0</v>
      </c>
      <c r="AV11" s="8">
        <v>115.0</v>
      </c>
      <c r="AW11" s="7">
        <v>98.0</v>
      </c>
      <c r="AX11" s="7">
        <v>37.8</v>
      </c>
      <c r="AY11" s="7">
        <v>28.0</v>
      </c>
      <c r="AZ11" s="7">
        <v>90.0</v>
      </c>
      <c r="BA11" s="10" t="str">
        <f t="shared" si="5"/>
        <v>да</v>
      </c>
      <c r="BB11" s="9"/>
      <c r="BC11" s="11"/>
      <c r="BD11" s="12" t="str">
        <f t="shared" si="6"/>
        <v>#DIV/0!</v>
      </c>
      <c r="BE11" s="12">
        <f t="shared" si="7"/>
        <v>1</v>
      </c>
      <c r="BF11" s="12">
        <f t="shared" si="8"/>
        <v>7</v>
      </c>
      <c r="BG11" s="1" t="s">
        <v>150</v>
      </c>
      <c r="BH11" s="9"/>
      <c r="BI11" s="1" t="s">
        <v>154</v>
      </c>
      <c r="BJ11" s="1" t="s">
        <v>179</v>
      </c>
      <c r="BK11" s="1" t="s">
        <v>150</v>
      </c>
      <c r="BL11" s="9"/>
      <c r="BM11" s="1" t="s">
        <v>154</v>
      </c>
      <c r="BN11" s="1" t="s">
        <v>155</v>
      </c>
      <c r="BO11" s="1" t="s">
        <v>150</v>
      </c>
      <c r="BP11" s="9"/>
      <c r="BQ11" s="9"/>
      <c r="BR11" s="1" t="s">
        <v>154</v>
      </c>
      <c r="BS11" s="1" t="s">
        <v>170</v>
      </c>
      <c r="BT11" s="9"/>
      <c r="BU11" s="1" t="s">
        <v>157</v>
      </c>
      <c r="BV11" s="7">
        <v>12.0</v>
      </c>
      <c r="BW11" s="1" t="s">
        <v>150</v>
      </c>
      <c r="BX11" s="1" t="s">
        <v>150</v>
      </c>
      <c r="BY11" s="1" t="s">
        <v>150</v>
      </c>
      <c r="BZ11" s="1" t="s">
        <v>158</v>
      </c>
      <c r="CA11" s="1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1" t="s">
        <v>180</v>
      </c>
      <c r="CM11" s="7">
        <v>8.6</v>
      </c>
      <c r="CN11" s="7"/>
      <c r="CO11" s="7">
        <f t="shared" si="9"/>
        <v>0</v>
      </c>
      <c r="CP11" s="7"/>
      <c r="CQ11" s="7">
        <f t="shared" si="10"/>
        <v>0</v>
      </c>
      <c r="CR11" s="7"/>
      <c r="CS11" s="7">
        <f t="shared" si="11"/>
        <v>0</v>
      </c>
      <c r="CT11" s="7"/>
      <c r="CU11" s="7">
        <f t="shared" si="12"/>
        <v>0</v>
      </c>
      <c r="CV11" s="7" t="str">
        <f t="shared" si="13"/>
        <v>#DIV/0!</v>
      </c>
      <c r="CW11" s="7">
        <v>4.4</v>
      </c>
      <c r="CX11" s="7">
        <v>134.0</v>
      </c>
      <c r="CY11" s="7" t="str">
        <f t="shared" si="14"/>
        <v>Норма</v>
      </c>
      <c r="CZ11" s="7">
        <v>16.0</v>
      </c>
      <c r="DA11" s="7">
        <v>276.0</v>
      </c>
      <c r="DB11" s="7">
        <v>169.0</v>
      </c>
      <c r="DC11" s="7">
        <v>14.2</v>
      </c>
      <c r="DD11" s="7"/>
      <c r="DE11" s="7"/>
      <c r="DF11" s="7"/>
      <c r="DG11" s="7"/>
      <c r="DH11" s="7"/>
      <c r="DI11" s="7"/>
      <c r="DJ11" s="7"/>
      <c r="DK11" s="7"/>
      <c r="DL11" s="7"/>
      <c r="DM11" s="7">
        <v>4.7</v>
      </c>
      <c r="DN11" s="7">
        <v>142.0</v>
      </c>
      <c r="DO11" s="7" t="str">
        <f t="shared" si="15"/>
        <v>Норма</v>
      </c>
      <c r="DP11" s="7">
        <v>10.0</v>
      </c>
      <c r="DQ11" s="7">
        <v>484.0</v>
      </c>
      <c r="DR11" s="7">
        <v>11.4</v>
      </c>
      <c r="DS11" s="13">
        <v>6.5</v>
      </c>
      <c r="DT11" s="7">
        <v>25.4</v>
      </c>
      <c r="DU11" s="7">
        <v>11.5</v>
      </c>
      <c r="DV11" s="7">
        <v>0.97</v>
      </c>
      <c r="DW11" s="7">
        <v>3.48</v>
      </c>
      <c r="DX11" s="9"/>
      <c r="DY11" s="7">
        <v>23.3</v>
      </c>
      <c r="DZ11" s="7">
        <v>12.3</v>
      </c>
      <c r="EA11" s="7">
        <v>1.0</v>
      </c>
      <c r="EB11" s="7"/>
      <c r="EC11" s="7">
        <v>11.1</v>
      </c>
      <c r="ED11" s="7">
        <v>17.8</v>
      </c>
      <c r="EE11" s="7">
        <v>65.0</v>
      </c>
      <c r="EF11" s="7">
        <v>43.0</v>
      </c>
      <c r="EG11" s="7">
        <v>76.0</v>
      </c>
      <c r="EH11" s="7">
        <v>10.0</v>
      </c>
      <c r="EI11" s="7">
        <v>2.0</v>
      </c>
      <c r="EJ11" s="7">
        <v>80.0</v>
      </c>
      <c r="EK11" s="14">
        <f t="shared" si="16"/>
        <v>74.32640325</v>
      </c>
      <c r="EL11" s="11" t="str">
        <f t="shared" si="17"/>
        <v>C2</v>
      </c>
      <c r="EM11" s="9"/>
      <c r="EN11" s="9"/>
      <c r="EO11" s="7">
        <v>33.0</v>
      </c>
      <c r="EP11" s="7">
        <v>17.0</v>
      </c>
      <c r="EQ11" s="7">
        <v>62.0</v>
      </c>
      <c r="ER11" s="7">
        <v>9.0</v>
      </c>
      <c r="ES11" s="7">
        <v>2.0</v>
      </c>
      <c r="ET11" s="7">
        <v>60.0</v>
      </c>
      <c r="EU11" s="11">
        <f t="shared" si="18"/>
        <v>102.3951482</v>
      </c>
      <c r="EV11" s="11" t="str">
        <f t="shared" si="19"/>
        <v>C1</v>
      </c>
      <c r="EW11" s="9"/>
      <c r="EX11" s="9"/>
      <c r="EY11" s="9" t="str">
        <f t="shared" si="20"/>
        <v>#DIV/0!</v>
      </c>
      <c r="EZ11" s="9" t="str">
        <f t="shared" si="21"/>
        <v>#DIV/0!</v>
      </c>
      <c r="FA11" s="9" t="str">
        <f t="shared" si="22"/>
        <v>#DIV/0!</v>
      </c>
      <c r="FB11" s="9"/>
      <c r="FC11" s="1" t="s">
        <v>148</v>
      </c>
    </row>
    <row r="12">
      <c r="A12" s="7">
        <v>11.0</v>
      </c>
      <c r="B12" s="8">
        <v>11.0</v>
      </c>
      <c r="C12" s="7">
        <v>4010.0</v>
      </c>
      <c r="D12" s="1" t="s">
        <v>148</v>
      </c>
      <c r="E12" s="7">
        <v>68.0</v>
      </c>
      <c r="F12" s="1" t="s">
        <v>161</v>
      </c>
      <c r="G12" s="7"/>
      <c r="H12" s="7">
        <v>12.0</v>
      </c>
      <c r="I12" s="1" t="s">
        <v>150</v>
      </c>
      <c r="J12" s="1" t="s">
        <v>150</v>
      </c>
      <c r="K12" s="9"/>
      <c r="L12" s="1" t="s">
        <v>150</v>
      </c>
      <c r="M12" s="1" t="s">
        <v>150</v>
      </c>
      <c r="N12" s="9"/>
      <c r="O12" s="1" t="str">
        <f t="shared" si="1"/>
        <v>нет</v>
      </c>
      <c r="P12" s="1" t="s">
        <v>150</v>
      </c>
      <c r="Q12" s="1" t="s">
        <v>154</v>
      </c>
      <c r="R12" s="7">
        <v>2.0</v>
      </c>
      <c r="S12" s="1" t="s">
        <v>154</v>
      </c>
      <c r="T12" s="1" t="s">
        <v>181</v>
      </c>
      <c r="X12" s="9"/>
      <c r="Y12" s="1" t="s">
        <v>150</v>
      </c>
      <c r="Z12" s="9"/>
      <c r="AA12" s="9"/>
      <c r="AB12" s="9"/>
      <c r="AC12" s="9"/>
      <c r="AD12" s="1"/>
      <c r="AE12" s="1" t="s">
        <v>150</v>
      </c>
      <c r="AF12" s="7">
        <v>0.0</v>
      </c>
      <c r="AG12" s="1" t="s">
        <v>162</v>
      </c>
      <c r="AH12" s="1" t="s">
        <v>152</v>
      </c>
      <c r="AI12" s="1" t="s">
        <v>153</v>
      </c>
      <c r="AJ12" s="7">
        <v>2.0</v>
      </c>
      <c r="AK12" s="1" t="s">
        <v>150</v>
      </c>
      <c r="AL12" s="1"/>
      <c r="AM12" s="1"/>
      <c r="AN12" s="1">
        <v>15.0</v>
      </c>
      <c r="AO12" s="1" t="str">
        <f t="shared" si="2"/>
        <v>нет</v>
      </c>
      <c r="AP12" s="9"/>
      <c r="AQ12" s="9"/>
      <c r="AR12" s="9" t="str">
        <f t="shared" si="3"/>
        <v>#DIV/0!</v>
      </c>
      <c r="AS12" s="7" t="str">
        <f t="shared" si="4"/>
        <v>#DIV/0!</v>
      </c>
      <c r="AT12" s="7">
        <v>140.0</v>
      </c>
      <c r="AU12" s="7">
        <v>90.0</v>
      </c>
      <c r="AV12" s="8">
        <v>115.0</v>
      </c>
      <c r="AW12" s="7">
        <v>85.0</v>
      </c>
      <c r="AX12" s="7">
        <v>37.2</v>
      </c>
      <c r="AY12" s="7">
        <v>18.0</v>
      </c>
      <c r="AZ12" s="7">
        <v>94.0</v>
      </c>
      <c r="BA12" s="10" t="str">
        <f t="shared" si="5"/>
        <v>да</v>
      </c>
      <c r="BB12" s="9"/>
      <c r="BC12" s="11"/>
      <c r="BD12" s="12" t="str">
        <f t="shared" si="6"/>
        <v>#DIV/0!</v>
      </c>
      <c r="BE12" s="12">
        <f t="shared" si="7"/>
        <v>0</v>
      </c>
      <c r="BF12" s="12">
        <f t="shared" si="8"/>
        <v>1</v>
      </c>
      <c r="BG12" s="1" t="s">
        <v>154</v>
      </c>
      <c r="BH12" s="1" t="s">
        <v>182</v>
      </c>
      <c r="BI12" s="1" t="s">
        <v>154</v>
      </c>
      <c r="BJ12" s="1" t="s">
        <v>182</v>
      </c>
      <c r="BK12" s="1" t="s">
        <v>150</v>
      </c>
      <c r="BL12" s="9"/>
      <c r="BM12" s="1" t="s">
        <v>154</v>
      </c>
      <c r="BN12" s="1" t="s">
        <v>155</v>
      </c>
      <c r="BO12" s="1" t="s">
        <v>150</v>
      </c>
      <c r="BP12" s="9"/>
      <c r="BQ12" s="9"/>
      <c r="BR12" s="1" t="s">
        <v>154</v>
      </c>
      <c r="BS12" s="1" t="s">
        <v>174</v>
      </c>
      <c r="BT12" s="7">
        <v>20.0</v>
      </c>
      <c r="BU12" s="1" t="s">
        <v>157</v>
      </c>
      <c r="BV12" s="7">
        <v>16.0</v>
      </c>
      <c r="BW12" s="1" t="s">
        <v>150</v>
      </c>
      <c r="BX12" s="1" t="s">
        <v>150</v>
      </c>
      <c r="BY12" s="1" t="s">
        <v>150</v>
      </c>
      <c r="BZ12" s="1" t="s">
        <v>158</v>
      </c>
      <c r="CA12" s="1"/>
      <c r="CB12" s="9"/>
      <c r="CC12" s="9"/>
      <c r="CD12" s="9"/>
      <c r="CE12" s="9"/>
      <c r="CF12" s="9"/>
      <c r="CG12" s="9"/>
      <c r="CH12" s="1" t="s">
        <v>154</v>
      </c>
      <c r="CI12" s="9"/>
      <c r="CJ12" s="9"/>
      <c r="CK12" s="9"/>
      <c r="CL12" s="1" t="s">
        <v>183</v>
      </c>
      <c r="CM12" s="7">
        <v>3.4</v>
      </c>
      <c r="CN12" s="7"/>
      <c r="CO12" s="7">
        <f t="shared" si="9"/>
        <v>0</v>
      </c>
      <c r="CP12" s="7"/>
      <c r="CQ12" s="7">
        <f t="shared" si="10"/>
        <v>0</v>
      </c>
      <c r="CR12" s="7"/>
      <c r="CS12" s="7">
        <f t="shared" si="11"/>
        <v>0</v>
      </c>
      <c r="CT12" s="7"/>
      <c r="CU12" s="7">
        <f t="shared" si="12"/>
        <v>0</v>
      </c>
      <c r="CV12" s="7" t="str">
        <f t="shared" si="13"/>
        <v>#DIV/0!</v>
      </c>
      <c r="CW12" s="7">
        <v>4.6</v>
      </c>
      <c r="CX12" s="7">
        <v>130.0</v>
      </c>
      <c r="CY12" s="7" t="str">
        <f t="shared" si="14"/>
        <v>Норма</v>
      </c>
      <c r="CZ12" s="7">
        <v>34.0</v>
      </c>
      <c r="DA12" s="7">
        <v>148.0</v>
      </c>
      <c r="DB12" s="7">
        <v>20.7</v>
      </c>
      <c r="DC12" s="7">
        <v>2.6</v>
      </c>
      <c r="DD12" s="7"/>
      <c r="DE12" s="7"/>
      <c r="DF12" s="7"/>
      <c r="DG12" s="7"/>
      <c r="DH12" s="7"/>
      <c r="DI12" s="7"/>
      <c r="DJ12" s="7"/>
      <c r="DK12" s="7"/>
      <c r="DL12" s="7"/>
      <c r="DM12" s="7">
        <v>4.9</v>
      </c>
      <c r="DN12" s="7">
        <v>141.0</v>
      </c>
      <c r="DO12" s="7" t="str">
        <f t="shared" si="15"/>
        <v>Норма</v>
      </c>
      <c r="DP12" s="7">
        <v>3.0</v>
      </c>
      <c r="DQ12" s="7">
        <v>98.0</v>
      </c>
      <c r="DR12" s="7">
        <v>9.5</v>
      </c>
      <c r="DS12" s="13">
        <v>2.7</v>
      </c>
      <c r="DT12" s="7">
        <v>45.8</v>
      </c>
      <c r="DU12" s="7">
        <v>11.5</v>
      </c>
      <c r="DV12" s="7">
        <v>1.04</v>
      </c>
      <c r="DW12" s="7">
        <v>0.7</v>
      </c>
      <c r="DX12" s="9"/>
      <c r="DY12" s="7">
        <v>41.7</v>
      </c>
      <c r="DZ12" s="7">
        <v>12.7</v>
      </c>
      <c r="EA12" s="7">
        <v>1.1</v>
      </c>
      <c r="EB12" s="7"/>
      <c r="EC12" s="7">
        <v>8.3</v>
      </c>
      <c r="ED12" s="7">
        <v>5.5</v>
      </c>
      <c r="EE12" s="7">
        <v>30.0</v>
      </c>
      <c r="EF12" s="7">
        <v>31.0</v>
      </c>
      <c r="EG12" s="7">
        <v>72.0</v>
      </c>
      <c r="EH12" s="7">
        <v>8.0</v>
      </c>
      <c r="EI12" s="7">
        <v>1.7</v>
      </c>
      <c r="EJ12" s="7">
        <v>70.0</v>
      </c>
      <c r="EK12" s="14">
        <f t="shared" si="16"/>
        <v>76.97360982</v>
      </c>
      <c r="EL12" s="11" t="str">
        <f t="shared" si="17"/>
        <v>C2</v>
      </c>
      <c r="EM12" s="9"/>
      <c r="EN12" s="9"/>
      <c r="EO12" s="7">
        <v>21.0</v>
      </c>
      <c r="EP12" s="7">
        <v>14.0</v>
      </c>
      <c r="EQ12" s="7">
        <v>69.0</v>
      </c>
      <c r="ER12" s="7">
        <v>10.0</v>
      </c>
      <c r="ES12" s="9"/>
      <c r="ET12" s="7">
        <v>70.0</v>
      </c>
      <c r="EU12" s="11">
        <f t="shared" si="18"/>
        <v>76.97360982</v>
      </c>
      <c r="EV12" s="11" t="str">
        <f t="shared" si="19"/>
        <v>C2</v>
      </c>
      <c r="EW12" s="9"/>
      <c r="EX12" s="9"/>
      <c r="EY12" s="9" t="str">
        <f t="shared" si="20"/>
        <v>#DIV/0!</v>
      </c>
      <c r="EZ12" s="9" t="str">
        <f t="shared" si="21"/>
        <v>#DIV/0!</v>
      </c>
      <c r="FA12" s="9" t="str">
        <f t="shared" si="22"/>
        <v>#DIV/0!</v>
      </c>
      <c r="FB12" s="9"/>
      <c r="FC12" s="1" t="s">
        <v>148</v>
      </c>
    </row>
    <row r="13">
      <c r="A13" s="7">
        <v>12.0</v>
      </c>
      <c r="B13" s="8">
        <v>12.0</v>
      </c>
      <c r="C13" s="7">
        <v>6724.0</v>
      </c>
      <c r="D13" s="1" t="s">
        <v>148</v>
      </c>
      <c r="E13" s="7">
        <v>68.0</v>
      </c>
      <c r="F13" s="1" t="s">
        <v>149</v>
      </c>
      <c r="G13" s="7"/>
      <c r="H13" s="7">
        <v>13.0</v>
      </c>
      <c r="I13" s="1" t="s">
        <v>150</v>
      </c>
      <c r="J13" s="1" t="s">
        <v>150</v>
      </c>
      <c r="K13" s="9"/>
      <c r="L13" s="1" t="s">
        <v>150</v>
      </c>
      <c r="M13" s="1" t="s">
        <v>150</v>
      </c>
      <c r="N13" s="9"/>
      <c r="O13" s="1" t="str">
        <f t="shared" si="1"/>
        <v>нет</v>
      </c>
      <c r="P13" s="1" t="s">
        <v>150</v>
      </c>
      <c r="Q13" s="1" t="s">
        <v>154</v>
      </c>
      <c r="R13" s="7">
        <v>3.0</v>
      </c>
      <c r="S13" s="1" t="s">
        <v>154</v>
      </c>
      <c r="T13" s="1" t="s">
        <v>165</v>
      </c>
      <c r="U13" s="9"/>
      <c r="V13" s="9"/>
      <c r="W13" s="9"/>
      <c r="X13" s="9"/>
      <c r="Y13" s="1" t="s">
        <v>150</v>
      </c>
      <c r="Z13" s="9"/>
      <c r="AA13" s="9"/>
      <c r="AB13" s="9"/>
      <c r="AC13" s="9"/>
      <c r="AD13" s="1"/>
      <c r="AE13" s="1" t="s">
        <v>150</v>
      </c>
      <c r="AF13" s="7">
        <v>0.0</v>
      </c>
      <c r="AG13" s="1" t="s">
        <v>162</v>
      </c>
      <c r="AH13" s="1" t="s">
        <v>152</v>
      </c>
      <c r="AI13" s="1" t="s">
        <v>153</v>
      </c>
      <c r="AJ13" s="7">
        <v>1.0</v>
      </c>
      <c r="AK13" s="1" t="s">
        <v>154</v>
      </c>
      <c r="AL13" s="1"/>
      <c r="AM13" s="1"/>
      <c r="AN13" s="1">
        <v>15.0</v>
      </c>
      <c r="AO13" s="1" t="str">
        <f t="shared" si="2"/>
        <v>нет</v>
      </c>
      <c r="AP13" s="9"/>
      <c r="AQ13" s="9"/>
      <c r="AR13" s="9" t="str">
        <f t="shared" si="3"/>
        <v>#DIV/0!</v>
      </c>
      <c r="AS13" s="7" t="str">
        <f t="shared" si="4"/>
        <v>#DIV/0!</v>
      </c>
      <c r="AT13" s="7">
        <v>130.0</v>
      </c>
      <c r="AU13" s="7">
        <v>80.0</v>
      </c>
      <c r="AV13" s="8">
        <v>105.0</v>
      </c>
      <c r="AW13" s="7">
        <v>81.0</v>
      </c>
      <c r="AX13" s="7">
        <v>37.0</v>
      </c>
      <c r="AY13" s="7">
        <v>16.0</v>
      </c>
      <c r="AZ13" s="7">
        <v>99.0</v>
      </c>
      <c r="BA13" s="10" t="str">
        <f t="shared" si="5"/>
        <v>нет</v>
      </c>
      <c r="BB13" s="9"/>
      <c r="BC13" s="11"/>
      <c r="BD13" s="12" t="str">
        <f t="shared" si="6"/>
        <v>#DIV/0!</v>
      </c>
      <c r="BE13" s="12">
        <f t="shared" si="7"/>
        <v>0</v>
      </c>
      <c r="BF13" s="12">
        <f t="shared" si="8"/>
        <v>0</v>
      </c>
      <c r="BG13" s="1" t="s">
        <v>150</v>
      </c>
      <c r="BH13" s="9"/>
      <c r="BI13" s="1" t="s">
        <v>150</v>
      </c>
      <c r="BJ13" s="9"/>
      <c r="BK13" s="1" t="s">
        <v>150</v>
      </c>
      <c r="BL13" s="9"/>
      <c r="BM13" s="1" t="s">
        <v>154</v>
      </c>
      <c r="BN13" s="1" t="s">
        <v>155</v>
      </c>
      <c r="BO13" s="1" t="s">
        <v>150</v>
      </c>
      <c r="BP13" s="9"/>
      <c r="BQ13" s="9"/>
      <c r="BR13" s="1" t="s">
        <v>154</v>
      </c>
      <c r="BS13" s="1" t="s">
        <v>174</v>
      </c>
      <c r="BT13" s="7">
        <v>40.0</v>
      </c>
      <c r="BU13" s="1" t="s">
        <v>157</v>
      </c>
      <c r="BV13" s="7">
        <v>16.0</v>
      </c>
      <c r="BW13" s="1" t="s">
        <v>150</v>
      </c>
      <c r="BX13" s="1" t="s">
        <v>150</v>
      </c>
      <c r="BY13" s="1" t="s">
        <v>150</v>
      </c>
      <c r="BZ13" s="1" t="s">
        <v>158</v>
      </c>
      <c r="CA13" s="1" t="s">
        <v>184</v>
      </c>
      <c r="CB13" s="1" t="s">
        <v>185</v>
      </c>
      <c r="CD13" s="9"/>
      <c r="CE13" s="9"/>
      <c r="CF13" s="9"/>
      <c r="CG13" s="9"/>
      <c r="CH13" s="9"/>
      <c r="CI13" s="9"/>
      <c r="CJ13" s="9"/>
      <c r="CK13" s="9"/>
      <c r="CL13" s="1" t="s">
        <v>186</v>
      </c>
      <c r="CM13" s="7">
        <v>4.8</v>
      </c>
      <c r="CN13" s="7"/>
      <c r="CO13" s="7">
        <f t="shared" si="9"/>
        <v>0</v>
      </c>
      <c r="CP13" s="7"/>
      <c r="CQ13" s="7">
        <f t="shared" si="10"/>
        <v>0</v>
      </c>
      <c r="CR13" s="7"/>
      <c r="CS13" s="7">
        <f t="shared" si="11"/>
        <v>0</v>
      </c>
      <c r="CT13" s="7"/>
      <c r="CU13" s="7">
        <f t="shared" si="12"/>
        <v>0</v>
      </c>
      <c r="CV13" s="7" t="str">
        <f t="shared" si="13"/>
        <v>#DIV/0!</v>
      </c>
      <c r="CW13" s="7">
        <v>4.2</v>
      </c>
      <c r="CX13" s="7">
        <v>130.0</v>
      </c>
      <c r="CY13" s="7" t="str">
        <f t="shared" si="14"/>
        <v>Норма</v>
      </c>
      <c r="CZ13" s="7">
        <v>29.0</v>
      </c>
      <c r="DA13" s="7">
        <v>169.0</v>
      </c>
      <c r="DB13" s="7">
        <v>7.4</v>
      </c>
      <c r="DC13" s="7">
        <v>11.4</v>
      </c>
      <c r="DD13" s="7"/>
      <c r="DE13" s="7"/>
      <c r="DF13" s="7"/>
      <c r="DG13" s="7"/>
      <c r="DH13" s="7"/>
      <c r="DI13" s="7"/>
      <c r="DJ13" s="7"/>
      <c r="DK13" s="7"/>
      <c r="DL13" s="7"/>
      <c r="DM13" s="7">
        <v>4.4</v>
      </c>
      <c r="DN13" s="7">
        <v>140.0</v>
      </c>
      <c r="DO13" s="7" t="str">
        <f t="shared" si="15"/>
        <v>Норма</v>
      </c>
      <c r="DP13" s="7">
        <v>1.0</v>
      </c>
      <c r="DQ13" s="7">
        <v>178.0</v>
      </c>
      <c r="DR13" s="7">
        <v>0.1</v>
      </c>
      <c r="DS13" s="13">
        <v>2.0</v>
      </c>
      <c r="DT13" s="7">
        <v>47.0</v>
      </c>
      <c r="DU13" s="7">
        <v>12.1</v>
      </c>
      <c r="DV13" s="7">
        <v>1.02</v>
      </c>
      <c r="DW13" s="7">
        <v>0.39</v>
      </c>
      <c r="DX13" s="9"/>
      <c r="DY13" s="7">
        <v>64.0</v>
      </c>
      <c r="DZ13" s="7">
        <v>11.0</v>
      </c>
      <c r="EA13" s="7">
        <v>0.92</v>
      </c>
      <c r="EB13" s="7"/>
      <c r="EC13" s="7">
        <v>5.8</v>
      </c>
      <c r="ED13" s="7">
        <v>7.8</v>
      </c>
      <c r="EE13" s="7">
        <v>18.0</v>
      </c>
      <c r="EF13" s="7">
        <v>32.0</v>
      </c>
      <c r="EG13" s="7">
        <v>72.0</v>
      </c>
      <c r="EH13" s="7">
        <v>8.4</v>
      </c>
      <c r="EI13" s="7">
        <v>2.0</v>
      </c>
      <c r="EJ13" s="7">
        <v>60.0</v>
      </c>
      <c r="EK13" s="14">
        <f t="shared" si="16"/>
        <v>90.23309458</v>
      </c>
      <c r="EL13" s="11" t="str">
        <f t="shared" si="17"/>
        <v>C1</v>
      </c>
      <c r="EM13" s="9"/>
      <c r="EN13" s="9"/>
      <c r="EO13" s="7">
        <v>32.0</v>
      </c>
      <c r="EP13" s="7">
        <v>27.0</v>
      </c>
      <c r="EQ13" s="7">
        <v>61.0</v>
      </c>
      <c r="ER13" s="7">
        <v>12.4</v>
      </c>
      <c r="ES13" s="7">
        <v>3.9</v>
      </c>
      <c r="ET13" s="7">
        <v>80.0</v>
      </c>
      <c r="EU13" s="11">
        <f t="shared" si="18"/>
        <v>65.49823396</v>
      </c>
      <c r="EV13" s="11" t="str">
        <f t="shared" si="19"/>
        <v>C2</v>
      </c>
      <c r="EW13" s="9"/>
      <c r="EX13" s="9"/>
      <c r="EY13" s="9" t="str">
        <f t="shared" si="20"/>
        <v>#DIV/0!</v>
      </c>
      <c r="EZ13" s="9" t="str">
        <f t="shared" si="21"/>
        <v>#DIV/0!</v>
      </c>
      <c r="FA13" s="9" t="str">
        <f t="shared" si="22"/>
        <v>#DIV/0!</v>
      </c>
      <c r="FB13" s="9"/>
      <c r="FC13" s="1" t="s">
        <v>148</v>
      </c>
    </row>
    <row r="14">
      <c r="A14" s="7">
        <v>13.0</v>
      </c>
      <c r="B14" s="8">
        <v>13.0</v>
      </c>
      <c r="C14" s="7">
        <v>23618.0</v>
      </c>
      <c r="D14" s="1" t="s">
        <v>148</v>
      </c>
      <c r="E14" s="7">
        <v>65.0</v>
      </c>
      <c r="F14" s="1" t="s">
        <v>161</v>
      </c>
      <c r="G14" s="7"/>
      <c r="H14" s="7">
        <v>24.0</v>
      </c>
      <c r="I14" s="1" t="s">
        <v>150</v>
      </c>
      <c r="J14" s="1" t="s">
        <v>150</v>
      </c>
      <c r="K14" s="9"/>
      <c r="L14" s="1" t="s">
        <v>154</v>
      </c>
      <c r="M14" s="1" t="s">
        <v>154</v>
      </c>
      <c r="N14" s="1" t="s">
        <v>187</v>
      </c>
      <c r="O14" s="1" t="str">
        <f t="shared" si="1"/>
        <v>нет</v>
      </c>
      <c r="P14" s="1" t="s">
        <v>154</v>
      </c>
      <c r="Q14" s="1" t="s">
        <v>154</v>
      </c>
      <c r="R14" s="7">
        <v>3.0</v>
      </c>
      <c r="S14" s="1" t="s">
        <v>150</v>
      </c>
      <c r="T14" s="9"/>
      <c r="U14" s="9"/>
      <c r="V14" s="9"/>
      <c r="W14" s="9"/>
      <c r="X14" s="9"/>
      <c r="Y14" s="1" t="s">
        <v>150</v>
      </c>
      <c r="Z14" s="9"/>
      <c r="AA14" s="9"/>
      <c r="AB14" s="9"/>
      <c r="AC14" s="9"/>
      <c r="AD14" s="1"/>
      <c r="AE14" s="1" t="s">
        <v>150</v>
      </c>
      <c r="AF14" s="7">
        <v>0.0</v>
      </c>
      <c r="AG14" s="1" t="s">
        <v>162</v>
      </c>
      <c r="AH14" s="1" t="s">
        <v>152</v>
      </c>
      <c r="AI14" s="1" t="s">
        <v>153</v>
      </c>
      <c r="AJ14" s="7">
        <v>2.0</v>
      </c>
      <c r="AK14" s="1" t="s">
        <v>154</v>
      </c>
      <c r="AL14" s="1"/>
      <c r="AM14" s="1"/>
      <c r="AN14" s="1">
        <v>15.0</v>
      </c>
      <c r="AO14" s="1" t="str">
        <f t="shared" si="2"/>
        <v>нет</v>
      </c>
      <c r="AP14" s="9"/>
      <c r="AQ14" s="9"/>
      <c r="AR14" s="9" t="str">
        <f t="shared" si="3"/>
        <v>#DIV/0!</v>
      </c>
      <c r="AS14" s="7" t="str">
        <f t="shared" si="4"/>
        <v>#DIV/0!</v>
      </c>
      <c r="AT14" s="7">
        <v>125.0</v>
      </c>
      <c r="AU14" s="7">
        <v>75.0</v>
      </c>
      <c r="AV14" s="8">
        <v>100.0</v>
      </c>
      <c r="AW14" s="7">
        <v>112.0</v>
      </c>
      <c r="AX14" s="7">
        <v>38.2</v>
      </c>
      <c r="AY14" s="7">
        <v>24.0</v>
      </c>
      <c r="AZ14" s="7">
        <v>58.0</v>
      </c>
      <c r="BA14" s="10" t="str">
        <f t="shared" si="5"/>
        <v>да</v>
      </c>
      <c r="BB14" s="7">
        <v>85.0</v>
      </c>
      <c r="BC14" s="11"/>
      <c r="BD14" s="12" t="str">
        <f t="shared" si="6"/>
        <v>#DIV/0!</v>
      </c>
      <c r="BE14" s="12">
        <f t="shared" si="7"/>
        <v>1</v>
      </c>
      <c r="BF14" s="12">
        <f t="shared" si="8"/>
        <v>8</v>
      </c>
      <c r="BG14" s="1" t="s">
        <v>150</v>
      </c>
      <c r="BH14" s="9"/>
      <c r="BI14" s="1" t="s">
        <v>150</v>
      </c>
      <c r="BJ14" s="9"/>
      <c r="BK14" s="1" t="s">
        <v>150</v>
      </c>
      <c r="BL14" s="9"/>
      <c r="BM14" s="1" t="s">
        <v>154</v>
      </c>
      <c r="BN14" s="1" t="s">
        <v>155</v>
      </c>
      <c r="BO14" s="1" t="s">
        <v>150</v>
      </c>
      <c r="BP14" s="9"/>
      <c r="BQ14" s="9"/>
      <c r="BR14" s="1" t="s">
        <v>154</v>
      </c>
      <c r="BS14" s="1" t="s">
        <v>174</v>
      </c>
      <c r="BT14" s="7">
        <v>36.0</v>
      </c>
      <c r="BU14" s="1" t="s">
        <v>157</v>
      </c>
      <c r="BV14" s="7">
        <v>16.0</v>
      </c>
      <c r="BW14" s="15" t="s">
        <v>154</v>
      </c>
      <c r="BX14" s="1" t="s">
        <v>150</v>
      </c>
      <c r="BY14" s="1" t="s">
        <v>150</v>
      </c>
      <c r="BZ14" s="1" t="s">
        <v>158</v>
      </c>
      <c r="CA14" s="1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1" t="s">
        <v>159</v>
      </c>
      <c r="CM14" s="7">
        <v>15.6</v>
      </c>
      <c r="CN14" s="7"/>
      <c r="CO14" s="7">
        <f t="shared" si="9"/>
        <v>0</v>
      </c>
      <c r="CP14" s="7"/>
      <c r="CQ14" s="7">
        <f t="shared" si="10"/>
        <v>0</v>
      </c>
      <c r="CR14" s="7"/>
      <c r="CS14" s="7">
        <f t="shared" si="11"/>
        <v>0</v>
      </c>
      <c r="CT14" s="7"/>
      <c r="CU14" s="7">
        <f t="shared" si="12"/>
        <v>0</v>
      </c>
      <c r="CV14" s="7" t="str">
        <f t="shared" si="13"/>
        <v>#DIV/0!</v>
      </c>
      <c r="CW14" s="7">
        <v>4.2</v>
      </c>
      <c r="CX14" s="7">
        <v>127.0</v>
      </c>
      <c r="CY14" s="7" t="str">
        <f t="shared" si="14"/>
        <v>Легкая степень</v>
      </c>
      <c r="CZ14" s="7">
        <v>39.0</v>
      </c>
      <c r="DA14" s="7">
        <v>441.0</v>
      </c>
      <c r="DB14" s="7">
        <v>8.2</v>
      </c>
      <c r="DC14" s="7">
        <v>14.3</v>
      </c>
      <c r="DD14" s="7"/>
      <c r="DE14" s="7"/>
      <c r="DF14" s="7"/>
      <c r="DG14" s="7"/>
      <c r="DH14" s="7"/>
      <c r="DI14" s="7"/>
      <c r="DJ14" s="7"/>
      <c r="DK14" s="7"/>
      <c r="DL14" s="7"/>
      <c r="DM14" s="7">
        <v>4.6</v>
      </c>
      <c r="DN14" s="7">
        <v>140.0</v>
      </c>
      <c r="DO14" s="7" t="str">
        <f t="shared" si="15"/>
        <v>Норма</v>
      </c>
      <c r="DP14" s="7">
        <v>18.0</v>
      </c>
      <c r="DQ14" s="7">
        <v>213.0</v>
      </c>
      <c r="DR14" s="7">
        <v>16.0</v>
      </c>
      <c r="DS14" s="13">
        <v>4.8</v>
      </c>
      <c r="DT14" s="7">
        <v>30.2</v>
      </c>
      <c r="DU14" s="7">
        <v>15.4</v>
      </c>
      <c r="DV14" s="7">
        <v>1.29</v>
      </c>
      <c r="DW14" s="7">
        <v>1.9</v>
      </c>
      <c r="DX14" s="9"/>
      <c r="DY14" s="7">
        <v>33.6</v>
      </c>
      <c r="DZ14" s="7">
        <v>16.3</v>
      </c>
      <c r="EA14" s="7">
        <v>1.37</v>
      </c>
      <c r="EB14" s="7"/>
      <c r="EC14" s="7">
        <v>23.2</v>
      </c>
      <c r="ED14" s="7">
        <v>14.6</v>
      </c>
      <c r="EE14" s="7">
        <v>29.0</v>
      </c>
      <c r="EF14" s="7">
        <v>26.0</v>
      </c>
      <c r="EG14" s="7">
        <v>56.0</v>
      </c>
      <c r="EH14" s="7">
        <v>9.3</v>
      </c>
      <c r="EI14" s="7">
        <v>2.0</v>
      </c>
      <c r="EJ14" s="7">
        <v>100.0</v>
      </c>
      <c r="EK14" s="14">
        <f t="shared" si="16"/>
        <v>51.07608946</v>
      </c>
      <c r="EL14" s="11" t="str">
        <f t="shared" si="17"/>
        <v>C3a</v>
      </c>
      <c r="EM14" s="9"/>
      <c r="EN14" s="9"/>
      <c r="EO14" s="7">
        <v>95.0</v>
      </c>
      <c r="EP14" s="7">
        <v>52.0</v>
      </c>
      <c r="EQ14" s="7">
        <v>65.0</v>
      </c>
      <c r="ER14" s="7">
        <v>13.2</v>
      </c>
      <c r="ES14" s="7">
        <v>3.9</v>
      </c>
      <c r="ET14" s="7">
        <v>90.0</v>
      </c>
      <c r="EU14" s="11">
        <f t="shared" si="18"/>
        <v>58.01475266</v>
      </c>
      <c r="EV14" s="11" t="str">
        <f t="shared" si="19"/>
        <v>C3a</v>
      </c>
      <c r="EW14" s="9"/>
      <c r="EX14" s="9"/>
      <c r="EY14" s="9" t="str">
        <f t="shared" si="20"/>
        <v>#DIV/0!</v>
      </c>
      <c r="EZ14" s="9" t="str">
        <f t="shared" si="21"/>
        <v>#DIV/0!</v>
      </c>
      <c r="FA14" s="9" t="str">
        <f t="shared" si="22"/>
        <v>#DIV/0!</v>
      </c>
      <c r="FB14" s="9"/>
      <c r="FC14" s="1" t="s">
        <v>148</v>
      </c>
    </row>
    <row r="15">
      <c r="A15" s="7">
        <v>14.0</v>
      </c>
      <c r="B15" s="8">
        <v>14.0</v>
      </c>
      <c r="C15" s="7">
        <v>22824.0</v>
      </c>
      <c r="D15" s="1" t="s">
        <v>148</v>
      </c>
      <c r="E15" s="7">
        <v>68.0</v>
      </c>
      <c r="F15" s="1" t="s">
        <v>161</v>
      </c>
      <c r="G15" s="7"/>
      <c r="H15" s="7">
        <v>11.0</v>
      </c>
      <c r="I15" s="1" t="s">
        <v>150</v>
      </c>
      <c r="J15" s="1" t="s">
        <v>150</v>
      </c>
      <c r="K15" s="9"/>
      <c r="L15" s="1" t="s">
        <v>150</v>
      </c>
      <c r="M15" s="1" t="s">
        <v>150</v>
      </c>
      <c r="N15" s="9"/>
      <c r="O15" s="1" t="str">
        <f t="shared" si="1"/>
        <v>нет</v>
      </c>
      <c r="P15" s="1" t="s">
        <v>150</v>
      </c>
      <c r="Q15" s="1" t="s">
        <v>154</v>
      </c>
      <c r="R15" s="7">
        <v>3.0</v>
      </c>
      <c r="S15" s="1" t="s">
        <v>150</v>
      </c>
      <c r="T15" s="9"/>
      <c r="U15" s="9"/>
      <c r="V15" s="9"/>
      <c r="W15" s="9"/>
      <c r="X15" s="9"/>
      <c r="Y15" s="1" t="s">
        <v>150</v>
      </c>
      <c r="Z15" s="9"/>
      <c r="AA15" s="9"/>
      <c r="AB15" s="9"/>
      <c r="AC15" s="9"/>
      <c r="AD15" s="1"/>
      <c r="AE15" s="1" t="s">
        <v>150</v>
      </c>
      <c r="AF15" s="7">
        <v>0.0</v>
      </c>
      <c r="AG15" s="1" t="s">
        <v>162</v>
      </c>
      <c r="AH15" s="1" t="s">
        <v>152</v>
      </c>
      <c r="AI15" s="1" t="s">
        <v>168</v>
      </c>
      <c r="AJ15" s="7">
        <v>2.0</v>
      </c>
      <c r="AK15" s="1" t="s">
        <v>154</v>
      </c>
      <c r="AL15" s="1"/>
      <c r="AM15" s="1"/>
      <c r="AN15" s="1">
        <v>15.0</v>
      </c>
      <c r="AO15" s="1" t="str">
        <f t="shared" si="2"/>
        <v>нет</v>
      </c>
      <c r="AP15" s="9"/>
      <c r="AQ15" s="9"/>
      <c r="AR15" s="9" t="str">
        <f t="shared" si="3"/>
        <v>#DIV/0!</v>
      </c>
      <c r="AS15" s="7" t="str">
        <f t="shared" si="4"/>
        <v>#DIV/0!</v>
      </c>
      <c r="AT15" s="7">
        <v>128.0</v>
      </c>
      <c r="AU15" s="7">
        <v>75.0</v>
      </c>
      <c r="AV15" s="8">
        <v>101.5</v>
      </c>
      <c r="AW15" s="7">
        <v>90.0</v>
      </c>
      <c r="AX15" s="7">
        <v>36.6</v>
      </c>
      <c r="AY15" s="7">
        <v>28.0</v>
      </c>
      <c r="AZ15" s="7">
        <v>94.0</v>
      </c>
      <c r="BA15" s="10" t="str">
        <f t="shared" si="5"/>
        <v>да</v>
      </c>
      <c r="BB15" s="9"/>
      <c r="BC15" s="11"/>
      <c r="BD15" s="12" t="str">
        <f t="shared" si="6"/>
        <v>#DIV/0!</v>
      </c>
      <c r="BE15" s="12">
        <f t="shared" si="7"/>
        <v>1</v>
      </c>
      <c r="BF15" s="12">
        <f t="shared" si="8"/>
        <v>4</v>
      </c>
      <c r="BG15" s="1" t="s">
        <v>154</v>
      </c>
      <c r="BH15" s="9"/>
      <c r="BI15" s="1" t="s">
        <v>150</v>
      </c>
      <c r="BJ15" s="9"/>
      <c r="BK15" s="1" t="s">
        <v>150</v>
      </c>
      <c r="BL15" s="9"/>
      <c r="BM15" s="1" t="s">
        <v>154</v>
      </c>
      <c r="BN15" s="1" t="s">
        <v>155</v>
      </c>
      <c r="BO15" s="1" t="s">
        <v>154</v>
      </c>
      <c r="BP15" s="9"/>
      <c r="BQ15" s="9"/>
      <c r="BR15" s="1" t="s">
        <v>154</v>
      </c>
      <c r="BS15" s="1" t="s">
        <v>174</v>
      </c>
      <c r="BT15" s="7">
        <v>56.0</v>
      </c>
      <c r="BU15" s="1" t="s">
        <v>157</v>
      </c>
      <c r="BV15" s="7">
        <v>16.0</v>
      </c>
      <c r="BW15" s="1" t="s">
        <v>150</v>
      </c>
      <c r="BX15" s="1" t="s">
        <v>150</v>
      </c>
      <c r="BY15" s="1" t="s">
        <v>150</v>
      </c>
      <c r="BZ15" s="1" t="s">
        <v>158</v>
      </c>
      <c r="CA15" s="1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1" t="s">
        <v>159</v>
      </c>
      <c r="CM15" s="7">
        <v>6.0</v>
      </c>
      <c r="CN15" s="7"/>
      <c r="CO15" s="7">
        <f t="shared" si="9"/>
        <v>0</v>
      </c>
      <c r="CP15" s="7"/>
      <c r="CQ15" s="7">
        <f t="shared" si="10"/>
        <v>0</v>
      </c>
      <c r="CR15" s="7"/>
      <c r="CS15" s="7">
        <f t="shared" si="11"/>
        <v>0</v>
      </c>
      <c r="CT15" s="7"/>
      <c r="CU15" s="7">
        <f t="shared" si="12"/>
        <v>0</v>
      </c>
      <c r="CV15" s="7" t="str">
        <f t="shared" si="13"/>
        <v>#DIV/0!</v>
      </c>
      <c r="CW15" s="7">
        <v>4.6</v>
      </c>
      <c r="CX15" s="7">
        <v>142.0</v>
      </c>
      <c r="CY15" s="7" t="str">
        <f t="shared" si="14"/>
        <v>Норма</v>
      </c>
      <c r="CZ15" s="7">
        <v>19.0</v>
      </c>
      <c r="DA15" s="7">
        <v>290.0</v>
      </c>
      <c r="DB15" s="7">
        <v>18.1</v>
      </c>
      <c r="DC15" s="7">
        <v>10.1</v>
      </c>
      <c r="DD15" s="7"/>
      <c r="DE15" s="7"/>
      <c r="DF15" s="7"/>
      <c r="DG15" s="7"/>
      <c r="DH15" s="7"/>
      <c r="DI15" s="7"/>
      <c r="DJ15" s="7"/>
      <c r="DK15" s="7"/>
      <c r="DL15" s="7"/>
      <c r="DM15" s="7">
        <v>4.3</v>
      </c>
      <c r="DN15" s="7">
        <v>132.0</v>
      </c>
      <c r="DO15" s="7" t="str">
        <f t="shared" si="15"/>
        <v>Норма</v>
      </c>
      <c r="DP15" s="7">
        <v>2.0</v>
      </c>
      <c r="DQ15" s="7">
        <v>267.0</v>
      </c>
      <c r="DR15" s="7">
        <v>4.8</v>
      </c>
      <c r="DS15" s="13">
        <v>2.69</v>
      </c>
      <c r="DT15" s="7">
        <v>29.1</v>
      </c>
      <c r="DU15" s="7">
        <v>13.9</v>
      </c>
      <c r="DV15" s="7">
        <v>1.17</v>
      </c>
      <c r="DW15" s="7">
        <v>0.87</v>
      </c>
      <c r="DX15" s="9"/>
      <c r="DY15" s="7">
        <v>42.9</v>
      </c>
      <c r="DZ15" s="7">
        <v>12.2</v>
      </c>
      <c r="EA15" s="7">
        <v>1.11</v>
      </c>
      <c r="EB15" s="7"/>
      <c r="EC15" s="7">
        <v>9.8</v>
      </c>
      <c r="ED15" s="7">
        <v>8.97</v>
      </c>
      <c r="EE15" s="7">
        <v>124.0</v>
      </c>
      <c r="EF15" s="7">
        <v>32.0</v>
      </c>
      <c r="EG15" s="7">
        <v>76.0</v>
      </c>
      <c r="EH15" s="7">
        <v>26.0</v>
      </c>
      <c r="EI15" s="7">
        <v>6.0</v>
      </c>
      <c r="EJ15" s="7">
        <v>90.0</v>
      </c>
      <c r="EK15" s="14">
        <f t="shared" si="16"/>
        <v>56.80495113</v>
      </c>
      <c r="EL15" s="11" t="str">
        <f t="shared" si="17"/>
        <v>C3a</v>
      </c>
      <c r="EM15" s="9"/>
      <c r="EN15" s="9"/>
      <c r="EO15" s="7">
        <v>23.0</v>
      </c>
      <c r="EP15" s="7">
        <v>11.0</v>
      </c>
      <c r="EQ15" s="7">
        <v>59.0</v>
      </c>
      <c r="ER15" s="7">
        <v>18.5</v>
      </c>
      <c r="ES15" s="7">
        <v>3.8</v>
      </c>
      <c r="ET15" s="7">
        <v>60.0</v>
      </c>
      <c r="EU15" s="11">
        <f t="shared" si="18"/>
        <v>90.23309458</v>
      </c>
      <c r="EV15" s="11" t="str">
        <f t="shared" si="19"/>
        <v>C1</v>
      </c>
      <c r="EW15" s="9"/>
      <c r="EX15" s="9"/>
      <c r="EY15" s="9" t="str">
        <f t="shared" si="20"/>
        <v>#DIV/0!</v>
      </c>
      <c r="EZ15" s="9" t="str">
        <f t="shared" si="21"/>
        <v>#DIV/0!</v>
      </c>
      <c r="FA15" s="9" t="str">
        <f t="shared" si="22"/>
        <v>#DIV/0!</v>
      </c>
      <c r="FB15" s="9"/>
      <c r="FC15" s="1" t="s">
        <v>148</v>
      </c>
    </row>
    <row r="16">
      <c r="A16" s="7">
        <v>15.0</v>
      </c>
      <c r="B16" s="8">
        <v>15.0</v>
      </c>
      <c r="C16" s="7">
        <v>28986.0</v>
      </c>
      <c r="D16" s="1" t="s">
        <v>148</v>
      </c>
      <c r="E16" s="7">
        <v>69.0</v>
      </c>
      <c r="F16" s="1" t="s">
        <v>149</v>
      </c>
      <c r="G16" s="7"/>
      <c r="H16" s="7">
        <v>19.0</v>
      </c>
      <c r="I16" s="1" t="s">
        <v>150</v>
      </c>
      <c r="J16" s="1" t="s">
        <v>150</v>
      </c>
      <c r="K16" s="9"/>
      <c r="L16" s="1" t="s">
        <v>150</v>
      </c>
      <c r="M16" s="1" t="s">
        <v>150</v>
      </c>
      <c r="N16" s="9"/>
      <c r="O16" s="1" t="str">
        <f t="shared" si="1"/>
        <v>нет</v>
      </c>
      <c r="P16" s="1" t="s">
        <v>150</v>
      </c>
      <c r="Q16" s="1" t="s">
        <v>154</v>
      </c>
      <c r="R16" s="7">
        <v>2.0</v>
      </c>
      <c r="S16" s="1" t="s">
        <v>150</v>
      </c>
      <c r="T16" s="9"/>
      <c r="U16" s="9"/>
      <c r="V16" s="9"/>
      <c r="W16" s="9"/>
      <c r="X16" s="9"/>
      <c r="Y16" s="1" t="s">
        <v>150</v>
      </c>
      <c r="Z16" s="9"/>
      <c r="AA16" s="9"/>
      <c r="AB16" s="9"/>
      <c r="AC16" s="9"/>
      <c r="AD16" s="1"/>
      <c r="AE16" s="1" t="s">
        <v>150</v>
      </c>
      <c r="AF16" s="7">
        <v>0.0</v>
      </c>
      <c r="AG16" s="1" t="s">
        <v>162</v>
      </c>
      <c r="AH16" s="1" t="s">
        <v>152</v>
      </c>
      <c r="AI16" s="1" t="s">
        <v>168</v>
      </c>
      <c r="AJ16" s="7">
        <v>2.0</v>
      </c>
      <c r="AK16" s="1" t="s">
        <v>154</v>
      </c>
      <c r="AL16" s="1"/>
      <c r="AM16" s="1"/>
      <c r="AN16" s="1">
        <v>15.0</v>
      </c>
      <c r="AO16" s="1" t="str">
        <f t="shared" si="2"/>
        <v>нет</v>
      </c>
      <c r="AP16" s="9"/>
      <c r="AQ16" s="9"/>
      <c r="AR16" s="9" t="str">
        <f t="shared" si="3"/>
        <v>#DIV/0!</v>
      </c>
      <c r="AS16" s="7" t="str">
        <f t="shared" si="4"/>
        <v>#DIV/0!</v>
      </c>
      <c r="AT16" s="7">
        <v>130.0</v>
      </c>
      <c r="AU16" s="7">
        <v>80.0</v>
      </c>
      <c r="AV16" s="8">
        <v>105.0</v>
      </c>
      <c r="AW16" s="7">
        <v>92.0</v>
      </c>
      <c r="AX16" s="7">
        <v>37.7</v>
      </c>
      <c r="AY16" s="7">
        <v>29.0</v>
      </c>
      <c r="AZ16" s="7">
        <v>90.0</v>
      </c>
      <c r="BA16" s="10" t="str">
        <f t="shared" si="5"/>
        <v>да</v>
      </c>
      <c r="BB16" s="9"/>
      <c r="BC16" s="11"/>
      <c r="BD16" s="12" t="str">
        <f t="shared" si="6"/>
        <v>#DIV/0!</v>
      </c>
      <c r="BE16" s="12">
        <f t="shared" si="7"/>
        <v>1</v>
      </c>
      <c r="BF16" s="12">
        <f t="shared" si="8"/>
        <v>7</v>
      </c>
      <c r="BG16" s="1" t="s">
        <v>154</v>
      </c>
      <c r="BH16" s="9"/>
      <c r="BI16" s="1" t="s">
        <v>154</v>
      </c>
      <c r="BJ16" s="1" t="s">
        <v>188</v>
      </c>
      <c r="BK16" s="1" t="s">
        <v>154</v>
      </c>
      <c r="BL16" s="1" t="s">
        <v>189</v>
      </c>
      <c r="BM16" s="1" t="s">
        <v>154</v>
      </c>
      <c r="BN16" s="1" t="s">
        <v>155</v>
      </c>
      <c r="BO16" s="1" t="s">
        <v>154</v>
      </c>
      <c r="BP16" s="9"/>
      <c r="BQ16" s="9"/>
      <c r="BR16" s="1" t="s">
        <v>154</v>
      </c>
      <c r="BS16" s="1" t="s">
        <v>170</v>
      </c>
      <c r="BT16" s="9"/>
      <c r="BU16" s="1" t="s">
        <v>157</v>
      </c>
      <c r="BV16" s="7">
        <v>16.0</v>
      </c>
      <c r="BW16" s="1" t="s">
        <v>150</v>
      </c>
      <c r="BX16" s="1" t="s">
        <v>150</v>
      </c>
      <c r="BY16" s="1" t="s">
        <v>150</v>
      </c>
      <c r="BZ16" s="1" t="s">
        <v>158</v>
      </c>
      <c r="CA16" s="1"/>
      <c r="CB16" s="9"/>
      <c r="CC16" s="9"/>
      <c r="CD16" s="9"/>
      <c r="CE16" s="9"/>
      <c r="CF16" s="9"/>
      <c r="CG16" s="9"/>
      <c r="CH16" s="1" t="s">
        <v>154</v>
      </c>
      <c r="CI16" s="9"/>
      <c r="CJ16" s="9"/>
      <c r="CK16" s="9"/>
      <c r="CL16" s="1" t="s">
        <v>190</v>
      </c>
      <c r="CM16" s="7">
        <v>6.9</v>
      </c>
      <c r="CN16" s="7"/>
      <c r="CO16" s="7">
        <f t="shared" si="9"/>
        <v>0</v>
      </c>
      <c r="CP16" s="7"/>
      <c r="CQ16" s="7">
        <f t="shared" si="10"/>
        <v>0</v>
      </c>
      <c r="CR16" s="7"/>
      <c r="CS16" s="7">
        <f t="shared" si="11"/>
        <v>0</v>
      </c>
      <c r="CT16" s="7"/>
      <c r="CU16" s="7">
        <f t="shared" si="12"/>
        <v>0</v>
      </c>
      <c r="CV16" s="7" t="str">
        <f t="shared" si="13"/>
        <v>#DIV/0!</v>
      </c>
      <c r="CW16" s="7">
        <v>4.3</v>
      </c>
      <c r="CX16" s="7">
        <v>133.0</v>
      </c>
      <c r="CY16" s="7" t="str">
        <f t="shared" si="14"/>
        <v>Норма</v>
      </c>
      <c r="CZ16" s="7">
        <v>38.0</v>
      </c>
      <c r="DA16" s="7">
        <v>149.0</v>
      </c>
      <c r="DB16" s="7">
        <v>86.6</v>
      </c>
      <c r="DC16" s="7">
        <v>9.2</v>
      </c>
      <c r="DD16" s="7"/>
      <c r="DE16" s="7"/>
      <c r="DF16" s="7"/>
      <c r="DG16" s="7"/>
      <c r="DH16" s="7"/>
      <c r="DI16" s="7"/>
      <c r="DJ16" s="7"/>
      <c r="DK16" s="7"/>
      <c r="DL16" s="7"/>
      <c r="DM16" s="7">
        <v>4.5</v>
      </c>
      <c r="DN16" s="7">
        <v>142.0</v>
      </c>
      <c r="DO16" s="7" t="str">
        <f t="shared" si="15"/>
        <v>Норма</v>
      </c>
      <c r="DP16" s="7">
        <v>36.0</v>
      </c>
      <c r="DQ16" s="7">
        <v>270.0</v>
      </c>
      <c r="DR16" s="7">
        <v>80.2</v>
      </c>
      <c r="DS16" s="13">
        <v>3.6</v>
      </c>
      <c r="DT16" s="7">
        <v>27.4</v>
      </c>
      <c r="DU16" s="7">
        <v>13.4</v>
      </c>
      <c r="DV16" s="7">
        <v>1.13</v>
      </c>
      <c r="DW16" s="7">
        <v>0.24</v>
      </c>
      <c r="DX16" s="9"/>
      <c r="DY16" s="7">
        <v>103.2</v>
      </c>
      <c r="DZ16" s="7">
        <v>12.3</v>
      </c>
      <c r="EA16" s="7">
        <v>1.0</v>
      </c>
      <c r="EB16" s="7"/>
      <c r="EC16" s="7">
        <v>7.0</v>
      </c>
      <c r="ED16" s="7">
        <v>5.9</v>
      </c>
      <c r="EE16" s="7">
        <v>28.0</v>
      </c>
      <c r="EF16" s="7">
        <v>26.0</v>
      </c>
      <c r="EG16" s="7">
        <v>69.0</v>
      </c>
      <c r="EH16" s="7">
        <v>14.2</v>
      </c>
      <c r="EI16" s="7">
        <v>3.1</v>
      </c>
      <c r="EJ16" s="7">
        <v>70.0</v>
      </c>
      <c r="EK16" s="14">
        <f t="shared" si="16"/>
        <v>76.43479455</v>
      </c>
      <c r="EL16" s="11" t="str">
        <f t="shared" si="17"/>
        <v>C2</v>
      </c>
      <c r="EM16" s="9"/>
      <c r="EN16" s="9"/>
      <c r="EO16" s="7">
        <v>40.0</v>
      </c>
      <c r="EP16" s="7">
        <v>22.0</v>
      </c>
      <c r="EQ16" s="7">
        <v>66.0</v>
      </c>
      <c r="ER16" s="7">
        <v>31.0</v>
      </c>
      <c r="ES16" s="7">
        <v>7.3</v>
      </c>
      <c r="ET16" s="7">
        <v>100.0</v>
      </c>
      <c r="EU16" s="11">
        <f t="shared" si="18"/>
        <v>49.66090537</v>
      </c>
      <c r="EV16" s="11" t="str">
        <f t="shared" si="19"/>
        <v>C3a</v>
      </c>
      <c r="EW16" s="9"/>
      <c r="EX16" s="9"/>
      <c r="EY16" s="9" t="str">
        <f t="shared" si="20"/>
        <v>#DIV/0!</v>
      </c>
      <c r="EZ16" s="9" t="str">
        <f t="shared" si="21"/>
        <v>#DIV/0!</v>
      </c>
      <c r="FA16" s="9" t="str">
        <f t="shared" si="22"/>
        <v>#DIV/0!</v>
      </c>
      <c r="FB16" s="9"/>
      <c r="FC16" s="1" t="s">
        <v>148</v>
      </c>
    </row>
    <row r="17">
      <c r="A17" s="7">
        <v>16.0</v>
      </c>
      <c r="B17" s="8">
        <v>16.0</v>
      </c>
      <c r="C17" s="7">
        <v>19445.0</v>
      </c>
      <c r="D17" s="1" t="s">
        <v>148</v>
      </c>
      <c r="E17" s="7">
        <v>47.0</v>
      </c>
      <c r="F17" s="1" t="s">
        <v>149</v>
      </c>
      <c r="G17" s="7"/>
      <c r="H17" s="7">
        <v>8.0</v>
      </c>
      <c r="I17" s="1" t="s">
        <v>150</v>
      </c>
      <c r="J17" s="1" t="s">
        <v>150</v>
      </c>
      <c r="K17" s="9"/>
      <c r="L17" s="1" t="s">
        <v>150</v>
      </c>
      <c r="M17" s="1" t="s">
        <v>150</v>
      </c>
      <c r="N17" s="9"/>
      <c r="O17" s="1" t="str">
        <f t="shared" si="1"/>
        <v>нет</v>
      </c>
      <c r="P17" s="1" t="s">
        <v>150</v>
      </c>
      <c r="Q17" s="1" t="s">
        <v>150</v>
      </c>
      <c r="R17" s="9"/>
      <c r="S17" s="1" t="s">
        <v>150</v>
      </c>
      <c r="T17" s="9"/>
      <c r="U17" s="9"/>
      <c r="V17" s="9"/>
      <c r="W17" s="9"/>
      <c r="X17" s="9"/>
      <c r="Y17" s="1" t="s">
        <v>150</v>
      </c>
      <c r="Z17" s="9"/>
      <c r="AA17" s="9"/>
      <c r="AB17" s="9"/>
      <c r="AC17" s="9"/>
      <c r="AD17" s="1"/>
      <c r="AE17" s="1" t="s">
        <v>150</v>
      </c>
      <c r="AF17" s="7">
        <v>0.0</v>
      </c>
      <c r="AG17" s="1" t="s">
        <v>162</v>
      </c>
      <c r="AH17" s="1" t="s">
        <v>152</v>
      </c>
      <c r="AI17" s="1" t="s">
        <v>153</v>
      </c>
      <c r="AJ17" s="7">
        <v>2.0</v>
      </c>
      <c r="AK17" s="1" t="s">
        <v>154</v>
      </c>
      <c r="AL17" s="1"/>
      <c r="AM17" s="1"/>
      <c r="AN17" s="1">
        <v>15.0</v>
      </c>
      <c r="AO17" s="1" t="str">
        <f t="shared" si="2"/>
        <v>нет</v>
      </c>
      <c r="AP17" s="9"/>
      <c r="AQ17" s="9"/>
      <c r="AR17" s="9" t="str">
        <f t="shared" si="3"/>
        <v>#DIV/0!</v>
      </c>
      <c r="AS17" s="7" t="str">
        <f t="shared" si="4"/>
        <v>#DIV/0!</v>
      </c>
      <c r="AT17" s="7">
        <v>130.0</v>
      </c>
      <c r="AU17" s="7">
        <v>80.0</v>
      </c>
      <c r="AV17" s="8">
        <v>105.0</v>
      </c>
      <c r="AW17" s="7">
        <v>70.0</v>
      </c>
      <c r="AX17" s="7">
        <v>38.4</v>
      </c>
      <c r="AY17" s="7">
        <v>17.0</v>
      </c>
      <c r="AZ17" s="7">
        <v>97.0</v>
      </c>
      <c r="BA17" s="10" t="str">
        <f t="shared" si="5"/>
        <v>нет</v>
      </c>
      <c r="BB17" s="9"/>
      <c r="BC17" s="11"/>
      <c r="BD17" s="12" t="str">
        <f t="shared" si="6"/>
        <v>#DIV/0!</v>
      </c>
      <c r="BE17" s="12">
        <f t="shared" si="7"/>
        <v>0</v>
      </c>
      <c r="BF17" s="12">
        <f t="shared" si="8"/>
        <v>1</v>
      </c>
      <c r="BG17" s="1" t="s">
        <v>150</v>
      </c>
      <c r="BH17" s="9"/>
      <c r="BI17" s="1" t="s">
        <v>150</v>
      </c>
      <c r="BJ17" s="9"/>
      <c r="BK17" s="1" t="s">
        <v>150</v>
      </c>
      <c r="BL17" s="9"/>
      <c r="BM17" s="1" t="s">
        <v>154</v>
      </c>
      <c r="BN17" s="1" t="s">
        <v>155</v>
      </c>
      <c r="BO17" s="1" t="s">
        <v>154</v>
      </c>
      <c r="BP17" s="1" t="s">
        <v>191</v>
      </c>
      <c r="BQ17" s="7">
        <v>24.0</v>
      </c>
      <c r="BR17" s="1" t="s">
        <v>154</v>
      </c>
      <c r="BS17" s="1" t="s">
        <v>170</v>
      </c>
      <c r="BT17" s="7">
        <v>40.0</v>
      </c>
      <c r="BU17" s="1" t="s">
        <v>157</v>
      </c>
      <c r="BV17" s="7">
        <v>16.0</v>
      </c>
      <c r="BW17" s="1" t="s">
        <v>150</v>
      </c>
      <c r="BX17" s="1" t="s">
        <v>150</v>
      </c>
      <c r="BY17" s="1" t="s">
        <v>150</v>
      </c>
      <c r="BZ17" s="1" t="s">
        <v>158</v>
      </c>
      <c r="CA17" s="1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7">
        <v>6.6</v>
      </c>
      <c r="CN17" s="7"/>
      <c r="CO17" s="7">
        <f t="shared" si="9"/>
        <v>0</v>
      </c>
      <c r="CP17" s="7"/>
      <c r="CQ17" s="7">
        <f t="shared" si="10"/>
        <v>0</v>
      </c>
      <c r="CR17" s="7"/>
      <c r="CS17" s="7">
        <f t="shared" si="11"/>
        <v>0</v>
      </c>
      <c r="CT17" s="7"/>
      <c r="CU17" s="7">
        <f t="shared" si="12"/>
        <v>0</v>
      </c>
      <c r="CV17" s="7" t="str">
        <f t="shared" si="13"/>
        <v>#DIV/0!</v>
      </c>
      <c r="CW17" s="7">
        <v>5.1</v>
      </c>
      <c r="CX17" s="7">
        <v>150.0</v>
      </c>
      <c r="CY17" s="7" t="str">
        <f t="shared" si="14"/>
        <v>Норма</v>
      </c>
      <c r="CZ17" s="7">
        <v>32.0</v>
      </c>
      <c r="DA17" s="7">
        <v>221.0</v>
      </c>
      <c r="DB17" s="7">
        <v>15.2</v>
      </c>
      <c r="DC17" s="7">
        <v>13.2</v>
      </c>
      <c r="DD17" s="7"/>
      <c r="DE17" s="7"/>
      <c r="DF17" s="7"/>
      <c r="DG17" s="7"/>
      <c r="DH17" s="7"/>
      <c r="DI17" s="7"/>
      <c r="DJ17" s="7"/>
      <c r="DK17" s="7"/>
      <c r="DL17" s="7"/>
      <c r="DM17" s="7">
        <v>5.1</v>
      </c>
      <c r="DN17" s="7">
        <v>150.0</v>
      </c>
      <c r="DO17" s="7" t="str">
        <f t="shared" si="15"/>
        <v>Норма</v>
      </c>
      <c r="DP17" s="7">
        <v>2.0</v>
      </c>
      <c r="DQ17" s="7">
        <v>256.0</v>
      </c>
      <c r="DR17" s="7">
        <v>11.4</v>
      </c>
      <c r="DS17" s="13">
        <v>3.7</v>
      </c>
      <c r="DT17" s="7">
        <v>37.0</v>
      </c>
      <c r="DU17" s="7">
        <v>1.07</v>
      </c>
      <c r="DV17" s="7">
        <v>0.9</v>
      </c>
      <c r="DW17" s="7">
        <v>0.19</v>
      </c>
      <c r="DX17" s="9"/>
      <c r="DY17" s="7">
        <v>31.1</v>
      </c>
      <c r="DZ17" s="7">
        <v>9.5</v>
      </c>
      <c r="EA17" s="7">
        <v>0.8</v>
      </c>
      <c r="EB17" s="7"/>
      <c r="EC17" s="7">
        <v>10.3</v>
      </c>
      <c r="ED17" s="7">
        <v>8.1</v>
      </c>
      <c r="EE17" s="7">
        <v>117.0</v>
      </c>
      <c r="EF17" s="7">
        <v>84.0</v>
      </c>
      <c r="EG17" s="7">
        <v>66.0</v>
      </c>
      <c r="EH17" s="7">
        <v>8.5</v>
      </c>
      <c r="EI17" s="7">
        <v>2.0</v>
      </c>
      <c r="EJ17" s="7">
        <v>80.0</v>
      </c>
      <c r="EK17" s="14">
        <f t="shared" si="16"/>
        <v>75.90936733</v>
      </c>
      <c r="EL17" s="11" t="str">
        <f t="shared" si="17"/>
        <v>C2</v>
      </c>
      <c r="EM17" s="9"/>
      <c r="EN17" s="9"/>
      <c r="EO17" s="7">
        <v>122.0</v>
      </c>
      <c r="EP17" s="7">
        <v>54.0</v>
      </c>
      <c r="EQ17" s="7">
        <v>55.0</v>
      </c>
      <c r="ER17" s="7">
        <v>9.9</v>
      </c>
      <c r="ES17" s="7">
        <v>2.0</v>
      </c>
      <c r="ET17" s="7">
        <v>70.0</v>
      </c>
      <c r="EU17" s="11">
        <f t="shared" si="18"/>
        <v>89.20878731</v>
      </c>
      <c r="EV17" s="11" t="str">
        <f t="shared" si="19"/>
        <v>C2</v>
      </c>
      <c r="EW17" s="9"/>
      <c r="EX17" s="9"/>
      <c r="EY17" s="9" t="str">
        <f t="shared" si="20"/>
        <v>#DIV/0!</v>
      </c>
      <c r="EZ17" s="9" t="str">
        <f t="shared" si="21"/>
        <v>#DIV/0!</v>
      </c>
      <c r="FA17" s="9" t="str">
        <f t="shared" si="22"/>
        <v>#DIV/0!</v>
      </c>
      <c r="FB17" s="9"/>
      <c r="FC17" s="1" t="s">
        <v>148</v>
      </c>
    </row>
    <row r="18">
      <c r="A18" s="7">
        <v>17.0</v>
      </c>
      <c r="B18" s="16">
        <v>17.0</v>
      </c>
      <c r="C18" s="16">
        <v>332.0</v>
      </c>
      <c r="D18" s="1" t="s">
        <v>148</v>
      </c>
      <c r="E18" s="7">
        <v>68.0</v>
      </c>
      <c r="F18" s="1" t="s">
        <v>149</v>
      </c>
      <c r="G18" s="7"/>
      <c r="H18" s="7">
        <v>24.0</v>
      </c>
      <c r="I18" s="1" t="s">
        <v>150</v>
      </c>
      <c r="J18" s="1" t="s">
        <v>150</v>
      </c>
      <c r="K18" s="9"/>
      <c r="L18" s="6" t="s">
        <v>154</v>
      </c>
      <c r="M18" s="6" t="s">
        <v>154</v>
      </c>
      <c r="N18" s="6" t="s">
        <v>192</v>
      </c>
      <c r="O18" s="1" t="str">
        <f t="shared" si="1"/>
        <v>нет</v>
      </c>
      <c r="P18" s="1" t="s">
        <v>150</v>
      </c>
      <c r="Q18" s="1" t="s">
        <v>154</v>
      </c>
      <c r="R18" s="7">
        <v>3.0</v>
      </c>
      <c r="S18" s="1" t="s">
        <v>154</v>
      </c>
      <c r="T18" s="1" t="s">
        <v>193</v>
      </c>
      <c r="U18" s="7"/>
      <c r="V18" s="7">
        <v>2.0</v>
      </c>
      <c r="W18" s="7">
        <v>2.0</v>
      </c>
      <c r="X18" s="9"/>
      <c r="Y18" s="1" t="s">
        <v>150</v>
      </c>
      <c r="Z18" s="9"/>
      <c r="AA18" s="9"/>
      <c r="AB18" s="9"/>
      <c r="AC18" s="9"/>
      <c r="AD18" s="17"/>
      <c r="AE18" s="17" t="s">
        <v>154</v>
      </c>
      <c r="AF18" s="18"/>
      <c r="AG18" s="1" t="s">
        <v>162</v>
      </c>
      <c r="AH18" s="1" t="s">
        <v>152</v>
      </c>
      <c r="AI18" s="1" t="s">
        <v>153</v>
      </c>
      <c r="AJ18" s="7">
        <v>2.0</v>
      </c>
      <c r="AK18" s="1" t="s">
        <v>154</v>
      </c>
      <c r="AL18" s="1"/>
      <c r="AM18" s="1"/>
      <c r="AN18" s="1">
        <v>15.0</v>
      </c>
      <c r="AO18" s="1" t="str">
        <f t="shared" si="2"/>
        <v>нет</v>
      </c>
      <c r="AP18" s="9"/>
      <c r="AQ18" s="9"/>
      <c r="AR18" s="9" t="str">
        <f t="shared" si="3"/>
        <v>#DIV/0!</v>
      </c>
      <c r="AS18" s="7" t="str">
        <f t="shared" si="4"/>
        <v>#DIV/0!</v>
      </c>
      <c r="AT18" s="7">
        <v>100.0</v>
      </c>
      <c r="AU18" s="7">
        <v>70.0</v>
      </c>
      <c r="AV18" s="8">
        <v>85.0</v>
      </c>
      <c r="AW18" s="7">
        <v>74.0</v>
      </c>
      <c r="AX18" s="7">
        <v>36.2</v>
      </c>
      <c r="AY18" s="7">
        <v>20.0</v>
      </c>
      <c r="AZ18" s="7">
        <v>94.0</v>
      </c>
      <c r="BA18" s="10" t="str">
        <f t="shared" si="5"/>
        <v>да</v>
      </c>
      <c r="BB18" s="9"/>
      <c r="BC18" s="11"/>
      <c r="BD18" s="12" t="str">
        <f t="shared" si="6"/>
        <v>#DIV/0!</v>
      </c>
      <c r="BE18" s="12">
        <f t="shared" si="7"/>
        <v>1</v>
      </c>
      <c r="BF18" s="12">
        <f t="shared" si="8"/>
        <v>3</v>
      </c>
      <c r="BG18" s="1" t="s">
        <v>154</v>
      </c>
      <c r="BH18" s="1" t="s">
        <v>194</v>
      </c>
      <c r="BI18" s="1" t="s">
        <v>150</v>
      </c>
      <c r="BJ18" s="9"/>
      <c r="BK18" s="1" t="s">
        <v>150</v>
      </c>
      <c r="BL18" s="9"/>
      <c r="BM18" s="1" t="s">
        <v>154</v>
      </c>
      <c r="BN18" s="1" t="s">
        <v>155</v>
      </c>
      <c r="BO18" s="1" t="s">
        <v>154</v>
      </c>
      <c r="BP18" s="1" t="s">
        <v>157</v>
      </c>
      <c r="BQ18" s="7">
        <v>16.0</v>
      </c>
      <c r="BR18" s="1" t="s">
        <v>154</v>
      </c>
      <c r="BS18" s="1" t="s">
        <v>174</v>
      </c>
      <c r="BT18" s="7">
        <v>52.0</v>
      </c>
      <c r="BU18" s="1" t="s">
        <v>157</v>
      </c>
      <c r="BV18" s="7">
        <v>16.0</v>
      </c>
      <c r="BW18" s="1" t="s">
        <v>154</v>
      </c>
      <c r="BX18" s="1" t="s">
        <v>150</v>
      </c>
      <c r="BY18" s="1" t="s">
        <v>150</v>
      </c>
      <c r="BZ18" s="1" t="s">
        <v>158</v>
      </c>
      <c r="CA18" s="1"/>
      <c r="CB18" s="9"/>
      <c r="CC18" s="9"/>
      <c r="CD18" s="9"/>
      <c r="CE18" s="9"/>
      <c r="CF18" s="9"/>
      <c r="CG18" s="9"/>
      <c r="CH18" s="9"/>
      <c r="CI18" s="9"/>
      <c r="CJ18" s="1" t="s">
        <v>154</v>
      </c>
      <c r="CK18" s="9"/>
      <c r="CL18" s="1" t="s">
        <v>159</v>
      </c>
      <c r="CM18" s="7">
        <v>6.8</v>
      </c>
      <c r="CN18" s="7"/>
      <c r="CO18" s="7">
        <f t="shared" si="9"/>
        <v>0</v>
      </c>
      <c r="CP18" s="7"/>
      <c r="CQ18" s="7">
        <f t="shared" si="10"/>
        <v>0</v>
      </c>
      <c r="CR18" s="7"/>
      <c r="CS18" s="7">
        <f t="shared" si="11"/>
        <v>0</v>
      </c>
      <c r="CT18" s="7"/>
      <c r="CU18" s="7">
        <f t="shared" si="12"/>
        <v>0</v>
      </c>
      <c r="CV18" s="7" t="str">
        <f t="shared" si="13"/>
        <v>#DIV/0!</v>
      </c>
      <c r="CW18" s="7">
        <v>3.7</v>
      </c>
      <c r="CX18" s="7">
        <v>107.0</v>
      </c>
      <c r="CY18" s="7" t="str">
        <f t="shared" si="14"/>
        <v>Средняя степень</v>
      </c>
      <c r="CZ18" s="7">
        <v>28.0</v>
      </c>
      <c r="DA18" s="7">
        <v>127.0</v>
      </c>
      <c r="DB18" s="7">
        <v>25.1</v>
      </c>
      <c r="DC18" s="7">
        <v>15.2</v>
      </c>
      <c r="DD18" s="7"/>
      <c r="DE18" s="7"/>
      <c r="DF18" s="7"/>
      <c r="DG18" s="7"/>
      <c r="DH18" s="7"/>
      <c r="DI18" s="7"/>
      <c r="DJ18" s="7"/>
      <c r="DK18" s="7"/>
      <c r="DL18" s="7"/>
      <c r="DM18" s="7">
        <v>4.7</v>
      </c>
      <c r="DN18" s="7">
        <v>134.0</v>
      </c>
      <c r="DO18" s="7" t="str">
        <f t="shared" si="15"/>
        <v>Норма</v>
      </c>
      <c r="DP18" s="7">
        <v>24.0</v>
      </c>
      <c r="DQ18" s="7">
        <v>180.0</v>
      </c>
      <c r="DR18" s="7">
        <v>36.2</v>
      </c>
      <c r="DS18" s="13">
        <v>5.9</v>
      </c>
      <c r="DT18" s="7">
        <v>37.7</v>
      </c>
      <c r="DU18" s="7">
        <v>10.2</v>
      </c>
      <c r="DV18" s="7">
        <v>0.86</v>
      </c>
      <c r="DW18" s="7">
        <v>0.6</v>
      </c>
      <c r="DX18" s="9"/>
      <c r="DY18" s="7">
        <v>43.9</v>
      </c>
      <c r="DZ18" s="7">
        <v>11.8</v>
      </c>
      <c r="EA18" s="7">
        <v>0.99</v>
      </c>
      <c r="EB18" s="7"/>
      <c r="EC18" s="7">
        <v>3.2</v>
      </c>
      <c r="ED18" s="7">
        <v>8.8</v>
      </c>
      <c r="EE18" s="7">
        <v>72.0</v>
      </c>
      <c r="EF18" s="7">
        <v>42.0</v>
      </c>
      <c r="EG18" s="7">
        <v>64.0</v>
      </c>
      <c r="EH18" s="7">
        <v>17.6</v>
      </c>
      <c r="EI18" s="7">
        <v>3.9</v>
      </c>
      <c r="EJ18" s="7">
        <v>100.0</v>
      </c>
      <c r="EK18" s="14">
        <f t="shared" si="16"/>
        <v>50.01098225</v>
      </c>
      <c r="EL18" s="11" t="str">
        <f t="shared" si="17"/>
        <v>C3a</v>
      </c>
      <c r="EM18" s="9"/>
      <c r="EN18" s="9"/>
      <c r="EO18" s="7">
        <v>30.0</v>
      </c>
      <c r="EP18" s="7">
        <v>33.0</v>
      </c>
      <c r="EQ18" s="7">
        <v>70.0</v>
      </c>
      <c r="ER18" s="7">
        <v>7.2</v>
      </c>
      <c r="ES18" s="7">
        <v>3.3</v>
      </c>
      <c r="ET18" s="7">
        <v>110.0</v>
      </c>
      <c r="EU18" s="11">
        <f t="shared" si="18"/>
        <v>44.56784429</v>
      </c>
      <c r="EV18" s="11" t="str">
        <f t="shared" si="19"/>
        <v>C3b</v>
      </c>
      <c r="EW18" s="9"/>
      <c r="EX18" s="9"/>
      <c r="EY18" s="9" t="str">
        <f t="shared" si="20"/>
        <v>#DIV/0!</v>
      </c>
      <c r="EZ18" s="9" t="str">
        <f t="shared" si="21"/>
        <v>#DIV/0!</v>
      </c>
      <c r="FA18" s="9" t="str">
        <f t="shared" si="22"/>
        <v>#DIV/0!</v>
      </c>
      <c r="FB18" s="9"/>
      <c r="FC18" s="1" t="s">
        <v>148</v>
      </c>
    </row>
    <row r="19">
      <c r="A19" s="7">
        <v>18.0</v>
      </c>
      <c r="B19" s="8">
        <v>18.0</v>
      </c>
      <c r="C19" s="7">
        <v>29755.0</v>
      </c>
      <c r="D19" s="1" t="s">
        <v>148</v>
      </c>
      <c r="E19" s="7">
        <v>61.0</v>
      </c>
      <c r="F19" s="1" t="s">
        <v>161</v>
      </c>
      <c r="G19" s="7"/>
      <c r="H19" s="7">
        <v>11.0</v>
      </c>
      <c r="I19" s="1" t="s">
        <v>150</v>
      </c>
      <c r="J19" s="1" t="s">
        <v>150</v>
      </c>
      <c r="K19" s="9"/>
      <c r="L19" s="1" t="s">
        <v>150</v>
      </c>
      <c r="M19" s="1" t="s">
        <v>150</v>
      </c>
      <c r="N19" s="9"/>
      <c r="O19" s="1" t="str">
        <f t="shared" si="1"/>
        <v>нет</v>
      </c>
      <c r="P19" s="1" t="s">
        <v>150</v>
      </c>
      <c r="Q19" s="1" t="s">
        <v>154</v>
      </c>
      <c r="R19" s="7">
        <v>2.0</v>
      </c>
      <c r="S19" s="1" t="s">
        <v>150</v>
      </c>
      <c r="T19" s="9"/>
      <c r="U19" s="9"/>
      <c r="V19" s="9"/>
      <c r="W19" s="9"/>
      <c r="X19" s="9"/>
      <c r="Y19" s="1" t="s">
        <v>150</v>
      </c>
      <c r="Z19" s="9"/>
      <c r="AA19" s="9"/>
      <c r="AB19" s="9"/>
      <c r="AC19" s="9"/>
      <c r="AD19" s="1"/>
      <c r="AE19" s="1" t="s">
        <v>150</v>
      </c>
      <c r="AF19" s="7">
        <v>0.0</v>
      </c>
      <c r="AG19" s="1" t="s">
        <v>162</v>
      </c>
      <c r="AH19" s="1" t="s">
        <v>152</v>
      </c>
      <c r="AI19" s="1" t="s">
        <v>168</v>
      </c>
      <c r="AJ19" s="7">
        <v>2.0</v>
      </c>
      <c r="AK19" s="1" t="s">
        <v>150</v>
      </c>
      <c r="AL19" s="1"/>
      <c r="AM19" s="1"/>
      <c r="AN19" s="1">
        <v>15.0</v>
      </c>
      <c r="AO19" s="1" t="str">
        <f t="shared" si="2"/>
        <v>нет</v>
      </c>
      <c r="AP19" s="9"/>
      <c r="AQ19" s="9"/>
      <c r="AR19" s="9" t="str">
        <f t="shared" si="3"/>
        <v>#DIV/0!</v>
      </c>
      <c r="AS19" s="7" t="str">
        <f t="shared" si="4"/>
        <v>#DIV/0!</v>
      </c>
      <c r="AT19" s="7">
        <v>142.0</v>
      </c>
      <c r="AU19" s="7">
        <v>85.0</v>
      </c>
      <c r="AV19" s="8">
        <v>113.5</v>
      </c>
      <c r="AW19" s="7">
        <v>87.0</v>
      </c>
      <c r="AX19" s="7">
        <v>37.2</v>
      </c>
      <c r="AY19" s="7">
        <v>19.0</v>
      </c>
      <c r="AZ19" s="7">
        <v>94.0</v>
      </c>
      <c r="BA19" s="10" t="str">
        <f t="shared" si="5"/>
        <v>да</v>
      </c>
      <c r="BB19" s="9"/>
      <c r="BC19" s="11"/>
      <c r="BD19" s="12" t="str">
        <f t="shared" si="6"/>
        <v>#DIV/0!</v>
      </c>
      <c r="BE19" s="12">
        <f t="shared" si="7"/>
        <v>0</v>
      </c>
      <c r="BF19" s="12">
        <f t="shared" si="8"/>
        <v>1</v>
      </c>
      <c r="BG19" s="1" t="s">
        <v>150</v>
      </c>
      <c r="BH19" s="9"/>
      <c r="BI19" s="1" t="s">
        <v>154</v>
      </c>
      <c r="BJ19" s="1" t="s">
        <v>175</v>
      </c>
      <c r="BK19" s="1" t="s">
        <v>150</v>
      </c>
      <c r="BL19" s="9"/>
      <c r="BM19" s="1" t="s">
        <v>154</v>
      </c>
      <c r="BN19" s="1" t="s">
        <v>155</v>
      </c>
      <c r="BO19" s="1" t="s">
        <v>154</v>
      </c>
      <c r="BP19" s="1" t="s">
        <v>195</v>
      </c>
      <c r="BQ19" s="9"/>
      <c r="BR19" s="1" t="s">
        <v>154</v>
      </c>
      <c r="BS19" s="1" t="s">
        <v>174</v>
      </c>
      <c r="BT19" s="7">
        <v>16.0</v>
      </c>
      <c r="BU19" s="1" t="s">
        <v>157</v>
      </c>
      <c r="BV19" s="7">
        <v>12.0</v>
      </c>
      <c r="BW19" s="1" t="s">
        <v>150</v>
      </c>
      <c r="BX19" s="1" t="s">
        <v>150</v>
      </c>
      <c r="BY19" s="1" t="s">
        <v>150</v>
      </c>
      <c r="BZ19" s="1" t="s">
        <v>158</v>
      </c>
      <c r="CA19" s="1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7">
        <v>12.6</v>
      </c>
      <c r="CN19" s="7"/>
      <c r="CO19" s="7">
        <f t="shared" si="9"/>
        <v>0</v>
      </c>
      <c r="CP19" s="7"/>
      <c r="CQ19" s="7">
        <f t="shared" si="10"/>
        <v>0</v>
      </c>
      <c r="CR19" s="7"/>
      <c r="CS19" s="7">
        <f t="shared" si="11"/>
        <v>0</v>
      </c>
      <c r="CT19" s="7"/>
      <c r="CU19" s="7">
        <f t="shared" si="12"/>
        <v>0</v>
      </c>
      <c r="CV19" s="7" t="str">
        <f t="shared" si="13"/>
        <v>#DIV/0!</v>
      </c>
      <c r="CW19" s="7">
        <v>4.3</v>
      </c>
      <c r="CX19" s="7">
        <v>130.0</v>
      </c>
      <c r="CY19" s="7" t="str">
        <f t="shared" si="14"/>
        <v>Норма</v>
      </c>
      <c r="CZ19" s="7">
        <v>42.0</v>
      </c>
      <c r="DA19" s="7">
        <v>313.0</v>
      </c>
      <c r="DB19" s="7">
        <v>54.5</v>
      </c>
      <c r="DC19" s="7">
        <v>8.8</v>
      </c>
      <c r="DD19" s="7"/>
      <c r="DE19" s="7"/>
      <c r="DF19" s="7"/>
      <c r="DG19" s="7"/>
      <c r="DH19" s="7"/>
      <c r="DI19" s="7"/>
      <c r="DJ19" s="7"/>
      <c r="DK19" s="7"/>
      <c r="DL19" s="7"/>
      <c r="DM19" s="7">
        <v>4.1</v>
      </c>
      <c r="DN19" s="7">
        <v>121.0</v>
      </c>
      <c r="DO19" s="7" t="str">
        <f t="shared" si="15"/>
        <v>Легкая степень</v>
      </c>
      <c r="DP19" s="7">
        <v>48.0</v>
      </c>
      <c r="DQ19" s="7">
        <v>360.0</v>
      </c>
      <c r="DR19" s="7">
        <v>21.0</v>
      </c>
      <c r="DS19" s="13">
        <v>4.84</v>
      </c>
      <c r="DT19" s="7">
        <v>21.4</v>
      </c>
      <c r="DU19" s="7">
        <v>10.6</v>
      </c>
      <c r="DV19" s="7">
        <v>0.95</v>
      </c>
      <c r="DW19" s="9"/>
      <c r="DX19" s="9"/>
      <c r="DY19" s="7">
        <v>27.3</v>
      </c>
      <c r="DZ19" s="7">
        <v>10.5</v>
      </c>
      <c r="EA19" s="7">
        <v>0.94</v>
      </c>
      <c r="EB19" s="7"/>
      <c r="EC19" s="7">
        <v>7.1</v>
      </c>
      <c r="ED19" s="9"/>
      <c r="EE19" s="7">
        <v>46.0</v>
      </c>
      <c r="EF19" s="7">
        <v>23.0</v>
      </c>
      <c r="EG19" s="7">
        <v>76.0</v>
      </c>
      <c r="EH19" s="7">
        <v>13.0</v>
      </c>
      <c r="EI19" s="7">
        <v>3.0</v>
      </c>
      <c r="EJ19" s="7">
        <v>70.0</v>
      </c>
      <c r="EK19" s="14">
        <f t="shared" si="16"/>
        <v>80.85318167</v>
      </c>
      <c r="EL19" s="11" t="str">
        <f t="shared" si="17"/>
        <v>C2</v>
      </c>
      <c r="EM19" s="9"/>
      <c r="EN19" s="9"/>
      <c r="EO19" s="7">
        <v>58.0</v>
      </c>
      <c r="EP19" s="7">
        <v>21.0</v>
      </c>
      <c r="EQ19" s="7">
        <v>59.0</v>
      </c>
      <c r="ER19" s="7">
        <v>9.2</v>
      </c>
      <c r="ES19" s="7">
        <v>1.4</v>
      </c>
      <c r="ET19" s="7">
        <v>90.0</v>
      </c>
      <c r="EU19" s="11">
        <f t="shared" si="18"/>
        <v>59.66799588</v>
      </c>
      <c r="EV19" s="11" t="str">
        <f t="shared" si="19"/>
        <v>C3a</v>
      </c>
      <c r="EW19" s="9"/>
      <c r="EX19" s="9"/>
      <c r="EY19" s="9" t="str">
        <f t="shared" si="20"/>
        <v>#DIV/0!</v>
      </c>
      <c r="EZ19" s="9" t="str">
        <f t="shared" si="21"/>
        <v>#DIV/0!</v>
      </c>
      <c r="FA19" s="9" t="str">
        <f t="shared" si="22"/>
        <v>#DIV/0!</v>
      </c>
      <c r="FB19" s="9"/>
      <c r="FC19" s="1" t="s">
        <v>148</v>
      </c>
    </row>
    <row r="20">
      <c r="A20" s="7">
        <v>19.0</v>
      </c>
      <c r="B20" s="8">
        <v>19.0</v>
      </c>
      <c r="C20" s="7">
        <v>6367.0</v>
      </c>
      <c r="D20" s="1" t="s">
        <v>148</v>
      </c>
      <c r="E20" s="7">
        <v>40.0</v>
      </c>
      <c r="F20" s="1" t="s">
        <v>161</v>
      </c>
      <c r="G20" s="7"/>
      <c r="H20" s="7">
        <v>14.0</v>
      </c>
      <c r="I20" s="1" t="s">
        <v>150</v>
      </c>
      <c r="J20" s="1" t="s">
        <v>150</v>
      </c>
      <c r="K20" s="9"/>
      <c r="L20" s="1" t="s">
        <v>150</v>
      </c>
      <c r="M20" s="1" t="s">
        <v>150</v>
      </c>
      <c r="N20" s="9"/>
      <c r="O20" s="1" t="str">
        <f t="shared" si="1"/>
        <v>да</v>
      </c>
      <c r="P20" s="1" t="s">
        <v>150</v>
      </c>
      <c r="Q20" s="1" t="s">
        <v>150</v>
      </c>
      <c r="R20" s="9"/>
      <c r="S20" s="1" t="s">
        <v>150</v>
      </c>
      <c r="T20" s="9"/>
      <c r="U20" s="9"/>
      <c r="V20" s="9"/>
      <c r="W20" s="9"/>
      <c r="X20" s="9"/>
      <c r="Y20" s="1" t="s">
        <v>150</v>
      </c>
      <c r="Z20" s="9"/>
      <c r="AA20" s="9"/>
      <c r="AB20" s="9"/>
      <c r="AC20" s="9"/>
      <c r="AD20" s="1"/>
      <c r="AE20" s="1" t="s">
        <v>150</v>
      </c>
      <c r="AF20" s="7">
        <v>0.0</v>
      </c>
      <c r="AG20" s="1" t="s">
        <v>162</v>
      </c>
      <c r="AH20" s="1" t="s">
        <v>152</v>
      </c>
      <c r="AI20" s="1" t="s">
        <v>153</v>
      </c>
      <c r="AJ20" s="7">
        <v>2.0</v>
      </c>
      <c r="AK20" s="1" t="s">
        <v>154</v>
      </c>
      <c r="AL20" s="1"/>
      <c r="AM20" s="1"/>
      <c r="AN20" s="1">
        <v>15.0</v>
      </c>
      <c r="AO20" s="1" t="str">
        <f t="shared" si="2"/>
        <v>нет</v>
      </c>
      <c r="AP20" s="9"/>
      <c r="AQ20" s="9"/>
      <c r="AR20" s="9" t="str">
        <f t="shared" si="3"/>
        <v>#DIV/0!</v>
      </c>
      <c r="AS20" s="7" t="str">
        <f t="shared" si="4"/>
        <v>#DIV/0!</v>
      </c>
      <c r="AT20" s="7">
        <v>115.0</v>
      </c>
      <c r="AU20" s="7">
        <v>65.0</v>
      </c>
      <c r="AV20" s="8">
        <v>90.0</v>
      </c>
      <c r="AW20" s="7">
        <v>100.0</v>
      </c>
      <c r="AX20" s="7">
        <v>36.6</v>
      </c>
      <c r="AY20" s="7">
        <v>24.0</v>
      </c>
      <c r="AZ20" s="7">
        <v>99.0</v>
      </c>
      <c r="BA20" s="10" t="str">
        <f t="shared" si="5"/>
        <v>нет</v>
      </c>
      <c r="BB20" s="9"/>
      <c r="BC20" s="11"/>
      <c r="BD20" s="12" t="str">
        <f t="shared" si="6"/>
        <v>#DIV/0!</v>
      </c>
      <c r="BE20" s="12">
        <f t="shared" si="7"/>
        <v>1</v>
      </c>
      <c r="BF20" s="12">
        <f t="shared" si="8"/>
        <v>3</v>
      </c>
      <c r="BG20" s="1" t="s">
        <v>150</v>
      </c>
      <c r="BH20" s="9"/>
      <c r="BI20" s="1" t="s">
        <v>150</v>
      </c>
      <c r="BJ20" s="9"/>
      <c r="BK20" s="1" t="s">
        <v>150</v>
      </c>
      <c r="BL20" s="9"/>
      <c r="BM20" s="1" t="s">
        <v>154</v>
      </c>
      <c r="BN20" s="1" t="s">
        <v>155</v>
      </c>
      <c r="BO20" s="1" t="s">
        <v>150</v>
      </c>
      <c r="BP20" s="9"/>
      <c r="BQ20" s="9"/>
      <c r="BR20" s="1" t="s">
        <v>154</v>
      </c>
      <c r="BS20" s="1" t="s">
        <v>196</v>
      </c>
      <c r="BT20" s="7">
        <v>288.0</v>
      </c>
      <c r="BU20" s="1" t="s">
        <v>157</v>
      </c>
      <c r="BV20" s="7">
        <v>16.0</v>
      </c>
      <c r="BW20" s="1" t="s">
        <v>150</v>
      </c>
      <c r="BX20" s="1" t="s">
        <v>150</v>
      </c>
      <c r="BY20" s="1" t="s">
        <v>150</v>
      </c>
      <c r="BZ20" s="1" t="s">
        <v>158</v>
      </c>
      <c r="CA20" s="1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1" t="s">
        <v>197</v>
      </c>
      <c r="CM20" s="7">
        <v>3.1</v>
      </c>
      <c r="CN20" s="7"/>
      <c r="CO20" s="7">
        <f t="shared" si="9"/>
        <v>0</v>
      </c>
      <c r="CP20" s="7"/>
      <c r="CQ20" s="7">
        <f t="shared" si="10"/>
        <v>0</v>
      </c>
      <c r="CR20" s="7"/>
      <c r="CS20" s="7">
        <f t="shared" si="11"/>
        <v>0</v>
      </c>
      <c r="CT20" s="7"/>
      <c r="CU20" s="7">
        <f t="shared" si="12"/>
        <v>0</v>
      </c>
      <c r="CV20" s="7" t="str">
        <f t="shared" si="13"/>
        <v>#DIV/0!</v>
      </c>
      <c r="CW20" s="7">
        <v>3.4</v>
      </c>
      <c r="CX20" s="7">
        <v>223.0</v>
      </c>
      <c r="CY20" s="7" t="str">
        <f t="shared" si="14"/>
        <v>Норма</v>
      </c>
      <c r="CZ20" s="7">
        <v>47.0</v>
      </c>
      <c r="DA20" s="7">
        <v>223.0</v>
      </c>
      <c r="DB20" s="7">
        <v>80.0</v>
      </c>
      <c r="DC20" s="7">
        <v>8.0</v>
      </c>
      <c r="DD20" s="7"/>
      <c r="DE20" s="7"/>
      <c r="DF20" s="7"/>
      <c r="DG20" s="7"/>
      <c r="DH20" s="7"/>
      <c r="DI20" s="7"/>
      <c r="DJ20" s="7"/>
      <c r="DK20" s="7"/>
      <c r="DL20" s="7"/>
      <c r="DM20" s="7">
        <v>3.2</v>
      </c>
      <c r="DN20" s="7">
        <v>90.0</v>
      </c>
      <c r="DO20" s="7" t="str">
        <f t="shared" si="15"/>
        <v>Средняя степень</v>
      </c>
      <c r="DP20" s="7">
        <v>45.0</v>
      </c>
      <c r="DQ20" s="7">
        <v>238.0</v>
      </c>
      <c r="DR20" s="7">
        <v>8.5</v>
      </c>
      <c r="DS20" s="13">
        <v>3.87</v>
      </c>
      <c r="DT20" s="7">
        <v>23.0</v>
      </c>
      <c r="DU20" s="7">
        <v>12.8</v>
      </c>
      <c r="DV20" s="7">
        <v>0.08</v>
      </c>
      <c r="DW20" s="9"/>
      <c r="DX20" s="9"/>
      <c r="DY20" s="7">
        <v>23.6</v>
      </c>
      <c r="DZ20" s="7">
        <v>13.0</v>
      </c>
      <c r="EA20" s="7">
        <v>1.19</v>
      </c>
      <c r="EB20" s="7"/>
      <c r="EC20" s="7">
        <v>6.8</v>
      </c>
      <c r="ED20" s="7">
        <v>8.1</v>
      </c>
      <c r="EE20" s="7">
        <v>15.0</v>
      </c>
      <c r="EF20" s="7">
        <v>19.0</v>
      </c>
      <c r="EG20" s="7">
        <v>67.0</v>
      </c>
      <c r="EH20" s="7">
        <v>3.7</v>
      </c>
      <c r="EI20" s="7">
        <v>1.1</v>
      </c>
      <c r="EJ20" s="7">
        <v>290.0</v>
      </c>
      <c r="EK20" s="14">
        <f t="shared" si="16"/>
        <v>16.80533782</v>
      </c>
      <c r="EL20" s="11" t="str">
        <f t="shared" si="17"/>
        <v>C4</v>
      </c>
      <c r="EM20" s="9"/>
      <c r="EN20" s="9"/>
      <c r="EO20" s="7">
        <v>11.0</v>
      </c>
      <c r="EP20" s="7">
        <v>12.0</v>
      </c>
      <c r="EQ20" s="7">
        <v>52.0</v>
      </c>
      <c r="ER20" s="7">
        <v>14.0</v>
      </c>
      <c r="ES20" s="7">
        <v>3.0</v>
      </c>
      <c r="ET20" s="7">
        <v>220.0</v>
      </c>
      <c r="EU20" s="11">
        <f t="shared" si="18"/>
        <v>23.46915242</v>
      </c>
      <c r="EV20" s="11" t="str">
        <f t="shared" si="19"/>
        <v>C4</v>
      </c>
      <c r="EW20" s="9"/>
      <c r="EX20" s="9"/>
      <c r="EY20" s="9" t="str">
        <f t="shared" si="20"/>
        <v>#DIV/0!</v>
      </c>
      <c r="EZ20" s="9" t="str">
        <f t="shared" si="21"/>
        <v>#DIV/0!</v>
      </c>
      <c r="FA20" s="9" t="str">
        <f t="shared" si="22"/>
        <v>#DIV/0!</v>
      </c>
      <c r="FB20" s="9"/>
      <c r="FC20" s="1" t="s">
        <v>148</v>
      </c>
    </row>
    <row r="21">
      <c r="A21" s="7">
        <v>20.0</v>
      </c>
      <c r="B21" s="8">
        <v>20.0</v>
      </c>
      <c r="C21" s="7">
        <v>23920.0</v>
      </c>
      <c r="D21" s="1" t="s">
        <v>148</v>
      </c>
      <c r="E21" s="7">
        <v>49.0</v>
      </c>
      <c r="F21" s="1" t="s">
        <v>161</v>
      </c>
      <c r="G21" s="7"/>
      <c r="H21" s="7">
        <v>9.0</v>
      </c>
      <c r="I21" s="1" t="s">
        <v>150</v>
      </c>
      <c r="J21" s="1" t="s">
        <v>150</v>
      </c>
      <c r="K21" s="9"/>
      <c r="L21" s="1" t="s">
        <v>150</v>
      </c>
      <c r="M21" s="1" t="s">
        <v>150</v>
      </c>
      <c r="N21" s="9"/>
      <c r="O21" s="1" t="str">
        <f t="shared" si="1"/>
        <v>нет</v>
      </c>
      <c r="P21" s="1" t="s">
        <v>150</v>
      </c>
      <c r="Q21" s="1" t="s">
        <v>154</v>
      </c>
      <c r="R21" s="7">
        <v>2.0</v>
      </c>
      <c r="S21" s="1" t="s">
        <v>150</v>
      </c>
      <c r="T21" s="9"/>
      <c r="U21" s="9"/>
      <c r="V21" s="9"/>
      <c r="W21" s="9"/>
      <c r="X21" s="9"/>
      <c r="Y21" s="1" t="s">
        <v>150</v>
      </c>
      <c r="Z21" s="9"/>
      <c r="AA21" s="9"/>
      <c r="AB21" s="9"/>
      <c r="AC21" s="9"/>
      <c r="AD21" s="1"/>
      <c r="AE21" s="1" t="s">
        <v>150</v>
      </c>
      <c r="AF21" s="7">
        <v>0.0</v>
      </c>
      <c r="AG21" s="1" t="s">
        <v>162</v>
      </c>
      <c r="AH21" s="1" t="s">
        <v>152</v>
      </c>
      <c r="AI21" s="1" t="s">
        <v>153</v>
      </c>
      <c r="AJ21" s="7">
        <v>2.0</v>
      </c>
      <c r="AK21" s="1" t="s">
        <v>154</v>
      </c>
      <c r="AL21" s="1"/>
      <c r="AM21" s="1"/>
      <c r="AN21" s="1">
        <v>15.0</v>
      </c>
      <c r="AO21" s="1" t="str">
        <f t="shared" si="2"/>
        <v>нет</v>
      </c>
      <c r="AP21" s="9"/>
      <c r="AQ21" s="9"/>
      <c r="AR21" s="9" t="str">
        <f t="shared" si="3"/>
        <v>#DIV/0!</v>
      </c>
      <c r="AS21" s="7" t="str">
        <f t="shared" si="4"/>
        <v>#DIV/0!</v>
      </c>
      <c r="AT21" s="7">
        <v>140.0</v>
      </c>
      <c r="AU21" s="7">
        <v>80.0</v>
      </c>
      <c r="AV21" s="8">
        <v>110.0</v>
      </c>
      <c r="AW21" s="7">
        <v>110.0</v>
      </c>
      <c r="AX21" s="7">
        <v>36.2</v>
      </c>
      <c r="AY21" s="7">
        <v>18.0</v>
      </c>
      <c r="AZ21" s="7">
        <v>97.0</v>
      </c>
      <c r="BA21" s="10" t="str">
        <f t="shared" si="5"/>
        <v>нет</v>
      </c>
      <c r="BB21" s="9"/>
      <c r="BC21" s="11"/>
      <c r="BD21" s="12" t="str">
        <f t="shared" si="6"/>
        <v>#DIV/0!</v>
      </c>
      <c r="BE21" s="12">
        <f t="shared" si="7"/>
        <v>0</v>
      </c>
      <c r="BF21" s="12">
        <f t="shared" si="8"/>
        <v>1</v>
      </c>
      <c r="BG21" s="1" t="s">
        <v>154</v>
      </c>
      <c r="BH21" s="1" t="s">
        <v>198</v>
      </c>
      <c r="BI21" s="1" t="s">
        <v>154</v>
      </c>
      <c r="BJ21" s="1" t="s">
        <v>169</v>
      </c>
      <c r="BK21" s="1" t="s">
        <v>150</v>
      </c>
      <c r="BL21" s="9"/>
      <c r="BM21" s="1" t="s">
        <v>154</v>
      </c>
      <c r="BN21" s="1" t="s">
        <v>155</v>
      </c>
      <c r="BO21" s="1" t="s">
        <v>150</v>
      </c>
      <c r="BP21" s="9"/>
      <c r="BQ21" s="9"/>
      <c r="BR21" s="1" t="s">
        <v>154</v>
      </c>
      <c r="BS21" s="1" t="s">
        <v>196</v>
      </c>
      <c r="BT21" s="9"/>
      <c r="BU21" s="1" t="s">
        <v>157</v>
      </c>
      <c r="BV21" s="7">
        <v>8.0</v>
      </c>
      <c r="BW21" s="1" t="s">
        <v>150</v>
      </c>
      <c r="BX21" s="1" t="s">
        <v>150</v>
      </c>
      <c r="BY21" s="1" t="s">
        <v>150</v>
      </c>
      <c r="BZ21" s="1" t="s">
        <v>158</v>
      </c>
      <c r="CA21" s="1"/>
      <c r="CB21" s="9"/>
      <c r="CC21" s="1" t="s">
        <v>199</v>
      </c>
      <c r="CF21" s="9"/>
      <c r="CG21" s="9"/>
      <c r="CH21" s="9"/>
      <c r="CI21" s="9"/>
      <c r="CJ21" s="9"/>
      <c r="CK21" s="9"/>
      <c r="CL21" s="1" t="s">
        <v>200</v>
      </c>
      <c r="CM21" s="7">
        <v>4.8</v>
      </c>
      <c r="CN21" s="7"/>
      <c r="CO21" s="7">
        <f t="shared" si="9"/>
        <v>0</v>
      </c>
      <c r="CP21" s="7"/>
      <c r="CQ21" s="7">
        <f t="shared" si="10"/>
        <v>0</v>
      </c>
      <c r="CR21" s="7"/>
      <c r="CS21" s="7">
        <f t="shared" si="11"/>
        <v>0</v>
      </c>
      <c r="CT21" s="7"/>
      <c r="CU21" s="7">
        <f t="shared" si="12"/>
        <v>0</v>
      </c>
      <c r="CV21" s="7" t="str">
        <f t="shared" si="13"/>
        <v>#DIV/0!</v>
      </c>
      <c r="CW21" s="7">
        <v>4.8</v>
      </c>
      <c r="CX21" s="7">
        <v>122.0</v>
      </c>
      <c r="CY21" s="7" t="str">
        <f t="shared" si="14"/>
        <v>Легкая степень</v>
      </c>
      <c r="CZ21" s="7">
        <v>12.0</v>
      </c>
      <c r="DA21" s="7">
        <v>320.0</v>
      </c>
      <c r="DB21" s="7">
        <v>1.3</v>
      </c>
      <c r="DC21" s="7">
        <v>8.2</v>
      </c>
      <c r="DD21" s="7"/>
      <c r="DE21" s="7"/>
      <c r="DF21" s="7"/>
      <c r="DG21" s="7"/>
      <c r="DH21" s="7"/>
      <c r="DI21" s="7"/>
      <c r="DJ21" s="7"/>
      <c r="DK21" s="7"/>
      <c r="DL21" s="7"/>
      <c r="DM21" s="7">
        <v>4.3</v>
      </c>
      <c r="DN21" s="7">
        <v>110.0</v>
      </c>
      <c r="DO21" s="7" t="str">
        <f t="shared" si="15"/>
        <v>Легкая степень</v>
      </c>
      <c r="DP21" s="7">
        <v>15.0</v>
      </c>
      <c r="DQ21" s="7">
        <v>404.0</v>
      </c>
      <c r="DR21" s="7">
        <v>9.0</v>
      </c>
      <c r="DS21" s="13">
        <v>2.83</v>
      </c>
      <c r="DT21" s="7">
        <v>26.6</v>
      </c>
      <c r="DU21" s="7">
        <v>11.3</v>
      </c>
      <c r="DV21" s="7">
        <v>1.02</v>
      </c>
      <c r="DW21" s="7">
        <v>0.57</v>
      </c>
      <c r="DX21" s="9"/>
      <c r="DY21" s="7">
        <v>29.1</v>
      </c>
      <c r="DZ21" s="7">
        <v>12.9</v>
      </c>
      <c r="EA21" s="7">
        <v>1.09</v>
      </c>
      <c r="EB21" s="7"/>
      <c r="EC21" s="7">
        <v>5.7</v>
      </c>
      <c r="ED21" s="7">
        <v>4.1</v>
      </c>
      <c r="EE21" s="7">
        <v>2.2</v>
      </c>
      <c r="EF21" s="7">
        <v>4.5</v>
      </c>
      <c r="EG21" s="7">
        <v>68.0</v>
      </c>
      <c r="EH21" s="7">
        <v>9.0</v>
      </c>
      <c r="EI21" s="9"/>
      <c r="EJ21" s="7">
        <v>60.0</v>
      </c>
      <c r="EK21" s="14">
        <f t="shared" si="16"/>
        <v>103.116967</v>
      </c>
      <c r="EL21" s="11" t="str">
        <f t="shared" si="17"/>
        <v>C1</v>
      </c>
      <c r="EM21" s="9"/>
      <c r="EN21" s="9"/>
      <c r="EO21" s="7">
        <v>33.0</v>
      </c>
      <c r="EP21" s="7">
        <v>15.0</v>
      </c>
      <c r="EQ21" s="7">
        <v>69.0</v>
      </c>
      <c r="ER21" s="7">
        <v>13.3</v>
      </c>
      <c r="ES21" s="7">
        <v>2.4</v>
      </c>
      <c r="ET21" s="7">
        <v>80.0</v>
      </c>
      <c r="EU21" s="11">
        <f t="shared" si="18"/>
        <v>74.85035574</v>
      </c>
      <c r="EV21" s="11" t="str">
        <f t="shared" si="19"/>
        <v>C2</v>
      </c>
      <c r="EW21" s="9"/>
      <c r="EX21" s="9"/>
      <c r="EY21" s="9" t="str">
        <f t="shared" si="20"/>
        <v>#DIV/0!</v>
      </c>
      <c r="EZ21" s="9" t="str">
        <f t="shared" si="21"/>
        <v>#DIV/0!</v>
      </c>
      <c r="FA21" s="9" t="str">
        <f t="shared" si="22"/>
        <v>#DIV/0!</v>
      </c>
      <c r="FB21" s="9"/>
      <c r="FC21" s="1" t="s">
        <v>148</v>
      </c>
    </row>
    <row r="22">
      <c r="A22" s="7">
        <v>21.0</v>
      </c>
      <c r="B22" s="8">
        <v>21.0</v>
      </c>
      <c r="C22" s="7">
        <v>2861.0</v>
      </c>
      <c r="D22" s="1" t="s">
        <v>148</v>
      </c>
      <c r="E22" s="7">
        <v>69.0</v>
      </c>
      <c r="F22" s="1" t="s">
        <v>161</v>
      </c>
      <c r="G22" s="7"/>
      <c r="H22" s="7">
        <v>44.0</v>
      </c>
      <c r="I22" s="1" t="s">
        <v>150</v>
      </c>
      <c r="J22" s="1" t="s">
        <v>150</v>
      </c>
      <c r="K22" s="9"/>
      <c r="L22" s="1" t="s">
        <v>150</v>
      </c>
      <c r="M22" s="1" t="s">
        <v>150</v>
      </c>
      <c r="N22" s="9"/>
      <c r="O22" s="1" t="str">
        <f t="shared" si="1"/>
        <v>нет</v>
      </c>
      <c r="P22" s="1" t="s">
        <v>150</v>
      </c>
      <c r="Q22" s="1" t="s">
        <v>154</v>
      </c>
      <c r="R22" s="7">
        <v>2.0</v>
      </c>
      <c r="S22" s="1" t="s">
        <v>154</v>
      </c>
      <c r="T22" s="1" t="s">
        <v>201</v>
      </c>
      <c r="U22" s="7"/>
      <c r="V22" s="7">
        <v>1.0</v>
      </c>
      <c r="W22" s="7">
        <v>2.0</v>
      </c>
      <c r="X22" s="9"/>
      <c r="Y22" s="1" t="s">
        <v>150</v>
      </c>
      <c r="Z22" s="9"/>
      <c r="AA22" s="9"/>
      <c r="AB22" s="9"/>
      <c r="AC22" s="9"/>
      <c r="AD22" s="17"/>
      <c r="AE22" s="17" t="s">
        <v>154</v>
      </c>
      <c r="AF22" s="18"/>
      <c r="AG22" s="1" t="s">
        <v>162</v>
      </c>
      <c r="AH22" s="1" t="s">
        <v>152</v>
      </c>
      <c r="AI22" s="1" t="s">
        <v>168</v>
      </c>
      <c r="AJ22" s="7">
        <v>4.0</v>
      </c>
      <c r="AK22" s="1" t="s">
        <v>154</v>
      </c>
      <c r="AL22" s="1"/>
      <c r="AM22" s="1"/>
      <c r="AN22" s="1">
        <v>15.0</v>
      </c>
      <c r="AO22" s="1" t="str">
        <f t="shared" si="2"/>
        <v>нет</v>
      </c>
      <c r="AP22" s="9"/>
      <c r="AQ22" s="9"/>
      <c r="AR22" s="9" t="str">
        <f t="shared" si="3"/>
        <v>#DIV/0!</v>
      </c>
      <c r="AS22" s="7" t="str">
        <f t="shared" si="4"/>
        <v>#DIV/0!</v>
      </c>
      <c r="AT22" s="7">
        <v>130.0</v>
      </c>
      <c r="AU22" s="7">
        <v>70.0</v>
      </c>
      <c r="AV22" s="8">
        <v>100.0</v>
      </c>
      <c r="AW22" s="7">
        <v>120.0</v>
      </c>
      <c r="AX22" s="7">
        <v>36.3</v>
      </c>
      <c r="AY22" s="7">
        <v>30.0</v>
      </c>
      <c r="AZ22" s="7">
        <v>95.0</v>
      </c>
      <c r="BA22" s="10" t="str">
        <f t="shared" si="5"/>
        <v>да</v>
      </c>
      <c r="BB22" s="9"/>
      <c r="BC22" s="11"/>
      <c r="BD22" s="12" t="str">
        <f t="shared" si="6"/>
        <v>#DIV/0!</v>
      </c>
      <c r="BE22" s="12">
        <f t="shared" si="7"/>
        <v>1</v>
      </c>
      <c r="BF22" s="12">
        <f t="shared" si="8"/>
        <v>6</v>
      </c>
      <c r="BG22" s="1" t="s">
        <v>154</v>
      </c>
      <c r="BH22" s="1" t="s">
        <v>198</v>
      </c>
      <c r="BI22" s="1" t="s">
        <v>150</v>
      </c>
      <c r="BJ22" s="9"/>
      <c r="BK22" s="1" t="s">
        <v>150</v>
      </c>
      <c r="BL22" s="9"/>
      <c r="BM22" s="1" t="s">
        <v>154</v>
      </c>
      <c r="BN22" s="1" t="s">
        <v>155</v>
      </c>
      <c r="BO22" s="1" t="s">
        <v>150</v>
      </c>
      <c r="BP22" s="9"/>
      <c r="BQ22" s="9"/>
      <c r="BR22" s="1" t="s">
        <v>154</v>
      </c>
      <c r="BS22" s="1" t="s">
        <v>202</v>
      </c>
      <c r="BT22" s="7">
        <v>272.0</v>
      </c>
      <c r="BU22" s="1" t="s">
        <v>157</v>
      </c>
      <c r="BV22" s="7">
        <v>16.0</v>
      </c>
      <c r="BW22" s="1" t="s">
        <v>150</v>
      </c>
      <c r="BX22" s="1" t="s">
        <v>150</v>
      </c>
      <c r="BY22" s="1" t="s">
        <v>150</v>
      </c>
      <c r="BZ22" s="1" t="s">
        <v>158</v>
      </c>
      <c r="CA22" s="1" t="s">
        <v>167</v>
      </c>
      <c r="CB22" s="1" t="s">
        <v>185</v>
      </c>
      <c r="CD22" s="9"/>
      <c r="CE22" s="9"/>
      <c r="CF22" s="9"/>
      <c r="CG22" s="9"/>
      <c r="CH22" s="9"/>
      <c r="CI22" s="9"/>
      <c r="CJ22" s="9"/>
      <c r="CK22" s="9"/>
      <c r="CL22" s="1" t="s">
        <v>203</v>
      </c>
      <c r="CM22" s="7">
        <v>9.0</v>
      </c>
      <c r="CN22" s="7"/>
      <c r="CO22" s="7">
        <f t="shared" si="9"/>
        <v>0</v>
      </c>
      <c r="CP22" s="7"/>
      <c r="CQ22" s="7">
        <f t="shared" si="10"/>
        <v>0</v>
      </c>
      <c r="CR22" s="7"/>
      <c r="CS22" s="7">
        <f t="shared" si="11"/>
        <v>0</v>
      </c>
      <c r="CT22" s="7"/>
      <c r="CU22" s="7">
        <f t="shared" si="12"/>
        <v>0</v>
      </c>
      <c r="CV22" s="7" t="str">
        <f t="shared" si="13"/>
        <v>#DIV/0!</v>
      </c>
      <c r="CW22" s="7">
        <v>4.1</v>
      </c>
      <c r="CX22" s="7">
        <v>121.0</v>
      </c>
      <c r="CY22" s="7" t="str">
        <f t="shared" si="14"/>
        <v>Легкая степень</v>
      </c>
      <c r="CZ22" s="7">
        <v>32.0</v>
      </c>
      <c r="DA22" s="7">
        <v>314.0</v>
      </c>
      <c r="DB22" s="7">
        <v>39.0</v>
      </c>
      <c r="DC22" s="7">
        <v>9.4</v>
      </c>
      <c r="DD22" s="7"/>
      <c r="DE22" s="7"/>
      <c r="DF22" s="7"/>
      <c r="DG22" s="7"/>
      <c r="DH22" s="7"/>
      <c r="DI22" s="7"/>
      <c r="DJ22" s="7"/>
      <c r="DK22" s="7"/>
      <c r="DL22" s="7"/>
      <c r="DM22" s="7">
        <v>3.9</v>
      </c>
      <c r="DN22" s="7">
        <v>113.0</v>
      </c>
      <c r="DO22" s="7" t="str">
        <f t="shared" si="15"/>
        <v>Легкая степень</v>
      </c>
      <c r="DP22" s="7">
        <v>38.0</v>
      </c>
      <c r="DQ22" s="7">
        <v>305.0</v>
      </c>
      <c r="DR22" s="7">
        <v>26.0</v>
      </c>
      <c r="DS22" s="13">
        <v>2.6</v>
      </c>
      <c r="DT22" s="7">
        <v>42.0</v>
      </c>
      <c r="DU22" s="7">
        <v>12.1</v>
      </c>
      <c r="DV22" s="7">
        <v>1.02</v>
      </c>
      <c r="DW22" s="7">
        <v>2.3</v>
      </c>
      <c r="DX22" s="9"/>
      <c r="DY22" s="7">
        <v>35.1</v>
      </c>
      <c r="DZ22" s="7">
        <v>11.5</v>
      </c>
      <c r="EA22" s="7">
        <v>0.97</v>
      </c>
      <c r="EB22" s="7"/>
      <c r="EC22" s="7">
        <v>5.0</v>
      </c>
      <c r="ED22" s="7">
        <v>3.3</v>
      </c>
      <c r="EE22" s="7">
        <v>26.0</v>
      </c>
      <c r="EF22" s="7">
        <v>40.0</v>
      </c>
      <c r="EG22" s="7">
        <v>68.8</v>
      </c>
      <c r="EH22" s="7">
        <v>16.6</v>
      </c>
      <c r="EI22" s="7">
        <v>4.0</v>
      </c>
      <c r="EJ22" s="7">
        <v>90.0</v>
      </c>
      <c r="EK22" s="14">
        <f t="shared" si="16"/>
        <v>56.40731647</v>
      </c>
      <c r="EL22" s="11" t="str">
        <f t="shared" si="17"/>
        <v>C3a</v>
      </c>
      <c r="EM22" s="9"/>
      <c r="EN22" s="9"/>
      <c r="EO22" s="7">
        <v>117.0</v>
      </c>
      <c r="EP22" s="7">
        <v>64.0</v>
      </c>
      <c r="EQ22" s="7">
        <v>63.0</v>
      </c>
      <c r="ER22" s="7">
        <v>11.2</v>
      </c>
      <c r="ES22" s="7">
        <v>2.7</v>
      </c>
      <c r="ET22" s="7">
        <v>70.0</v>
      </c>
      <c r="EU22" s="11">
        <f t="shared" si="18"/>
        <v>76.43479455</v>
      </c>
      <c r="EV22" s="11" t="str">
        <f t="shared" si="19"/>
        <v>C2</v>
      </c>
      <c r="EW22" s="9"/>
      <c r="EX22" s="9"/>
      <c r="EY22" s="9" t="str">
        <f t="shared" si="20"/>
        <v>#DIV/0!</v>
      </c>
      <c r="EZ22" s="9" t="str">
        <f t="shared" si="21"/>
        <v>#DIV/0!</v>
      </c>
      <c r="FA22" s="9" t="str">
        <f t="shared" si="22"/>
        <v>#DIV/0!</v>
      </c>
      <c r="FB22" s="9"/>
      <c r="FC22" s="1" t="s">
        <v>148</v>
      </c>
    </row>
    <row r="23">
      <c r="A23" s="7">
        <v>22.0</v>
      </c>
      <c r="B23" s="8">
        <v>22.0</v>
      </c>
      <c r="C23" s="7">
        <v>27004.0</v>
      </c>
      <c r="D23" s="1" t="s">
        <v>148</v>
      </c>
      <c r="E23" s="7">
        <v>58.0</v>
      </c>
      <c r="F23" s="1" t="s">
        <v>161</v>
      </c>
      <c r="G23" s="7"/>
      <c r="H23" s="7">
        <v>15.0</v>
      </c>
      <c r="I23" s="1" t="s">
        <v>150</v>
      </c>
      <c r="J23" s="1" t="s">
        <v>150</v>
      </c>
      <c r="K23" s="9"/>
      <c r="L23" s="1" t="s">
        <v>150</v>
      </c>
      <c r="M23" s="1" t="s">
        <v>154</v>
      </c>
      <c r="N23" s="1" t="s">
        <v>204</v>
      </c>
      <c r="O23" s="1" t="str">
        <f t="shared" si="1"/>
        <v>нет</v>
      </c>
      <c r="P23" s="1" t="s">
        <v>154</v>
      </c>
      <c r="Q23" s="1" t="s">
        <v>154</v>
      </c>
      <c r="R23" s="7">
        <v>2.0</v>
      </c>
      <c r="S23" s="1" t="s">
        <v>150</v>
      </c>
      <c r="T23" s="9"/>
      <c r="U23" s="9"/>
      <c r="V23" s="9"/>
      <c r="W23" s="9"/>
      <c r="X23" s="9"/>
      <c r="Y23" s="1" t="s">
        <v>150</v>
      </c>
      <c r="Z23" s="9"/>
      <c r="AA23" s="9"/>
      <c r="AB23" s="9"/>
      <c r="AC23" s="9"/>
      <c r="AD23" s="1"/>
      <c r="AE23" s="1" t="s">
        <v>150</v>
      </c>
      <c r="AF23" s="7">
        <v>0.0</v>
      </c>
      <c r="AG23" s="1" t="s">
        <v>162</v>
      </c>
      <c r="AH23" s="1" t="s">
        <v>152</v>
      </c>
      <c r="AI23" s="1" t="s">
        <v>168</v>
      </c>
      <c r="AJ23" s="7">
        <v>3.0</v>
      </c>
      <c r="AK23" s="1" t="s">
        <v>154</v>
      </c>
      <c r="AL23" s="1"/>
      <c r="AM23" s="1"/>
      <c r="AN23" s="1">
        <v>15.0</v>
      </c>
      <c r="AO23" s="1" t="str">
        <f t="shared" si="2"/>
        <v>нет</v>
      </c>
      <c r="AP23" s="9"/>
      <c r="AQ23" s="9"/>
      <c r="AR23" s="9" t="str">
        <f t="shared" si="3"/>
        <v>#DIV/0!</v>
      </c>
      <c r="AS23" s="7" t="str">
        <f t="shared" si="4"/>
        <v>#DIV/0!</v>
      </c>
      <c r="AT23" s="7">
        <v>132.0</v>
      </c>
      <c r="AU23" s="7">
        <v>84.0</v>
      </c>
      <c r="AV23" s="8">
        <v>108.0</v>
      </c>
      <c r="AW23" s="7">
        <v>95.0</v>
      </c>
      <c r="AX23" s="7">
        <v>38.0</v>
      </c>
      <c r="AY23" s="7">
        <v>17.0</v>
      </c>
      <c r="AZ23" s="7">
        <v>86.0</v>
      </c>
      <c r="BA23" s="10" t="str">
        <f t="shared" si="5"/>
        <v>да</v>
      </c>
      <c r="BB23" s="9"/>
      <c r="BC23" s="11"/>
      <c r="BD23" s="12" t="str">
        <f t="shared" si="6"/>
        <v>#DIV/0!</v>
      </c>
      <c r="BE23" s="12">
        <f t="shared" si="7"/>
        <v>0</v>
      </c>
      <c r="BF23" s="12">
        <f t="shared" si="8"/>
        <v>4</v>
      </c>
      <c r="BG23" s="1" t="s">
        <v>150</v>
      </c>
      <c r="BH23" s="9"/>
      <c r="BI23" s="1" t="s">
        <v>154</v>
      </c>
      <c r="BJ23" s="1" t="s">
        <v>205</v>
      </c>
      <c r="BK23" s="1" t="s">
        <v>150</v>
      </c>
      <c r="BL23" s="9"/>
      <c r="BM23" s="1" t="s">
        <v>154</v>
      </c>
      <c r="BN23" s="1" t="s">
        <v>155</v>
      </c>
      <c r="BO23" s="1" t="s">
        <v>154</v>
      </c>
      <c r="BP23" s="9"/>
      <c r="BQ23" s="9"/>
      <c r="BR23" s="1" t="s">
        <v>154</v>
      </c>
      <c r="BS23" s="1" t="s">
        <v>170</v>
      </c>
      <c r="BT23" s="9"/>
      <c r="BU23" s="1" t="s">
        <v>157</v>
      </c>
      <c r="BV23" s="7">
        <v>16.0</v>
      </c>
      <c r="BW23" s="1" t="s">
        <v>154</v>
      </c>
      <c r="BX23" s="1" t="s">
        <v>150</v>
      </c>
      <c r="BY23" s="1" t="s">
        <v>150</v>
      </c>
      <c r="BZ23" s="1" t="s">
        <v>158</v>
      </c>
      <c r="CA23" s="1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7">
        <v>7.2</v>
      </c>
      <c r="CN23" s="7"/>
      <c r="CO23" s="7">
        <f t="shared" si="9"/>
        <v>0</v>
      </c>
      <c r="CP23" s="7"/>
      <c r="CQ23" s="7">
        <f t="shared" si="10"/>
        <v>0</v>
      </c>
      <c r="CR23" s="7"/>
      <c r="CS23" s="7">
        <f t="shared" si="11"/>
        <v>0</v>
      </c>
      <c r="CT23" s="7"/>
      <c r="CU23" s="7">
        <f t="shared" si="12"/>
        <v>0</v>
      </c>
      <c r="CV23" s="7" t="str">
        <f t="shared" si="13"/>
        <v>#DIV/0!</v>
      </c>
      <c r="CW23" s="7">
        <v>4.4</v>
      </c>
      <c r="CX23" s="7">
        <v>134.0</v>
      </c>
      <c r="CY23" s="7" t="str">
        <f t="shared" si="14"/>
        <v>Норма</v>
      </c>
      <c r="CZ23" s="7">
        <v>10.0</v>
      </c>
      <c r="DA23" s="7">
        <v>280.0</v>
      </c>
      <c r="DB23" s="7">
        <v>95.0</v>
      </c>
      <c r="DC23" s="7">
        <v>7.7</v>
      </c>
      <c r="DD23" s="7"/>
      <c r="DE23" s="7"/>
      <c r="DF23" s="7"/>
      <c r="DG23" s="7"/>
      <c r="DH23" s="7"/>
      <c r="DI23" s="7"/>
      <c r="DJ23" s="7"/>
      <c r="DK23" s="7"/>
      <c r="DL23" s="7"/>
      <c r="DM23" s="7">
        <v>4.1</v>
      </c>
      <c r="DN23" s="7">
        <v>123.0</v>
      </c>
      <c r="DO23" s="7" t="str">
        <f t="shared" si="15"/>
        <v>Легкая степень</v>
      </c>
      <c r="DP23" s="7">
        <v>20.0</v>
      </c>
      <c r="DQ23" s="7">
        <v>243.0</v>
      </c>
      <c r="DR23" s="7">
        <v>3.6</v>
      </c>
      <c r="DS23" s="13">
        <v>5.0</v>
      </c>
      <c r="DT23" s="7">
        <v>26.0</v>
      </c>
      <c r="DU23" s="7">
        <v>11.1</v>
      </c>
      <c r="DV23" s="7">
        <v>1.0</v>
      </c>
      <c r="DW23" s="9"/>
      <c r="DX23" s="9"/>
      <c r="DY23" s="7">
        <v>26.4</v>
      </c>
      <c r="DZ23" s="7">
        <v>14.7</v>
      </c>
      <c r="EA23" s="7">
        <v>1.25</v>
      </c>
      <c r="EB23" s="7"/>
      <c r="EC23" s="7">
        <v>10.3</v>
      </c>
      <c r="ED23" s="7">
        <v>3.9</v>
      </c>
      <c r="EE23" s="7">
        <v>33.0</v>
      </c>
      <c r="EF23" s="7">
        <v>41.0</v>
      </c>
      <c r="EG23" s="7">
        <v>75.0</v>
      </c>
      <c r="EH23" s="7">
        <v>10.0</v>
      </c>
      <c r="EI23" s="7">
        <v>2.0</v>
      </c>
      <c r="EJ23" s="7">
        <v>60.0</v>
      </c>
      <c r="EK23" s="14">
        <f t="shared" si="16"/>
        <v>96.79955638</v>
      </c>
      <c r="EL23" s="11" t="str">
        <f t="shared" si="17"/>
        <v>C1</v>
      </c>
      <c r="EM23" s="9"/>
      <c r="EN23" s="9"/>
      <c r="EO23" s="7">
        <v>103.0</v>
      </c>
      <c r="EP23" s="7">
        <v>41.0</v>
      </c>
      <c r="EQ23" s="7">
        <v>75.0</v>
      </c>
      <c r="ER23" s="7">
        <v>15.4</v>
      </c>
      <c r="ES23" s="7">
        <v>2.7</v>
      </c>
      <c r="ET23" s="7">
        <v>90.0</v>
      </c>
      <c r="EU23" s="11">
        <f t="shared" si="18"/>
        <v>60.93877302</v>
      </c>
      <c r="EV23" s="11" t="str">
        <f t="shared" si="19"/>
        <v>C2</v>
      </c>
      <c r="EW23" s="9"/>
      <c r="EX23" s="9"/>
      <c r="EY23" s="9" t="str">
        <f t="shared" si="20"/>
        <v>#DIV/0!</v>
      </c>
      <c r="EZ23" s="9" t="str">
        <f t="shared" si="21"/>
        <v>#DIV/0!</v>
      </c>
      <c r="FA23" s="9" t="str">
        <f t="shared" si="22"/>
        <v>#DIV/0!</v>
      </c>
      <c r="FB23" s="9"/>
      <c r="FC23" s="1" t="s">
        <v>148</v>
      </c>
    </row>
    <row r="24">
      <c r="A24" s="7">
        <v>23.0</v>
      </c>
      <c r="B24" s="8">
        <v>23.0</v>
      </c>
      <c r="C24" s="7">
        <v>28493.0</v>
      </c>
      <c r="D24" s="1" t="s">
        <v>148</v>
      </c>
      <c r="E24" s="7">
        <v>52.0</v>
      </c>
      <c r="F24" s="1" t="s">
        <v>161</v>
      </c>
      <c r="G24" s="7"/>
      <c r="H24" s="7">
        <v>13.0</v>
      </c>
      <c r="I24" s="1" t="s">
        <v>150</v>
      </c>
      <c r="J24" s="1" t="s">
        <v>150</v>
      </c>
      <c r="K24" s="9"/>
      <c r="L24" s="1" t="s">
        <v>150</v>
      </c>
      <c r="M24" s="1" t="s">
        <v>150</v>
      </c>
      <c r="N24" s="9"/>
      <c r="O24" s="1" t="str">
        <f t="shared" si="1"/>
        <v>нет</v>
      </c>
      <c r="P24" s="1" t="s">
        <v>150</v>
      </c>
      <c r="Q24" s="1" t="s">
        <v>154</v>
      </c>
      <c r="R24" s="7">
        <v>3.0</v>
      </c>
      <c r="S24" s="1" t="s">
        <v>150</v>
      </c>
      <c r="T24" s="9"/>
      <c r="U24" s="9"/>
      <c r="V24" s="9"/>
      <c r="W24" s="9"/>
      <c r="X24" s="9"/>
      <c r="Y24" s="1" t="s">
        <v>150</v>
      </c>
      <c r="Z24" s="9"/>
      <c r="AA24" s="9"/>
      <c r="AB24" s="9"/>
      <c r="AC24" s="9"/>
      <c r="AD24" s="1"/>
      <c r="AE24" s="1" t="s">
        <v>150</v>
      </c>
      <c r="AF24" s="7">
        <v>0.0</v>
      </c>
      <c r="AG24" s="1" t="s">
        <v>162</v>
      </c>
      <c r="AH24" s="1" t="s">
        <v>152</v>
      </c>
      <c r="AI24" s="1" t="s">
        <v>168</v>
      </c>
      <c r="AJ24" s="7">
        <v>3.0</v>
      </c>
      <c r="AK24" s="1" t="s">
        <v>154</v>
      </c>
      <c r="AL24" s="1"/>
      <c r="AM24" s="1"/>
      <c r="AN24" s="1">
        <v>15.0</v>
      </c>
      <c r="AO24" s="1" t="str">
        <f t="shared" si="2"/>
        <v>нет</v>
      </c>
      <c r="AP24" s="9"/>
      <c r="AQ24" s="9"/>
      <c r="AR24" s="9" t="str">
        <f t="shared" si="3"/>
        <v>#DIV/0!</v>
      </c>
      <c r="AS24" s="7" t="str">
        <f t="shared" si="4"/>
        <v>#DIV/0!</v>
      </c>
      <c r="AT24" s="7">
        <v>140.0</v>
      </c>
      <c r="AU24" s="7">
        <v>80.0</v>
      </c>
      <c r="AV24" s="8">
        <v>110.0</v>
      </c>
      <c r="AW24" s="7">
        <v>80.0</v>
      </c>
      <c r="AX24" s="7">
        <v>36.9</v>
      </c>
      <c r="AY24" s="7">
        <v>24.0</v>
      </c>
      <c r="AZ24" s="7">
        <v>89.0</v>
      </c>
      <c r="BA24" s="10" t="str">
        <f t="shared" si="5"/>
        <v>да</v>
      </c>
      <c r="BB24" s="9"/>
      <c r="BC24" s="11"/>
      <c r="BD24" s="12" t="str">
        <f t="shared" si="6"/>
        <v>#DIV/0!</v>
      </c>
      <c r="BE24" s="12">
        <f t="shared" si="7"/>
        <v>1</v>
      </c>
      <c r="BF24" s="12">
        <f t="shared" si="8"/>
        <v>5</v>
      </c>
      <c r="BG24" s="1" t="s">
        <v>150</v>
      </c>
      <c r="BH24" s="9"/>
      <c r="BI24" s="1" t="s">
        <v>150</v>
      </c>
      <c r="BJ24" s="9"/>
      <c r="BK24" s="1" t="s">
        <v>150</v>
      </c>
      <c r="BL24" s="9"/>
      <c r="BM24" s="1" t="s">
        <v>154</v>
      </c>
      <c r="BN24" s="1" t="s">
        <v>155</v>
      </c>
      <c r="BO24" s="1" t="s">
        <v>150</v>
      </c>
      <c r="BP24" s="9"/>
      <c r="BQ24" s="9"/>
      <c r="BR24" s="1" t="s">
        <v>154</v>
      </c>
      <c r="BS24" s="1" t="s">
        <v>174</v>
      </c>
      <c r="BT24" s="9"/>
      <c r="BU24" s="1" t="s">
        <v>157</v>
      </c>
      <c r="BV24" s="7">
        <v>16.0</v>
      </c>
      <c r="BW24" s="1" t="s">
        <v>150</v>
      </c>
      <c r="BX24" s="1" t="s">
        <v>150</v>
      </c>
      <c r="BY24" s="1" t="s">
        <v>150</v>
      </c>
      <c r="BZ24" s="1" t="s">
        <v>158</v>
      </c>
      <c r="CA24" s="1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1" t="s">
        <v>206</v>
      </c>
      <c r="CM24" s="7">
        <v>514.0</v>
      </c>
      <c r="CN24" s="7"/>
      <c r="CO24" s="7">
        <f t="shared" si="9"/>
        <v>0</v>
      </c>
      <c r="CP24" s="7"/>
      <c r="CQ24" s="7">
        <f t="shared" si="10"/>
        <v>0</v>
      </c>
      <c r="CR24" s="7"/>
      <c r="CS24" s="7">
        <f t="shared" si="11"/>
        <v>0</v>
      </c>
      <c r="CT24" s="7"/>
      <c r="CU24" s="7">
        <f t="shared" si="12"/>
        <v>0</v>
      </c>
      <c r="CV24" s="7" t="str">
        <f t="shared" si="13"/>
        <v>#DIV/0!</v>
      </c>
      <c r="CW24" s="7">
        <v>3.1</v>
      </c>
      <c r="CX24" s="7">
        <v>100.0</v>
      </c>
      <c r="CY24" s="7" t="str">
        <f t="shared" si="14"/>
        <v>Средняя степень</v>
      </c>
      <c r="CZ24" s="7">
        <v>62.0</v>
      </c>
      <c r="DA24" s="7">
        <v>514.0</v>
      </c>
      <c r="DB24" s="7">
        <v>141.4</v>
      </c>
      <c r="DC24" s="7">
        <v>16.4</v>
      </c>
      <c r="DD24" s="7"/>
      <c r="DE24" s="7"/>
      <c r="DF24" s="7"/>
      <c r="DG24" s="7"/>
      <c r="DH24" s="7"/>
      <c r="DI24" s="7"/>
      <c r="DJ24" s="7"/>
      <c r="DK24" s="7"/>
      <c r="DL24" s="7"/>
      <c r="DM24" s="7">
        <v>3.8</v>
      </c>
      <c r="DN24" s="7">
        <v>121.0</v>
      </c>
      <c r="DO24" s="7" t="str">
        <f t="shared" si="15"/>
        <v>Легкая степень</v>
      </c>
      <c r="DP24" s="7">
        <v>6.0</v>
      </c>
      <c r="DQ24" s="7">
        <v>318.0</v>
      </c>
      <c r="DR24" s="7">
        <v>2.8</v>
      </c>
      <c r="DS24" s="13">
        <v>2.3</v>
      </c>
      <c r="DT24" s="7">
        <v>32.2</v>
      </c>
      <c r="DU24" s="7">
        <v>12.6</v>
      </c>
      <c r="DV24" s="7">
        <v>1.0</v>
      </c>
      <c r="DW24" s="9"/>
      <c r="DX24" s="9"/>
      <c r="DY24" s="9"/>
      <c r="DZ24" s="9"/>
      <c r="EA24" s="9"/>
      <c r="EB24" s="9"/>
      <c r="EC24" s="9"/>
      <c r="ED24" s="7">
        <v>10.5</v>
      </c>
      <c r="EE24" s="7">
        <v>51.0</v>
      </c>
      <c r="EF24" s="7">
        <v>60.0</v>
      </c>
      <c r="EG24" s="7">
        <v>74.0</v>
      </c>
      <c r="EH24" s="7">
        <v>10.5</v>
      </c>
      <c r="EI24" s="7">
        <v>2.0</v>
      </c>
      <c r="EJ24" s="7">
        <v>60.0</v>
      </c>
      <c r="EK24" s="14">
        <f t="shared" si="16"/>
        <v>100.9666335</v>
      </c>
      <c r="EL24" s="11" t="str">
        <f t="shared" si="17"/>
        <v>C1</v>
      </c>
      <c r="EM24" s="9"/>
      <c r="EN24" s="9"/>
      <c r="EO24" s="7">
        <v>32.0</v>
      </c>
      <c r="EP24" s="7">
        <v>14.0</v>
      </c>
      <c r="EQ24" s="7">
        <v>60.0</v>
      </c>
      <c r="ER24" s="7">
        <v>11.4</v>
      </c>
      <c r="ES24" s="7">
        <v>2.7</v>
      </c>
      <c r="ET24" s="7">
        <v>80.0</v>
      </c>
      <c r="EU24" s="11">
        <f t="shared" si="18"/>
        <v>73.2894756</v>
      </c>
      <c r="EV24" s="11" t="str">
        <f t="shared" si="19"/>
        <v>C2</v>
      </c>
      <c r="EW24" s="9"/>
      <c r="EX24" s="9"/>
      <c r="EY24" s="9" t="str">
        <f t="shared" si="20"/>
        <v>#DIV/0!</v>
      </c>
      <c r="EZ24" s="9" t="str">
        <f t="shared" si="21"/>
        <v>#DIV/0!</v>
      </c>
      <c r="FA24" s="9" t="str">
        <f t="shared" si="22"/>
        <v>#DIV/0!</v>
      </c>
      <c r="FB24" s="9"/>
      <c r="FC24" s="1" t="s">
        <v>148</v>
      </c>
    </row>
    <row r="25">
      <c r="A25" s="7">
        <v>24.0</v>
      </c>
      <c r="B25" s="8">
        <v>24.0</v>
      </c>
      <c r="C25" s="7">
        <v>29123.0</v>
      </c>
      <c r="D25" s="1" t="s">
        <v>148</v>
      </c>
      <c r="E25" s="7">
        <v>58.0</v>
      </c>
      <c r="F25" s="1" t="s">
        <v>161</v>
      </c>
      <c r="G25" s="7"/>
      <c r="H25" s="7">
        <v>18.0</v>
      </c>
      <c r="I25" s="1" t="s">
        <v>150</v>
      </c>
      <c r="J25" s="1" t="s">
        <v>150</v>
      </c>
      <c r="K25" s="9"/>
      <c r="L25" s="1" t="s">
        <v>150</v>
      </c>
      <c r="M25" s="1" t="s">
        <v>150</v>
      </c>
      <c r="N25" s="9"/>
      <c r="O25" s="1" t="str">
        <f t="shared" si="1"/>
        <v>нет</v>
      </c>
      <c r="P25" s="1" t="s">
        <v>150</v>
      </c>
      <c r="Q25" s="1" t="s">
        <v>154</v>
      </c>
      <c r="R25" s="7">
        <v>2.0</v>
      </c>
      <c r="S25" s="1" t="s">
        <v>150</v>
      </c>
      <c r="T25" s="9"/>
      <c r="U25" s="9"/>
      <c r="V25" s="9"/>
      <c r="W25" s="9"/>
      <c r="X25" s="9"/>
      <c r="Y25" s="1" t="s">
        <v>150</v>
      </c>
      <c r="Z25" s="9"/>
      <c r="AA25" s="9"/>
      <c r="AB25" s="9"/>
      <c r="AC25" s="9"/>
      <c r="AD25" s="1"/>
      <c r="AE25" s="1" t="s">
        <v>150</v>
      </c>
      <c r="AF25" s="7">
        <v>0.0</v>
      </c>
      <c r="AG25" s="1" t="s">
        <v>162</v>
      </c>
      <c r="AH25" s="1" t="s">
        <v>152</v>
      </c>
      <c r="AI25" s="1" t="s">
        <v>168</v>
      </c>
      <c r="AJ25" s="7">
        <v>3.0</v>
      </c>
      <c r="AK25" s="1" t="s">
        <v>154</v>
      </c>
      <c r="AL25" s="1"/>
      <c r="AM25" s="1"/>
      <c r="AN25" s="1">
        <v>15.0</v>
      </c>
      <c r="AO25" s="1" t="str">
        <f t="shared" si="2"/>
        <v>нет</v>
      </c>
      <c r="AP25" s="9"/>
      <c r="AQ25" s="9"/>
      <c r="AR25" s="9" t="str">
        <f t="shared" si="3"/>
        <v>#DIV/0!</v>
      </c>
      <c r="AS25" s="7" t="str">
        <f t="shared" si="4"/>
        <v>#DIV/0!</v>
      </c>
      <c r="AT25" s="7">
        <v>145.0</v>
      </c>
      <c r="AU25" s="7">
        <v>88.0</v>
      </c>
      <c r="AV25" s="8">
        <v>116.5</v>
      </c>
      <c r="AW25" s="7">
        <v>111.0</v>
      </c>
      <c r="AX25" s="9"/>
      <c r="AY25" s="7">
        <v>29.0</v>
      </c>
      <c r="AZ25" s="7">
        <v>91.0</v>
      </c>
      <c r="BA25" s="10" t="str">
        <f t="shared" si="5"/>
        <v>да</v>
      </c>
      <c r="BB25" s="7">
        <v>95.0</v>
      </c>
      <c r="BC25" s="11"/>
      <c r="BD25" s="12" t="str">
        <f t="shared" si="6"/>
        <v>#DIV/0!</v>
      </c>
      <c r="BE25" s="12">
        <f t="shared" si="7"/>
        <v>1</v>
      </c>
      <c r="BF25" s="12">
        <f t="shared" si="8"/>
        <v>11</v>
      </c>
      <c r="BG25" s="1" t="s">
        <v>154</v>
      </c>
      <c r="BH25" s="1" t="s">
        <v>198</v>
      </c>
      <c r="BI25" s="1" t="s">
        <v>150</v>
      </c>
      <c r="BJ25" s="9"/>
      <c r="BK25" s="1" t="s">
        <v>150</v>
      </c>
      <c r="BL25" s="9"/>
      <c r="BM25" s="1" t="s">
        <v>154</v>
      </c>
      <c r="BN25" s="1" t="s">
        <v>155</v>
      </c>
      <c r="BO25" s="1" t="s">
        <v>154</v>
      </c>
      <c r="BP25" s="1" t="s">
        <v>207</v>
      </c>
      <c r="BQ25" s="9"/>
      <c r="BR25" s="1" t="s">
        <v>154</v>
      </c>
      <c r="BS25" s="1" t="s">
        <v>174</v>
      </c>
      <c r="BT25" s="7">
        <v>40.0</v>
      </c>
      <c r="BU25" s="1" t="s">
        <v>157</v>
      </c>
      <c r="BV25" s="7">
        <v>16.0</v>
      </c>
      <c r="BW25" s="1" t="s">
        <v>150</v>
      </c>
      <c r="BX25" s="1" t="s">
        <v>150</v>
      </c>
      <c r="BY25" s="1" t="s">
        <v>150</v>
      </c>
      <c r="BZ25" s="1" t="s">
        <v>158</v>
      </c>
      <c r="CA25" s="1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1" t="s">
        <v>206</v>
      </c>
      <c r="CM25" s="7">
        <v>7.4</v>
      </c>
      <c r="CN25" s="7"/>
      <c r="CO25" s="7">
        <f t="shared" si="9"/>
        <v>0</v>
      </c>
      <c r="CP25" s="7"/>
      <c r="CQ25" s="7">
        <f t="shared" si="10"/>
        <v>0</v>
      </c>
      <c r="CR25" s="7"/>
      <c r="CS25" s="7">
        <f t="shared" si="11"/>
        <v>0</v>
      </c>
      <c r="CT25" s="7"/>
      <c r="CU25" s="7">
        <f t="shared" si="12"/>
        <v>0</v>
      </c>
      <c r="CV25" s="7" t="str">
        <f t="shared" si="13"/>
        <v>#DIV/0!</v>
      </c>
      <c r="CW25" s="7">
        <v>5.4</v>
      </c>
      <c r="CX25" s="7">
        <v>170.0</v>
      </c>
      <c r="CY25" s="7" t="str">
        <f t="shared" si="14"/>
        <v>Норма</v>
      </c>
      <c r="CZ25" s="7">
        <v>10.0</v>
      </c>
      <c r="DA25" s="7">
        <v>148.0</v>
      </c>
      <c r="DB25" s="7">
        <v>68.4</v>
      </c>
      <c r="DC25" s="7">
        <v>9.5</v>
      </c>
      <c r="DD25" s="7"/>
      <c r="DE25" s="7"/>
      <c r="DF25" s="7"/>
      <c r="DG25" s="7"/>
      <c r="DH25" s="7"/>
      <c r="DI25" s="7"/>
      <c r="DJ25" s="7"/>
      <c r="DK25" s="7"/>
      <c r="DL25" s="7"/>
      <c r="DM25" s="7">
        <v>4.3</v>
      </c>
      <c r="DN25" s="7">
        <v>133.0</v>
      </c>
      <c r="DO25" s="7" t="str">
        <f t="shared" si="15"/>
        <v>Норма</v>
      </c>
      <c r="DP25" s="7">
        <v>2.0</v>
      </c>
      <c r="DQ25" s="7">
        <v>275.0</v>
      </c>
      <c r="DR25" s="7">
        <v>4.7</v>
      </c>
      <c r="DS25" s="13">
        <v>8.0</v>
      </c>
      <c r="DT25" s="7">
        <v>33.7</v>
      </c>
      <c r="DU25" s="7">
        <v>11.1</v>
      </c>
      <c r="DV25" s="7">
        <v>0.99</v>
      </c>
      <c r="DW25" s="9"/>
      <c r="DX25" s="9"/>
      <c r="DY25" s="7">
        <v>29.0</v>
      </c>
      <c r="DZ25" s="7">
        <v>11.4</v>
      </c>
      <c r="EA25" s="7">
        <v>0.96</v>
      </c>
      <c r="EB25" s="7"/>
      <c r="EC25" s="7">
        <v>8.1</v>
      </c>
      <c r="ED25" s="7">
        <v>2.8</v>
      </c>
      <c r="EE25" s="7">
        <v>299.0</v>
      </c>
      <c r="EF25" s="7">
        <v>340.0</v>
      </c>
      <c r="EG25" s="7">
        <v>71.4</v>
      </c>
      <c r="EH25" s="7">
        <v>22.2</v>
      </c>
      <c r="EI25" s="7">
        <v>8.9</v>
      </c>
      <c r="EJ25" s="7">
        <v>50.0</v>
      </c>
      <c r="EK25" s="14">
        <f t="shared" si="16"/>
        <v>102.7836407</v>
      </c>
      <c r="EL25" s="11" t="str">
        <f t="shared" si="17"/>
        <v>C1</v>
      </c>
      <c r="EM25" s="9"/>
      <c r="EN25" s="9"/>
      <c r="EO25" s="7">
        <v>70.0</v>
      </c>
      <c r="EP25" s="7">
        <v>19.0</v>
      </c>
      <c r="EQ25" s="7">
        <v>67.0</v>
      </c>
      <c r="ER25" s="7">
        <v>18.6</v>
      </c>
      <c r="ES25" s="7">
        <v>9.5</v>
      </c>
      <c r="ET25" s="7">
        <v>90.0</v>
      </c>
      <c r="EU25" s="11">
        <f t="shared" si="18"/>
        <v>60.93877302</v>
      </c>
      <c r="EV25" s="11" t="str">
        <f t="shared" si="19"/>
        <v>C2</v>
      </c>
      <c r="EW25" s="9"/>
      <c r="EX25" s="9"/>
      <c r="EY25" s="9" t="str">
        <f t="shared" si="20"/>
        <v>#DIV/0!</v>
      </c>
      <c r="EZ25" s="9" t="str">
        <f t="shared" si="21"/>
        <v>#DIV/0!</v>
      </c>
      <c r="FA25" s="9" t="str">
        <f t="shared" si="22"/>
        <v>#DIV/0!</v>
      </c>
      <c r="FB25" s="9"/>
      <c r="FC25" s="1" t="s">
        <v>148</v>
      </c>
    </row>
    <row r="26">
      <c r="A26" s="7">
        <v>25.0</v>
      </c>
      <c r="B26" s="8">
        <v>25.0</v>
      </c>
      <c r="C26" s="7">
        <v>33233.0</v>
      </c>
      <c r="D26" s="1" t="s">
        <v>148</v>
      </c>
      <c r="E26" s="7">
        <v>57.0</v>
      </c>
      <c r="F26" s="1" t="s">
        <v>161</v>
      </c>
      <c r="G26" s="7"/>
      <c r="H26" s="7">
        <v>24.0</v>
      </c>
      <c r="I26" s="1" t="s">
        <v>150</v>
      </c>
      <c r="J26" s="1" t="s">
        <v>150</v>
      </c>
      <c r="K26" s="9"/>
      <c r="L26" s="1" t="s">
        <v>150</v>
      </c>
      <c r="M26" s="1" t="s">
        <v>150</v>
      </c>
      <c r="N26" s="9"/>
      <c r="O26" s="1" t="str">
        <f t="shared" si="1"/>
        <v>нет</v>
      </c>
      <c r="P26" s="1" t="s">
        <v>150</v>
      </c>
      <c r="Q26" s="1" t="s">
        <v>154</v>
      </c>
      <c r="R26" s="7">
        <v>2.0</v>
      </c>
      <c r="S26" s="1" t="s">
        <v>150</v>
      </c>
      <c r="T26" s="9"/>
      <c r="U26" s="9"/>
      <c r="V26" s="9"/>
      <c r="W26" s="9"/>
      <c r="X26" s="9"/>
      <c r="Y26" s="1" t="s">
        <v>150</v>
      </c>
      <c r="Z26" s="9"/>
      <c r="AA26" s="9"/>
      <c r="AB26" s="9"/>
      <c r="AC26" s="9"/>
      <c r="AD26" s="1"/>
      <c r="AE26" s="1" t="s">
        <v>150</v>
      </c>
      <c r="AF26" s="7">
        <v>0.0</v>
      </c>
      <c r="AG26" s="1" t="s">
        <v>162</v>
      </c>
      <c r="AH26" s="1" t="s">
        <v>152</v>
      </c>
      <c r="AI26" s="1" t="s">
        <v>168</v>
      </c>
      <c r="AJ26" s="7">
        <v>3.0</v>
      </c>
      <c r="AK26" s="1" t="s">
        <v>154</v>
      </c>
      <c r="AL26" s="1"/>
      <c r="AM26" s="1"/>
      <c r="AN26" s="1">
        <v>15.0</v>
      </c>
      <c r="AO26" s="1" t="str">
        <f t="shared" si="2"/>
        <v>нет</v>
      </c>
      <c r="AP26" s="9"/>
      <c r="AQ26" s="9"/>
      <c r="AR26" s="9" t="str">
        <f t="shared" si="3"/>
        <v>#DIV/0!</v>
      </c>
      <c r="AS26" s="7" t="str">
        <f t="shared" si="4"/>
        <v>#DIV/0!</v>
      </c>
      <c r="AT26" s="7">
        <v>140.0</v>
      </c>
      <c r="AU26" s="7">
        <v>100.0</v>
      </c>
      <c r="AV26" s="8">
        <v>120.0</v>
      </c>
      <c r="AW26" s="7">
        <v>88.0</v>
      </c>
      <c r="AX26" s="7">
        <v>37.8</v>
      </c>
      <c r="AY26" s="7">
        <v>22.0</v>
      </c>
      <c r="AZ26" s="7">
        <v>94.0</v>
      </c>
      <c r="BA26" s="10" t="str">
        <f t="shared" si="5"/>
        <v>да</v>
      </c>
      <c r="BB26" s="7">
        <v>98.0</v>
      </c>
      <c r="BC26" s="11"/>
      <c r="BD26" s="12" t="str">
        <f t="shared" si="6"/>
        <v>#DIV/0!</v>
      </c>
      <c r="BE26" s="12">
        <f t="shared" si="7"/>
        <v>1</v>
      </c>
      <c r="BF26" s="12">
        <f t="shared" si="8"/>
        <v>3</v>
      </c>
      <c r="BG26" s="1" t="s">
        <v>150</v>
      </c>
      <c r="BH26" s="9"/>
      <c r="BI26" s="1" t="s">
        <v>150</v>
      </c>
      <c r="BJ26" s="9"/>
      <c r="BK26" s="1" t="s">
        <v>150</v>
      </c>
      <c r="BL26" s="9"/>
      <c r="BM26" s="1" t="s">
        <v>154</v>
      </c>
      <c r="BN26" s="1" t="s">
        <v>155</v>
      </c>
      <c r="BO26" s="1" t="s">
        <v>154</v>
      </c>
      <c r="BP26" s="1" t="s">
        <v>157</v>
      </c>
      <c r="BQ26" s="7">
        <v>24.0</v>
      </c>
      <c r="BR26" s="1" t="s">
        <v>154</v>
      </c>
      <c r="BS26" s="1" t="s">
        <v>208</v>
      </c>
      <c r="BT26" s="7">
        <v>32.0</v>
      </c>
      <c r="BU26" s="1" t="s">
        <v>157</v>
      </c>
      <c r="BV26" s="7">
        <v>12.0</v>
      </c>
      <c r="BW26" s="1" t="s">
        <v>150</v>
      </c>
      <c r="BX26" s="1" t="s">
        <v>150</v>
      </c>
      <c r="BY26" s="1" t="s">
        <v>150</v>
      </c>
      <c r="BZ26" s="1" t="s">
        <v>158</v>
      </c>
      <c r="CA26" s="1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1" t="s">
        <v>209</v>
      </c>
      <c r="CM26" s="7">
        <v>10.4</v>
      </c>
      <c r="CN26" s="7"/>
      <c r="CO26" s="7">
        <f t="shared" si="9"/>
        <v>0</v>
      </c>
      <c r="CP26" s="7"/>
      <c r="CQ26" s="7">
        <f t="shared" si="10"/>
        <v>0</v>
      </c>
      <c r="CR26" s="7"/>
      <c r="CS26" s="7">
        <f t="shared" si="11"/>
        <v>0</v>
      </c>
      <c r="CT26" s="7"/>
      <c r="CU26" s="7">
        <f t="shared" si="12"/>
        <v>0</v>
      </c>
      <c r="CV26" s="7" t="str">
        <f t="shared" si="13"/>
        <v>#DIV/0!</v>
      </c>
      <c r="CW26" s="7">
        <v>4.5</v>
      </c>
      <c r="CX26" s="7">
        <v>139.0</v>
      </c>
      <c r="CY26" s="7" t="str">
        <f t="shared" si="14"/>
        <v>Норма</v>
      </c>
      <c r="CZ26" s="7">
        <v>30.0</v>
      </c>
      <c r="DA26" s="7">
        <v>310.0</v>
      </c>
      <c r="DB26" s="7">
        <v>79.0</v>
      </c>
      <c r="DC26" s="7">
        <v>16.8</v>
      </c>
      <c r="DD26" s="7"/>
      <c r="DE26" s="7"/>
      <c r="DF26" s="7"/>
      <c r="DG26" s="7"/>
      <c r="DH26" s="7"/>
      <c r="DI26" s="7"/>
      <c r="DJ26" s="7"/>
      <c r="DK26" s="7"/>
      <c r="DL26" s="7"/>
      <c r="DM26" s="7">
        <v>4.7</v>
      </c>
      <c r="DN26" s="7">
        <v>135.0</v>
      </c>
      <c r="DO26" s="7" t="str">
        <f t="shared" si="15"/>
        <v>Норма</v>
      </c>
      <c r="DP26" s="7">
        <v>15.0</v>
      </c>
      <c r="DQ26" s="7">
        <v>163.0</v>
      </c>
      <c r="DR26" s="7">
        <v>0.8</v>
      </c>
      <c r="DS26" s="13">
        <v>4.2</v>
      </c>
      <c r="DT26" s="7">
        <v>36.5</v>
      </c>
      <c r="DU26" s="7">
        <v>15.2</v>
      </c>
      <c r="DV26" s="7">
        <v>1.28</v>
      </c>
      <c r="DW26" s="9"/>
      <c r="DX26" s="9"/>
      <c r="DY26" s="7">
        <v>24.3</v>
      </c>
      <c r="DZ26" s="7">
        <v>11.4</v>
      </c>
      <c r="EA26" s="7">
        <v>1.03</v>
      </c>
      <c r="EB26" s="7"/>
      <c r="EC26" s="7">
        <v>5.6</v>
      </c>
      <c r="ED26" s="7">
        <v>5.7</v>
      </c>
      <c r="EE26" s="7">
        <v>121.0</v>
      </c>
      <c r="EF26" s="7">
        <v>35.0</v>
      </c>
      <c r="EG26" s="7">
        <v>75.0</v>
      </c>
      <c r="EH26" s="7">
        <v>17.0</v>
      </c>
      <c r="EI26" s="7">
        <v>3.6</v>
      </c>
      <c r="EJ26" s="7">
        <v>90.0</v>
      </c>
      <c r="EK26" s="14">
        <f t="shared" si="16"/>
        <v>61.36835148</v>
      </c>
      <c r="EL26" s="11" t="str">
        <f t="shared" si="17"/>
        <v>C2</v>
      </c>
      <c r="EM26" s="9"/>
      <c r="EN26" s="9"/>
      <c r="EO26" s="7">
        <v>66.0</v>
      </c>
      <c r="EP26" s="7">
        <v>104.0</v>
      </c>
      <c r="EQ26" s="7">
        <v>71.0</v>
      </c>
      <c r="ER26" s="7">
        <v>12.3</v>
      </c>
      <c r="ES26" s="7">
        <v>3.6</v>
      </c>
      <c r="ET26" s="7">
        <v>100.0</v>
      </c>
      <c r="EU26" s="11">
        <f t="shared" si="18"/>
        <v>54.02859214</v>
      </c>
      <c r="EV26" s="11" t="str">
        <f t="shared" si="19"/>
        <v>C3a</v>
      </c>
      <c r="EW26" s="9"/>
      <c r="EX26" s="9"/>
      <c r="EY26" s="9" t="str">
        <f t="shared" si="20"/>
        <v>#DIV/0!</v>
      </c>
      <c r="EZ26" s="9" t="str">
        <f t="shared" si="21"/>
        <v>#DIV/0!</v>
      </c>
      <c r="FA26" s="9" t="str">
        <f t="shared" si="22"/>
        <v>#DIV/0!</v>
      </c>
      <c r="FB26" s="9"/>
      <c r="FC26" s="1" t="s">
        <v>148</v>
      </c>
    </row>
    <row r="27">
      <c r="A27" s="7">
        <v>26.0</v>
      </c>
      <c r="B27" s="8">
        <v>26.0</v>
      </c>
      <c r="C27" s="7">
        <v>1796.0</v>
      </c>
      <c r="D27" s="1" t="s">
        <v>148</v>
      </c>
      <c r="E27" s="7">
        <v>65.0</v>
      </c>
      <c r="F27" s="1" t="s">
        <v>149</v>
      </c>
      <c r="G27" s="7"/>
      <c r="H27" s="7">
        <v>17.0</v>
      </c>
      <c r="I27" s="1" t="s">
        <v>150</v>
      </c>
      <c r="J27" s="1" t="s">
        <v>150</v>
      </c>
      <c r="K27" s="9"/>
      <c r="L27" s="1" t="s">
        <v>154</v>
      </c>
      <c r="M27" s="1" t="s">
        <v>154</v>
      </c>
      <c r="N27" s="1" t="s">
        <v>187</v>
      </c>
      <c r="O27" s="1" t="str">
        <f t="shared" si="1"/>
        <v>нет</v>
      </c>
      <c r="P27" s="1" t="s">
        <v>154</v>
      </c>
      <c r="Q27" s="1" t="s">
        <v>154</v>
      </c>
      <c r="R27" s="7">
        <v>3.0</v>
      </c>
      <c r="S27" s="1" t="s">
        <v>150</v>
      </c>
      <c r="T27" s="9"/>
      <c r="U27" s="9"/>
      <c r="V27" s="9"/>
      <c r="W27" s="9"/>
      <c r="X27" s="9"/>
      <c r="Y27" s="1" t="s">
        <v>150</v>
      </c>
      <c r="Z27" s="9"/>
      <c r="AA27" s="9"/>
      <c r="AB27" s="9"/>
      <c r="AC27" s="9"/>
      <c r="AD27" s="1"/>
      <c r="AE27" s="1" t="s">
        <v>150</v>
      </c>
      <c r="AF27" s="7">
        <v>0.0</v>
      </c>
      <c r="AG27" s="1" t="s">
        <v>162</v>
      </c>
      <c r="AH27" s="1" t="s">
        <v>152</v>
      </c>
      <c r="AI27" s="1" t="s">
        <v>153</v>
      </c>
      <c r="AJ27" s="7">
        <v>2.0</v>
      </c>
      <c r="AK27" s="1" t="s">
        <v>154</v>
      </c>
      <c r="AL27" s="1"/>
      <c r="AM27" s="1"/>
      <c r="AN27" s="1">
        <v>15.0</v>
      </c>
      <c r="AO27" s="1" t="str">
        <f t="shared" si="2"/>
        <v>нет</v>
      </c>
      <c r="AP27" s="9"/>
      <c r="AQ27" s="9"/>
      <c r="AR27" s="9" t="str">
        <f t="shared" si="3"/>
        <v>#DIV/0!</v>
      </c>
      <c r="AS27" s="7" t="str">
        <f t="shared" si="4"/>
        <v>#DIV/0!</v>
      </c>
      <c r="AT27" s="7">
        <v>116.0</v>
      </c>
      <c r="AU27" s="7">
        <v>72.0</v>
      </c>
      <c r="AV27" s="8">
        <v>94.0</v>
      </c>
      <c r="AW27" s="7">
        <v>84.0</v>
      </c>
      <c r="AX27" s="9"/>
      <c r="AY27" s="7">
        <v>22.0</v>
      </c>
      <c r="AZ27" s="7">
        <v>93.0</v>
      </c>
      <c r="BA27" s="10" t="str">
        <f t="shared" si="5"/>
        <v>да</v>
      </c>
      <c r="BB27" s="7">
        <v>99.0</v>
      </c>
      <c r="BC27" s="11"/>
      <c r="BD27" s="12" t="str">
        <f t="shared" si="6"/>
        <v>#DIV/0!</v>
      </c>
      <c r="BE27" s="12">
        <f t="shared" si="7"/>
        <v>1</v>
      </c>
      <c r="BF27" s="12">
        <f t="shared" si="8"/>
        <v>7</v>
      </c>
      <c r="BG27" s="1" t="s">
        <v>150</v>
      </c>
      <c r="BH27" s="9"/>
      <c r="BI27" s="1" t="s">
        <v>150</v>
      </c>
      <c r="BJ27" s="9"/>
      <c r="BK27" s="1" t="s">
        <v>150</v>
      </c>
      <c r="BL27" s="9"/>
      <c r="BM27" s="1" t="s">
        <v>154</v>
      </c>
      <c r="BN27" s="1" t="s">
        <v>155</v>
      </c>
      <c r="BO27" s="1" t="s">
        <v>150</v>
      </c>
      <c r="BP27" s="9"/>
      <c r="BQ27" s="9"/>
      <c r="BR27" s="1" t="s">
        <v>154</v>
      </c>
      <c r="BS27" s="1" t="s">
        <v>170</v>
      </c>
      <c r="BT27" s="7">
        <v>32.0</v>
      </c>
      <c r="BU27" s="1" t="s">
        <v>157</v>
      </c>
      <c r="BV27" s="7">
        <v>16.0</v>
      </c>
      <c r="BW27" s="1" t="s">
        <v>154</v>
      </c>
      <c r="BX27" s="1" t="s">
        <v>150</v>
      </c>
      <c r="BY27" s="1" t="s">
        <v>150</v>
      </c>
      <c r="BZ27" s="1" t="s">
        <v>158</v>
      </c>
      <c r="CA27" s="1" t="s">
        <v>167</v>
      </c>
      <c r="CC27" s="9"/>
      <c r="CD27" s="9"/>
      <c r="CE27" s="9"/>
      <c r="CF27" s="9"/>
      <c r="CG27" s="9"/>
      <c r="CH27" s="9"/>
      <c r="CI27" s="9"/>
      <c r="CJ27" s="9"/>
      <c r="CK27" s="9"/>
      <c r="CL27" s="1" t="s">
        <v>210</v>
      </c>
      <c r="CM27" s="7">
        <v>4.0</v>
      </c>
      <c r="CN27" s="7"/>
      <c r="CO27" s="7">
        <f t="shared" si="9"/>
        <v>0</v>
      </c>
      <c r="CP27" s="7"/>
      <c r="CQ27" s="7">
        <f t="shared" si="10"/>
        <v>0</v>
      </c>
      <c r="CR27" s="7"/>
      <c r="CS27" s="7">
        <f t="shared" si="11"/>
        <v>0</v>
      </c>
      <c r="CT27" s="7"/>
      <c r="CU27" s="7">
        <f t="shared" si="12"/>
        <v>0</v>
      </c>
      <c r="CV27" s="7" t="str">
        <f t="shared" si="13"/>
        <v>#DIV/0!</v>
      </c>
      <c r="CW27" s="7">
        <v>4.0</v>
      </c>
      <c r="CX27" s="7">
        <v>137.0</v>
      </c>
      <c r="CY27" s="7" t="str">
        <f t="shared" si="14"/>
        <v>Норма</v>
      </c>
      <c r="CZ27" s="7">
        <v>2.0</v>
      </c>
      <c r="DA27" s="7">
        <v>61.0</v>
      </c>
      <c r="DB27" s="7">
        <v>24.0</v>
      </c>
      <c r="DC27" s="7">
        <v>8.0</v>
      </c>
      <c r="DD27" s="7"/>
      <c r="DE27" s="7"/>
      <c r="DF27" s="7"/>
      <c r="DG27" s="7"/>
      <c r="DH27" s="7"/>
      <c r="DI27" s="7"/>
      <c r="DJ27" s="7"/>
      <c r="DK27" s="7"/>
      <c r="DL27" s="7"/>
      <c r="DM27" s="7">
        <v>4.0</v>
      </c>
      <c r="DN27" s="7">
        <v>125.0</v>
      </c>
      <c r="DO27" s="7" t="str">
        <f t="shared" si="15"/>
        <v>Легкая степень</v>
      </c>
      <c r="DP27" s="7">
        <v>17.0</v>
      </c>
      <c r="DQ27" s="7">
        <v>179.0</v>
      </c>
      <c r="DR27" s="7">
        <v>8.0</v>
      </c>
      <c r="DS27" s="13">
        <v>3.0</v>
      </c>
      <c r="DT27" s="7">
        <v>45.0</v>
      </c>
      <c r="DU27" s="7">
        <v>11.0</v>
      </c>
      <c r="DV27" s="7">
        <v>0.92</v>
      </c>
      <c r="DW27" s="9"/>
      <c r="DX27" s="9"/>
      <c r="DY27" s="9"/>
      <c r="DZ27" s="9"/>
      <c r="EA27" s="9"/>
      <c r="EB27" s="7"/>
      <c r="EC27" s="7">
        <v>12.0</v>
      </c>
      <c r="ED27" s="7">
        <v>4.0</v>
      </c>
      <c r="EE27" s="7">
        <v>90.0</v>
      </c>
      <c r="EF27" s="7">
        <v>60.0</v>
      </c>
      <c r="EG27" s="7">
        <v>64.0</v>
      </c>
      <c r="EH27" s="7">
        <v>6.0</v>
      </c>
      <c r="EI27" s="7">
        <v>2.0</v>
      </c>
      <c r="EJ27" s="7">
        <v>100.0</v>
      </c>
      <c r="EK27" s="14">
        <f t="shared" si="16"/>
        <v>51.07608946</v>
      </c>
      <c r="EL27" s="11" t="str">
        <f t="shared" si="17"/>
        <v>C3a</v>
      </c>
      <c r="EM27" s="9"/>
      <c r="EN27" s="9"/>
      <c r="EO27" s="7">
        <v>230.0</v>
      </c>
      <c r="EP27" s="7">
        <v>122.0</v>
      </c>
      <c r="EQ27" s="7">
        <v>57.0</v>
      </c>
      <c r="ER27" s="7">
        <v>10.0</v>
      </c>
      <c r="ES27" s="7">
        <v>2.0</v>
      </c>
      <c r="ET27" s="7">
        <v>110.0</v>
      </c>
      <c r="EU27" s="11">
        <f t="shared" si="18"/>
        <v>45.51702645</v>
      </c>
      <c r="EV27" s="11" t="str">
        <f t="shared" si="19"/>
        <v>C3a</v>
      </c>
      <c r="EW27" s="9"/>
      <c r="EX27" s="9"/>
      <c r="EY27" s="9" t="str">
        <f t="shared" si="20"/>
        <v>#DIV/0!</v>
      </c>
      <c r="EZ27" s="9" t="str">
        <f t="shared" si="21"/>
        <v>#DIV/0!</v>
      </c>
      <c r="FA27" s="9" t="str">
        <f t="shared" si="22"/>
        <v>#DIV/0!</v>
      </c>
      <c r="FB27" s="9"/>
      <c r="FC27" s="1" t="s">
        <v>148</v>
      </c>
    </row>
    <row r="28">
      <c r="A28" s="7">
        <v>27.0</v>
      </c>
      <c r="B28" s="19">
        <v>27.0</v>
      </c>
      <c r="C28" s="20">
        <v>1203.0</v>
      </c>
      <c r="D28" s="1" t="s">
        <v>148</v>
      </c>
      <c r="E28" s="7">
        <v>48.0</v>
      </c>
      <c r="F28" s="1" t="s">
        <v>161</v>
      </c>
      <c r="G28" s="7"/>
      <c r="H28" s="7">
        <v>18.0</v>
      </c>
      <c r="I28" s="1" t="s">
        <v>150</v>
      </c>
      <c r="J28" s="1" t="s">
        <v>150</v>
      </c>
      <c r="K28" s="9"/>
      <c r="L28" s="1" t="s">
        <v>154</v>
      </c>
      <c r="M28" s="1" t="s">
        <v>154</v>
      </c>
      <c r="N28" s="1" t="s">
        <v>187</v>
      </c>
      <c r="O28" s="1" t="str">
        <f t="shared" si="1"/>
        <v>нет</v>
      </c>
      <c r="P28" s="1" t="s">
        <v>154</v>
      </c>
      <c r="Q28" s="1" t="s">
        <v>154</v>
      </c>
      <c r="R28" s="7">
        <v>3.0</v>
      </c>
      <c r="S28" s="1" t="s">
        <v>150</v>
      </c>
      <c r="T28" s="9"/>
      <c r="U28" s="9"/>
      <c r="V28" s="9"/>
      <c r="W28" s="9"/>
      <c r="X28" s="9"/>
      <c r="Y28" s="1" t="s">
        <v>150</v>
      </c>
      <c r="Z28" s="9"/>
      <c r="AA28" s="9"/>
      <c r="AB28" s="9"/>
      <c r="AC28" s="9"/>
      <c r="AD28" s="1"/>
      <c r="AE28" s="1" t="s">
        <v>154</v>
      </c>
      <c r="AF28" s="7">
        <v>11.0</v>
      </c>
      <c r="AG28" s="1" t="s">
        <v>162</v>
      </c>
      <c r="AH28" s="1" t="s">
        <v>152</v>
      </c>
      <c r="AI28" s="1" t="s">
        <v>168</v>
      </c>
      <c r="AJ28" s="7">
        <v>3.0</v>
      </c>
      <c r="AK28" s="1" t="s">
        <v>154</v>
      </c>
      <c r="AL28" s="1"/>
      <c r="AM28" s="1"/>
      <c r="AN28" s="1">
        <v>15.0</v>
      </c>
      <c r="AO28" s="1" t="str">
        <f t="shared" si="2"/>
        <v>нет</v>
      </c>
      <c r="AP28" s="9"/>
      <c r="AQ28" s="9"/>
      <c r="AR28" s="9" t="str">
        <f t="shared" si="3"/>
        <v>#DIV/0!</v>
      </c>
      <c r="AS28" s="7" t="str">
        <f t="shared" si="4"/>
        <v>#DIV/0!</v>
      </c>
      <c r="AT28" s="7">
        <v>140.0</v>
      </c>
      <c r="AU28" s="7">
        <v>90.0</v>
      </c>
      <c r="AV28" s="8">
        <v>115.0</v>
      </c>
      <c r="AW28" s="7">
        <v>102.0</v>
      </c>
      <c r="AX28" s="7">
        <v>39.0</v>
      </c>
      <c r="AY28" s="7">
        <v>18.0</v>
      </c>
      <c r="AZ28" s="7">
        <v>91.0</v>
      </c>
      <c r="BA28" s="10" t="str">
        <f t="shared" si="5"/>
        <v>да</v>
      </c>
      <c r="BB28" s="7">
        <v>98.0</v>
      </c>
      <c r="BC28" s="11"/>
      <c r="BD28" s="12" t="str">
        <f t="shared" si="6"/>
        <v>#DIV/0!</v>
      </c>
      <c r="BE28" s="12">
        <f t="shared" si="7"/>
        <v>0</v>
      </c>
      <c r="BF28" s="12">
        <f t="shared" si="8"/>
        <v>5</v>
      </c>
      <c r="BG28" s="1" t="s">
        <v>150</v>
      </c>
      <c r="BH28" s="9"/>
      <c r="BI28" s="1" t="s">
        <v>150</v>
      </c>
      <c r="BJ28" s="9"/>
      <c r="BK28" s="1" t="s">
        <v>150</v>
      </c>
      <c r="BL28" s="9"/>
      <c r="BM28" s="1" t="s">
        <v>154</v>
      </c>
      <c r="BN28" s="1" t="s">
        <v>211</v>
      </c>
      <c r="BO28" s="1" t="s">
        <v>150</v>
      </c>
      <c r="BP28" s="9"/>
      <c r="BQ28" s="7">
        <v>24.0</v>
      </c>
      <c r="BR28" s="1" t="s">
        <v>154</v>
      </c>
      <c r="BS28" s="1" t="s">
        <v>191</v>
      </c>
      <c r="BT28" s="9"/>
      <c r="BU28" s="1" t="s">
        <v>157</v>
      </c>
      <c r="BV28" s="7">
        <v>16.0</v>
      </c>
      <c r="BW28" s="1" t="s">
        <v>154</v>
      </c>
      <c r="BX28" s="1" t="s">
        <v>154</v>
      </c>
      <c r="BY28" s="1" t="s">
        <v>173</v>
      </c>
      <c r="BZ28" s="1" t="s">
        <v>158</v>
      </c>
      <c r="CA28" s="1" t="s">
        <v>167</v>
      </c>
      <c r="CC28" s="9"/>
      <c r="CD28" s="1" t="s">
        <v>212</v>
      </c>
      <c r="CE28" s="1" t="s">
        <v>177</v>
      </c>
      <c r="CG28" s="9"/>
      <c r="CH28" s="9"/>
      <c r="CI28" s="9"/>
      <c r="CJ28" s="1" t="s">
        <v>154</v>
      </c>
      <c r="CK28" s="9"/>
      <c r="CL28" s="1" t="s">
        <v>213</v>
      </c>
      <c r="CM28" s="7">
        <v>6.9</v>
      </c>
      <c r="CN28" s="7"/>
      <c r="CO28" s="7">
        <f t="shared" si="9"/>
        <v>0</v>
      </c>
      <c r="CP28" s="7"/>
      <c r="CQ28" s="7">
        <f t="shared" si="10"/>
        <v>0</v>
      </c>
      <c r="CR28" s="7"/>
      <c r="CS28" s="7">
        <f t="shared" si="11"/>
        <v>0</v>
      </c>
      <c r="CT28" s="7"/>
      <c r="CU28" s="7">
        <f t="shared" si="12"/>
        <v>0</v>
      </c>
      <c r="CV28" s="7" t="str">
        <f t="shared" si="13"/>
        <v>#DIV/0!</v>
      </c>
      <c r="CW28" s="7">
        <v>4.5</v>
      </c>
      <c r="CX28" s="7">
        <v>135.0</v>
      </c>
      <c r="CY28" s="7" t="str">
        <f t="shared" si="14"/>
        <v>Норма</v>
      </c>
      <c r="CZ28" s="7">
        <v>7.0</v>
      </c>
      <c r="DA28" s="7">
        <v>274.0</v>
      </c>
      <c r="DB28" s="7">
        <v>80.7</v>
      </c>
      <c r="DC28" s="7">
        <v>6.7</v>
      </c>
      <c r="DD28" s="7"/>
      <c r="DE28" s="7"/>
      <c r="DF28" s="7"/>
      <c r="DG28" s="7"/>
      <c r="DH28" s="7"/>
      <c r="DI28" s="7"/>
      <c r="DJ28" s="7"/>
      <c r="DK28" s="7"/>
      <c r="DL28" s="7"/>
      <c r="DM28" s="7">
        <v>4.3</v>
      </c>
      <c r="DN28" s="7">
        <v>132.0</v>
      </c>
      <c r="DO28" s="7" t="str">
        <f t="shared" si="15"/>
        <v>Норма</v>
      </c>
      <c r="DP28" s="7">
        <v>10.0</v>
      </c>
      <c r="DQ28" s="7">
        <v>279.0</v>
      </c>
      <c r="DR28" s="7">
        <v>23.0</v>
      </c>
      <c r="DS28" s="13">
        <v>3.3</v>
      </c>
      <c r="DT28" s="7">
        <v>43.7</v>
      </c>
      <c r="DU28" s="7">
        <v>10.9</v>
      </c>
      <c r="DV28" s="7">
        <v>0.92</v>
      </c>
      <c r="DW28" s="7">
        <v>0.3</v>
      </c>
      <c r="DX28" s="9"/>
      <c r="DY28" s="7">
        <v>42.1</v>
      </c>
      <c r="DZ28" s="7">
        <v>11.9</v>
      </c>
      <c r="EA28" s="7">
        <v>0.95</v>
      </c>
      <c r="EB28" s="7"/>
      <c r="EC28" s="7">
        <v>19.6</v>
      </c>
      <c r="ED28" s="7">
        <v>14.8</v>
      </c>
      <c r="EE28" s="7">
        <v>22.0</v>
      </c>
      <c r="EF28" s="7">
        <v>13.0</v>
      </c>
      <c r="EG28" s="7">
        <v>77.4</v>
      </c>
      <c r="EH28" s="7">
        <v>60.0</v>
      </c>
      <c r="EI28" s="7">
        <v>1.7</v>
      </c>
      <c r="EJ28" s="7">
        <v>90.0</v>
      </c>
      <c r="EK28" s="14">
        <f t="shared" si="16"/>
        <v>65.37342226</v>
      </c>
      <c r="EL28" s="11" t="str">
        <f t="shared" si="17"/>
        <v>C2</v>
      </c>
      <c r="EM28" s="7">
        <v>129.8</v>
      </c>
      <c r="EN28" s="7">
        <v>4.4</v>
      </c>
      <c r="EO28" s="7">
        <v>30.0</v>
      </c>
      <c r="EP28" s="7">
        <v>12.0</v>
      </c>
      <c r="EQ28" s="7">
        <v>90.5</v>
      </c>
      <c r="ER28" s="7">
        <v>52.9</v>
      </c>
      <c r="ES28" s="7">
        <v>1.8</v>
      </c>
      <c r="ET28" s="7">
        <v>80.0</v>
      </c>
      <c r="EU28" s="11">
        <f t="shared" si="18"/>
        <v>75.37800175</v>
      </c>
      <c r="EV28" s="11" t="str">
        <f t="shared" si="19"/>
        <v>C2</v>
      </c>
      <c r="EW28" s="7">
        <v>133.7</v>
      </c>
      <c r="EX28" s="7">
        <v>4.2</v>
      </c>
      <c r="EY28" s="9" t="str">
        <f t="shared" si="20"/>
        <v>#DIV/0!</v>
      </c>
      <c r="EZ28" s="9" t="str">
        <f t="shared" si="21"/>
        <v>#DIV/0!</v>
      </c>
      <c r="FA28" s="9" t="str">
        <f t="shared" si="22"/>
        <v>#DIV/0!</v>
      </c>
      <c r="FB28" s="9"/>
      <c r="FC28" s="1" t="s">
        <v>148</v>
      </c>
    </row>
    <row r="29">
      <c r="A29" s="7">
        <v>28.0</v>
      </c>
      <c r="B29" s="21">
        <v>28.0</v>
      </c>
      <c r="C29" s="7">
        <v>17819.0</v>
      </c>
      <c r="D29" s="1" t="s">
        <v>148</v>
      </c>
      <c r="E29" s="7">
        <v>51.0</v>
      </c>
      <c r="F29" s="1" t="s">
        <v>161</v>
      </c>
      <c r="G29" s="22"/>
      <c r="H29" s="22"/>
      <c r="I29" s="9"/>
      <c r="J29" s="9"/>
      <c r="K29" s="9"/>
      <c r="L29" s="9"/>
      <c r="M29" s="9"/>
      <c r="N29" s="9"/>
      <c r="O29" s="1" t="str">
        <f t="shared" si="1"/>
        <v>да</v>
      </c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1"/>
      <c r="AE29" s="1" t="s">
        <v>150</v>
      </c>
      <c r="AF29" s="9"/>
      <c r="AG29" s="1" t="s">
        <v>162</v>
      </c>
      <c r="AH29" s="1" t="s">
        <v>152</v>
      </c>
      <c r="AI29" s="1" t="s">
        <v>168</v>
      </c>
      <c r="AJ29" s="7">
        <v>2.0</v>
      </c>
      <c r="AK29" s="1" t="s">
        <v>154</v>
      </c>
      <c r="AL29" s="1"/>
      <c r="AM29" s="1"/>
      <c r="AN29" s="1">
        <v>15.0</v>
      </c>
      <c r="AO29" s="1" t="str">
        <f t="shared" si="2"/>
        <v>нет</v>
      </c>
      <c r="AP29" s="9"/>
      <c r="AQ29" s="9"/>
      <c r="AR29" s="9" t="str">
        <f t="shared" si="3"/>
        <v>#DIV/0!</v>
      </c>
      <c r="AS29" s="7" t="str">
        <f t="shared" si="4"/>
        <v>#DIV/0!</v>
      </c>
      <c r="AT29" s="7">
        <v>130.0</v>
      </c>
      <c r="AU29" s="7">
        <v>90.0</v>
      </c>
      <c r="AV29" s="8">
        <v>110.0</v>
      </c>
      <c r="AW29" s="7">
        <v>70.0</v>
      </c>
      <c r="AX29" s="9"/>
      <c r="AY29" s="7">
        <v>18.0</v>
      </c>
      <c r="AZ29" s="7">
        <v>87.0</v>
      </c>
      <c r="BA29" s="10" t="str">
        <f t="shared" si="5"/>
        <v>да</v>
      </c>
      <c r="BB29" s="7">
        <v>93.0</v>
      </c>
      <c r="BC29" s="11"/>
      <c r="BD29" s="12" t="str">
        <f t="shared" si="6"/>
        <v>#DIV/0!</v>
      </c>
      <c r="BE29" s="12">
        <f t="shared" si="7"/>
        <v>0</v>
      </c>
      <c r="BF29" s="12">
        <f t="shared" si="8"/>
        <v>6</v>
      </c>
      <c r="BG29" s="9"/>
      <c r="BH29" s="9"/>
      <c r="BI29" s="1" t="s">
        <v>150</v>
      </c>
      <c r="BJ29" s="9"/>
      <c r="BK29" s="1" t="s">
        <v>150</v>
      </c>
      <c r="BL29" s="9"/>
      <c r="BM29" s="1" t="s">
        <v>154</v>
      </c>
      <c r="BN29" s="1" t="s">
        <v>155</v>
      </c>
      <c r="BO29" s="9"/>
      <c r="BP29" s="9"/>
      <c r="BQ29" s="7">
        <v>20.0</v>
      </c>
      <c r="BR29" s="9"/>
      <c r="BS29" s="9"/>
      <c r="BT29" s="9"/>
      <c r="BU29" s="9"/>
      <c r="BV29" s="7">
        <v>8.0</v>
      </c>
      <c r="BW29" s="1" t="s">
        <v>154</v>
      </c>
      <c r="BX29" s="1" t="s">
        <v>154</v>
      </c>
      <c r="BY29" s="1" t="s">
        <v>173</v>
      </c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1" t="s">
        <v>214</v>
      </c>
      <c r="CM29" s="7">
        <v>6.8</v>
      </c>
      <c r="CN29" s="7"/>
      <c r="CO29" s="7">
        <f t="shared" si="9"/>
        <v>0</v>
      </c>
      <c r="CP29" s="7"/>
      <c r="CQ29" s="7">
        <f t="shared" si="10"/>
        <v>0</v>
      </c>
      <c r="CR29" s="7"/>
      <c r="CS29" s="7">
        <f t="shared" si="11"/>
        <v>0</v>
      </c>
      <c r="CT29" s="7"/>
      <c r="CU29" s="7">
        <f t="shared" si="12"/>
        <v>0</v>
      </c>
      <c r="CV29" s="7" t="str">
        <f t="shared" si="13"/>
        <v>#DIV/0!</v>
      </c>
      <c r="CW29" s="7">
        <v>5.1</v>
      </c>
      <c r="CX29" s="7">
        <v>150.0</v>
      </c>
      <c r="CY29" s="7" t="str">
        <f t="shared" si="14"/>
        <v>Норма</v>
      </c>
      <c r="CZ29" s="7">
        <v>56.0</v>
      </c>
      <c r="DA29" s="7">
        <v>233.0</v>
      </c>
      <c r="DB29" s="7">
        <v>177.0</v>
      </c>
      <c r="DC29" s="7">
        <v>14.7</v>
      </c>
      <c r="DD29" s="7"/>
      <c r="DE29" s="7"/>
      <c r="DF29" s="7"/>
      <c r="DG29" s="7"/>
      <c r="DH29" s="7"/>
      <c r="DI29" s="7"/>
      <c r="DJ29" s="7"/>
      <c r="DK29" s="7"/>
      <c r="DL29" s="7"/>
      <c r="DM29" s="7">
        <v>5.0</v>
      </c>
      <c r="DN29" s="7">
        <v>150.0</v>
      </c>
      <c r="DO29" s="7" t="str">
        <f t="shared" si="15"/>
        <v>Норма</v>
      </c>
      <c r="DP29" s="7">
        <v>20.0</v>
      </c>
      <c r="DQ29" s="7">
        <v>548.0</v>
      </c>
      <c r="DR29" s="7">
        <v>5.1</v>
      </c>
      <c r="DS29" s="23"/>
      <c r="DT29" s="7">
        <v>42.0</v>
      </c>
      <c r="DU29" s="7">
        <v>12.1</v>
      </c>
      <c r="DV29" s="7">
        <v>1.02</v>
      </c>
      <c r="DW29" s="7">
        <v>3.69</v>
      </c>
      <c r="DX29" s="9"/>
      <c r="DY29" s="7">
        <v>34.0</v>
      </c>
      <c r="DZ29" s="7">
        <v>11.3</v>
      </c>
      <c r="EA29" s="7">
        <v>0.93</v>
      </c>
      <c r="EB29" s="7"/>
      <c r="EC29" s="7">
        <v>6.6</v>
      </c>
      <c r="ED29" s="7">
        <v>18.4</v>
      </c>
      <c r="EE29" s="7">
        <v>77.0</v>
      </c>
      <c r="EF29" s="7">
        <v>67.0</v>
      </c>
      <c r="EG29" s="7">
        <v>73.0</v>
      </c>
      <c r="EH29" s="7">
        <v>15.7</v>
      </c>
      <c r="EI29" s="7">
        <v>5.9</v>
      </c>
      <c r="EJ29" s="7">
        <v>80.0</v>
      </c>
      <c r="EK29" s="14">
        <f t="shared" si="16"/>
        <v>73.80611843</v>
      </c>
      <c r="EL29" s="11" t="str">
        <f t="shared" si="17"/>
        <v>C2</v>
      </c>
      <c r="EM29" s="9"/>
      <c r="EN29" s="9"/>
      <c r="EO29" s="7">
        <v>67.0</v>
      </c>
      <c r="EP29" s="7">
        <v>17.0</v>
      </c>
      <c r="EQ29" s="7">
        <v>68.0</v>
      </c>
      <c r="ER29" s="7">
        <v>11.5</v>
      </c>
      <c r="ES29" s="7">
        <v>2.0</v>
      </c>
      <c r="ET29" s="7">
        <v>50.0</v>
      </c>
      <c r="EU29" s="11">
        <f t="shared" si="18"/>
        <v>107.9640723</v>
      </c>
      <c r="EV29" s="11" t="str">
        <f t="shared" si="19"/>
        <v>C1</v>
      </c>
      <c r="EW29" s="9"/>
      <c r="EX29" s="9"/>
      <c r="EY29" s="9" t="str">
        <f t="shared" si="20"/>
        <v>#DIV/0!</v>
      </c>
      <c r="EZ29" s="9" t="str">
        <f t="shared" si="21"/>
        <v>#DIV/0!</v>
      </c>
      <c r="FA29" s="9" t="str">
        <f t="shared" si="22"/>
        <v>#DIV/0!</v>
      </c>
      <c r="FB29" s="9"/>
      <c r="FC29" s="1" t="s">
        <v>148</v>
      </c>
    </row>
    <row r="30">
      <c r="A30" s="7">
        <v>29.0</v>
      </c>
      <c r="B30" s="21">
        <v>29.0</v>
      </c>
      <c r="C30" s="7">
        <v>31056.0</v>
      </c>
      <c r="D30" s="1" t="s">
        <v>148</v>
      </c>
      <c r="E30" s="7">
        <v>63.0</v>
      </c>
      <c r="F30" s="1" t="s">
        <v>161</v>
      </c>
      <c r="G30" s="22"/>
      <c r="H30" s="22"/>
      <c r="I30" s="9"/>
      <c r="J30" s="9"/>
      <c r="K30" s="9"/>
      <c r="L30" s="9"/>
      <c r="M30" s="9"/>
      <c r="N30" s="9"/>
      <c r="O30" s="1" t="str">
        <f t="shared" si="1"/>
        <v>нет</v>
      </c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1"/>
      <c r="AE30" s="1" t="s">
        <v>150</v>
      </c>
      <c r="AF30" s="9"/>
      <c r="AG30" s="1" t="s">
        <v>162</v>
      </c>
      <c r="AH30" s="1" t="s">
        <v>152</v>
      </c>
      <c r="AI30" s="1" t="s">
        <v>168</v>
      </c>
      <c r="AJ30" s="7">
        <v>2.0</v>
      </c>
      <c r="AK30" s="1" t="s">
        <v>154</v>
      </c>
      <c r="AL30" s="1"/>
      <c r="AM30" s="1"/>
      <c r="AN30" s="1">
        <v>15.0</v>
      </c>
      <c r="AO30" s="1" t="str">
        <f t="shared" si="2"/>
        <v>нет</v>
      </c>
      <c r="AP30" s="9"/>
      <c r="AQ30" s="9"/>
      <c r="AR30" s="9" t="str">
        <f t="shared" si="3"/>
        <v>#DIV/0!</v>
      </c>
      <c r="AS30" s="7" t="str">
        <f t="shared" si="4"/>
        <v>#DIV/0!</v>
      </c>
      <c r="AT30" s="7">
        <v>140.0</v>
      </c>
      <c r="AU30" s="7">
        <v>90.0</v>
      </c>
      <c r="AV30" s="8">
        <v>115.0</v>
      </c>
      <c r="AW30" s="7">
        <v>105.0</v>
      </c>
      <c r="AX30" s="9"/>
      <c r="AY30" s="7">
        <v>25.0</v>
      </c>
      <c r="AZ30" s="7">
        <v>99.0</v>
      </c>
      <c r="BA30" s="10" t="str">
        <f t="shared" si="5"/>
        <v>нет</v>
      </c>
      <c r="BB30" s="9"/>
      <c r="BC30" s="11"/>
      <c r="BD30" s="12" t="str">
        <f t="shared" si="6"/>
        <v>#DIV/0!</v>
      </c>
      <c r="BE30" s="12">
        <f t="shared" si="7"/>
        <v>1</v>
      </c>
      <c r="BF30" s="12">
        <f t="shared" si="8"/>
        <v>7</v>
      </c>
      <c r="BG30" s="9"/>
      <c r="BH30" s="9"/>
      <c r="BI30" s="1" t="s">
        <v>150</v>
      </c>
      <c r="BJ30" s="9"/>
      <c r="BK30" s="1" t="s">
        <v>189</v>
      </c>
      <c r="BL30" s="9"/>
      <c r="BM30" s="1" t="s">
        <v>154</v>
      </c>
      <c r="BN30" s="1" t="s">
        <v>155</v>
      </c>
      <c r="BO30" s="9"/>
      <c r="BP30" s="9"/>
      <c r="BQ30" s="7">
        <v>94.0</v>
      </c>
      <c r="BR30" s="9"/>
      <c r="BS30" s="9"/>
      <c r="BT30" s="9"/>
      <c r="BU30" s="9"/>
      <c r="BV30" s="7">
        <v>4.0</v>
      </c>
      <c r="BW30" s="1" t="s">
        <v>150</v>
      </c>
      <c r="BX30" s="1" t="s">
        <v>154</v>
      </c>
      <c r="BY30" s="1" t="s">
        <v>173</v>
      </c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1" t="s">
        <v>215</v>
      </c>
      <c r="CM30" s="7">
        <v>9.4</v>
      </c>
      <c r="CN30" s="7"/>
      <c r="CO30" s="7">
        <f t="shared" si="9"/>
        <v>0</v>
      </c>
      <c r="CP30" s="7"/>
      <c r="CQ30" s="7">
        <f t="shared" si="10"/>
        <v>0</v>
      </c>
      <c r="CR30" s="7"/>
      <c r="CS30" s="7">
        <f t="shared" si="11"/>
        <v>0</v>
      </c>
      <c r="CT30" s="7"/>
      <c r="CU30" s="7">
        <f t="shared" si="12"/>
        <v>0</v>
      </c>
      <c r="CV30" s="7" t="str">
        <f t="shared" si="13"/>
        <v>#DIV/0!</v>
      </c>
      <c r="CW30" s="7">
        <v>4.3</v>
      </c>
      <c r="CX30" s="7">
        <v>133.0</v>
      </c>
      <c r="CY30" s="7" t="str">
        <f t="shared" si="14"/>
        <v>Норма</v>
      </c>
      <c r="CZ30" s="7">
        <v>32.0</v>
      </c>
      <c r="DA30" s="7">
        <v>251.0</v>
      </c>
      <c r="DB30" s="7">
        <v>21.6</v>
      </c>
      <c r="DC30" s="7">
        <v>8.5</v>
      </c>
      <c r="DD30" s="7"/>
      <c r="DE30" s="7"/>
      <c r="DF30" s="7"/>
      <c r="DG30" s="7"/>
      <c r="DH30" s="7"/>
      <c r="DI30" s="7"/>
      <c r="DJ30" s="7"/>
      <c r="DK30" s="7"/>
      <c r="DL30" s="7"/>
      <c r="DM30" s="7">
        <v>4.5</v>
      </c>
      <c r="DN30" s="7">
        <v>137.0</v>
      </c>
      <c r="DO30" s="7" t="str">
        <f t="shared" si="15"/>
        <v>Норма</v>
      </c>
      <c r="DP30" s="7">
        <v>22.0</v>
      </c>
      <c r="DQ30" s="7">
        <v>193.0</v>
      </c>
      <c r="DR30" s="7">
        <v>4.9</v>
      </c>
      <c r="DS30" s="23"/>
      <c r="DT30" s="7">
        <v>21.2</v>
      </c>
      <c r="DU30" s="7">
        <v>11.1</v>
      </c>
      <c r="DV30" s="7">
        <v>1.0</v>
      </c>
      <c r="DW30" s="9"/>
      <c r="DX30" s="9"/>
      <c r="DY30" s="9"/>
      <c r="DZ30" s="9"/>
      <c r="EA30" s="9"/>
      <c r="EB30" s="7"/>
      <c r="EC30" s="7">
        <v>8.7</v>
      </c>
      <c r="ED30" s="7">
        <v>7.4</v>
      </c>
      <c r="EE30" s="7">
        <v>60.0</v>
      </c>
      <c r="EF30" s="7">
        <v>51.0</v>
      </c>
      <c r="EG30" s="7">
        <v>73.0</v>
      </c>
      <c r="EH30" s="7">
        <v>4.0</v>
      </c>
      <c r="EI30" s="7">
        <v>2.9</v>
      </c>
      <c r="EJ30" s="7">
        <v>90.0</v>
      </c>
      <c r="EK30" s="14">
        <f t="shared" si="16"/>
        <v>58.83556767</v>
      </c>
      <c r="EL30" s="11" t="str">
        <f t="shared" si="17"/>
        <v>C3a</v>
      </c>
      <c r="EM30" s="9"/>
      <c r="EN30" s="9"/>
      <c r="EO30" s="7">
        <v>109.0</v>
      </c>
      <c r="EP30" s="7">
        <v>31.0</v>
      </c>
      <c r="EQ30" s="7">
        <v>59.0</v>
      </c>
      <c r="ER30" s="7">
        <v>8.5</v>
      </c>
      <c r="ES30" s="7">
        <v>1.8</v>
      </c>
      <c r="ET30" s="7">
        <v>70.0</v>
      </c>
      <c r="EU30" s="11">
        <f t="shared" si="18"/>
        <v>79.72519893</v>
      </c>
      <c r="EV30" s="11" t="str">
        <f t="shared" si="19"/>
        <v>C2</v>
      </c>
      <c r="EW30" s="9"/>
      <c r="EX30" s="9"/>
      <c r="EY30" s="9" t="str">
        <f t="shared" si="20"/>
        <v>#DIV/0!</v>
      </c>
      <c r="EZ30" s="9" t="str">
        <f t="shared" si="21"/>
        <v>#DIV/0!</v>
      </c>
      <c r="FA30" s="9" t="str">
        <f t="shared" si="22"/>
        <v>#DIV/0!</v>
      </c>
      <c r="FB30" s="9"/>
      <c r="FC30" s="1" t="s">
        <v>148</v>
      </c>
    </row>
    <row r="31">
      <c r="A31" s="7">
        <v>30.0</v>
      </c>
      <c r="B31" s="21">
        <v>30.0</v>
      </c>
      <c r="C31" s="7">
        <v>21949.0</v>
      </c>
      <c r="D31" s="1" t="s">
        <v>148</v>
      </c>
      <c r="E31" s="7">
        <v>61.0</v>
      </c>
      <c r="F31" s="1" t="s">
        <v>161</v>
      </c>
      <c r="G31" s="22"/>
      <c r="H31" s="22"/>
      <c r="I31" s="9"/>
      <c r="J31" s="9"/>
      <c r="K31" s="9"/>
      <c r="L31" s="9"/>
      <c r="M31" s="9"/>
      <c r="N31" s="9"/>
      <c r="O31" s="1" t="str">
        <f t="shared" si="1"/>
        <v>нет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1"/>
      <c r="AE31" s="1" t="s">
        <v>150</v>
      </c>
      <c r="AF31" s="9"/>
      <c r="AG31" s="1" t="s">
        <v>162</v>
      </c>
      <c r="AH31" s="1" t="s">
        <v>152</v>
      </c>
      <c r="AI31" s="1" t="s">
        <v>168</v>
      </c>
      <c r="AJ31" s="7">
        <v>2.0</v>
      </c>
      <c r="AK31" s="1" t="s">
        <v>150</v>
      </c>
      <c r="AL31" s="1"/>
      <c r="AM31" s="1"/>
      <c r="AN31" s="1">
        <v>15.0</v>
      </c>
      <c r="AO31" s="1" t="str">
        <f t="shared" si="2"/>
        <v>нет</v>
      </c>
      <c r="AP31" s="9"/>
      <c r="AQ31" s="9"/>
      <c r="AR31" s="9" t="str">
        <f t="shared" si="3"/>
        <v>#DIV/0!</v>
      </c>
      <c r="AS31" s="7" t="str">
        <f t="shared" si="4"/>
        <v>#DIV/0!</v>
      </c>
      <c r="AT31" s="7">
        <v>136.0</v>
      </c>
      <c r="AU31" s="7">
        <v>82.0</v>
      </c>
      <c r="AV31" s="8">
        <v>109.0</v>
      </c>
      <c r="AW31" s="7">
        <v>102.0</v>
      </c>
      <c r="AX31" s="7">
        <v>37.3</v>
      </c>
      <c r="AY31" s="7">
        <v>30.0</v>
      </c>
      <c r="AZ31" s="7">
        <v>86.0</v>
      </c>
      <c r="BA31" s="10" t="str">
        <f t="shared" si="5"/>
        <v>да</v>
      </c>
      <c r="BB31" s="7">
        <v>96.0</v>
      </c>
      <c r="BC31" s="11"/>
      <c r="BD31" s="12" t="str">
        <f t="shared" si="6"/>
        <v>#DIV/0!</v>
      </c>
      <c r="BE31" s="12">
        <f t="shared" si="7"/>
        <v>1</v>
      </c>
      <c r="BF31" s="12">
        <f t="shared" si="8"/>
        <v>7</v>
      </c>
      <c r="BG31" s="9"/>
      <c r="BH31" s="9"/>
      <c r="BI31" s="1" t="s">
        <v>216</v>
      </c>
      <c r="BJ31" s="9"/>
      <c r="BK31" s="1" t="s">
        <v>150</v>
      </c>
      <c r="BL31" s="9"/>
      <c r="BM31" s="1" t="s">
        <v>154</v>
      </c>
      <c r="BN31" s="1" t="s">
        <v>155</v>
      </c>
      <c r="BO31" s="9"/>
      <c r="BP31" s="9"/>
      <c r="BQ31" s="7">
        <v>20.0</v>
      </c>
      <c r="BR31" s="9"/>
      <c r="BS31" s="9"/>
      <c r="BT31" s="9"/>
      <c r="BU31" s="9"/>
      <c r="BV31" s="7">
        <v>4.0</v>
      </c>
      <c r="BW31" s="1" t="s">
        <v>154</v>
      </c>
      <c r="BX31" s="1" t="s">
        <v>154</v>
      </c>
      <c r="BY31" s="1" t="s">
        <v>173</v>
      </c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1" t="s">
        <v>217</v>
      </c>
      <c r="CM31" s="7">
        <v>8.8</v>
      </c>
      <c r="CN31" s="7"/>
      <c r="CO31" s="7">
        <f t="shared" si="9"/>
        <v>0</v>
      </c>
      <c r="CP31" s="7"/>
      <c r="CQ31" s="7">
        <f t="shared" si="10"/>
        <v>0</v>
      </c>
      <c r="CR31" s="7"/>
      <c r="CS31" s="7">
        <f t="shared" si="11"/>
        <v>0</v>
      </c>
      <c r="CT31" s="7"/>
      <c r="CU31" s="7">
        <f t="shared" si="12"/>
        <v>0</v>
      </c>
      <c r="CV31" s="7" t="str">
        <f t="shared" si="13"/>
        <v>#DIV/0!</v>
      </c>
      <c r="CW31" s="7">
        <v>4.5</v>
      </c>
      <c r="CX31" s="7">
        <v>133.0</v>
      </c>
      <c r="CY31" s="7" t="str">
        <f t="shared" si="14"/>
        <v>Норма</v>
      </c>
      <c r="CZ31" s="7">
        <v>10.0</v>
      </c>
      <c r="DA31" s="7">
        <v>270.0</v>
      </c>
      <c r="DB31" s="7">
        <v>189.0</v>
      </c>
      <c r="DC31" s="7">
        <v>11.1</v>
      </c>
      <c r="DD31" s="7"/>
      <c r="DE31" s="7"/>
      <c r="DF31" s="7"/>
      <c r="DG31" s="7"/>
      <c r="DH31" s="7"/>
      <c r="DI31" s="7"/>
      <c r="DJ31" s="7"/>
      <c r="DK31" s="7"/>
      <c r="DL31" s="7"/>
      <c r="DM31" s="7">
        <v>4.4</v>
      </c>
      <c r="DN31" s="7">
        <v>130.0</v>
      </c>
      <c r="DO31" s="7" t="str">
        <f t="shared" si="15"/>
        <v>Норма</v>
      </c>
      <c r="DP31" s="7">
        <v>14.0</v>
      </c>
      <c r="DQ31" s="7">
        <v>455.0</v>
      </c>
      <c r="DR31" s="7">
        <v>16.6</v>
      </c>
      <c r="DS31" s="23"/>
      <c r="DT31" s="7">
        <v>23.4</v>
      </c>
      <c r="DU31" s="7">
        <v>10.9</v>
      </c>
      <c r="DV31" s="7">
        <v>0.98</v>
      </c>
      <c r="DW31" s="9"/>
      <c r="DX31" s="9"/>
      <c r="DY31" s="7">
        <v>24.9</v>
      </c>
      <c r="DZ31" s="7">
        <v>10.0</v>
      </c>
      <c r="EA31" s="7">
        <v>0.84</v>
      </c>
      <c r="EB31" s="7"/>
      <c r="EC31" s="7">
        <v>11.2</v>
      </c>
      <c r="ED31" s="7">
        <v>16.41</v>
      </c>
      <c r="EE31" s="7">
        <v>49.0</v>
      </c>
      <c r="EF31" s="7">
        <v>71.0</v>
      </c>
      <c r="EG31" s="7">
        <v>72.0</v>
      </c>
      <c r="EH31" s="7">
        <v>23.4</v>
      </c>
      <c r="EI31" s="7">
        <v>8.2</v>
      </c>
      <c r="EJ31" s="7">
        <v>100.0</v>
      </c>
      <c r="EK31" s="14">
        <f t="shared" si="16"/>
        <v>52.53160197</v>
      </c>
      <c r="EL31" s="11" t="str">
        <f t="shared" si="17"/>
        <v>C3a</v>
      </c>
      <c r="EM31" s="9"/>
      <c r="EN31" s="9"/>
      <c r="EO31" s="7">
        <v>30.0</v>
      </c>
      <c r="EP31" s="7">
        <v>19.0</v>
      </c>
      <c r="EQ31" s="7">
        <v>63.0</v>
      </c>
      <c r="ER31" s="7">
        <v>12.0</v>
      </c>
      <c r="ES31" s="7">
        <v>6.0</v>
      </c>
      <c r="ET31" s="7">
        <v>90.0</v>
      </c>
      <c r="EU31" s="11">
        <f t="shared" si="18"/>
        <v>59.66799588</v>
      </c>
      <c r="EV31" s="11" t="str">
        <f t="shared" si="19"/>
        <v>C3a</v>
      </c>
      <c r="EW31" s="9"/>
      <c r="EX31" s="9"/>
      <c r="EY31" s="9" t="str">
        <f t="shared" si="20"/>
        <v>#DIV/0!</v>
      </c>
      <c r="EZ31" s="9" t="str">
        <f t="shared" si="21"/>
        <v>#DIV/0!</v>
      </c>
      <c r="FA31" s="9" t="str">
        <f t="shared" si="22"/>
        <v>#DIV/0!</v>
      </c>
      <c r="FB31" s="9"/>
      <c r="FC31" s="1" t="s">
        <v>148</v>
      </c>
    </row>
    <row r="32">
      <c r="A32" s="7">
        <v>31.0</v>
      </c>
      <c r="B32" s="21">
        <v>31.0</v>
      </c>
      <c r="C32" s="7">
        <v>5989.0</v>
      </c>
      <c r="D32" s="1" t="s">
        <v>148</v>
      </c>
      <c r="E32" s="7">
        <v>66.0</v>
      </c>
      <c r="F32" s="1" t="s">
        <v>149</v>
      </c>
      <c r="G32" s="22"/>
      <c r="H32" s="22"/>
      <c r="I32" s="9"/>
      <c r="J32" s="9"/>
      <c r="K32" s="9"/>
      <c r="L32" s="9"/>
      <c r="M32" s="9"/>
      <c r="N32" s="9"/>
      <c r="O32" s="1" t="str">
        <f t="shared" si="1"/>
        <v>нет</v>
      </c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1"/>
      <c r="AE32" s="1" t="s">
        <v>150</v>
      </c>
      <c r="AF32" s="9"/>
      <c r="AG32" s="1" t="s">
        <v>162</v>
      </c>
      <c r="AH32" s="1" t="s">
        <v>152</v>
      </c>
      <c r="AI32" s="1" t="s">
        <v>153</v>
      </c>
      <c r="AJ32" s="7">
        <v>2.0</v>
      </c>
      <c r="AK32" s="1" t="s">
        <v>154</v>
      </c>
      <c r="AL32" s="1"/>
      <c r="AM32" s="1"/>
      <c r="AN32" s="1">
        <v>15.0</v>
      </c>
      <c r="AO32" s="1" t="str">
        <f t="shared" si="2"/>
        <v>нет</v>
      </c>
      <c r="AP32" s="9"/>
      <c r="AQ32" s="9"/>
      <c r="AR32" s="9" t="str">
        <f t="shared" si="3"/>
        <v>#DIV/0!</v>
      </c>
      <c r="AS32" s="7" t="str">
        <f t="shared" si="4"/>
        <v>#DIV/0!</v>
      </c>
      <c r="AT32" s="7">
        <v>120.0</v>
      </c>
      <c r="AU32" s="7">
        <v>80.0</v>
      </c>
      <c r="AV32" s="8">
        <v>100.0</v>
      </c>
      <c r="AW32" s="7">
        <v>78.0</v>
      </c>
      <c r="AX32" s="7">
        <v>37.3</v>
      </c>
      <c r="AY32" s="7">
        <v>28.0</v>
      </c>
      <c r="AZ32" s="7">
        <v>95.0</v>
      </c>
      <c r="BA32" s="10" t="str">
        <f t="shared" si="5"/>
        <v>да</v>
      </c>
      <c r="BB32" s="9"/>
      <c r="BC32" s="11"/>
      <c r="BD32" s="12" t="str">
        <f t="shared" si="6"/>
        <v>#DIV/0!</v>
      </c>
      <c r="BE32" s="12">
        <f t="shared" si="7"/>
        <v>1</v>
      </c>
      <c r="BF32" s="12">
        <f t="shared" si="8"/>
        <v>4</v>
      </c>
      <c r="BG32" s="9"/>
      <c r="BH32" s="9"/>
      <c r="BI32" s="1" t="s">
        <v>150</v>
      </c>
      <c r="BJ32" s="9"/>
      <c r="BK32" s="1" t="s">
        <v>150</v>
      </c>
      <c r="BL32" s="9"/>
      <c r="BM32" s="1" t="s">
        <v>154</v>
      </c>
      <c r="BN32" s="1" t="s">
        <v>155</v>
      </c>
      <c r="BO32" s="9"/>
      <c r="BP32" s="9"/>
      <c r="BQ32" s="7">
        <v>148.0</v>
      </c>
      <c r="BR32" s="9"/>
      <c r="BS32" s="9"/>
      <c r="BT32" s="9"/>
      <c r="BU32" s="9"/>
      <c r="BV32" s="7">
        <v>4.0</v>
      </c>
      <c r="BW32" s="1" t="s">
        <v>150</v>
      </c>
      <c r="BX32" s="1" t="s">
        <v>154</v>
      </c>
      <c r="BY32" s="1" t="s">
        <v>173</v>
      </c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1" t="s">
        <v>218</v>
      </c>
      <c r="CM32" s="7">
        <v>4.2</v>
      </c>
      <c r="CN32" s="7"/>
      <c r="CO32" s="7">
        <f t="shared" si="9"/>
        <v>0</v>
      </c>
      <c r="CP32" s="7"/>
      <c r="CQ32" s="7">
        <f t="shared" si="10"/>
        <v>0</v>
      </c>
      <c r="CR32" s="7"/>
      <c r="CS32" s="7">
        <f t="shared" si="11"/>
        <v>0</v>
      </c>
      <c r="CT32" s="7"/>
      <c r="CU32" s="7">
        <f t="shared" si="12"/>
        <v>0</v>
      </c>
      <c r="CV32" s="7" t="str">
        <f t="shared" si="13"/>
        <v>#DIV/0!</v>
      </c>
      <c r="CW32" s="7">
        <v>4.3</v>
      </c>
      <c r="CX32" s="7">
        <v>132.0</v>
      </c>
      <c r="CY32" s="7" t="str">
        <f t="shared" si="14"/>
        <v>Норма</v>
      </c>
      <c r="CZ32" s="7">
        <v>40.0</v>
      </c>
      <c r="DA32" s="7">
        <v>144.0</v>
      </c>
      <c r="DB32" s="7">
        <v>96.5</v>
      </c>
      <c r="DC32" s="7">
        <v>4.3</v>
      </c>
      <c r="DD32" s="7"/>
      <c r="DE32" s="7"/>
      <c r="DF32" s="7"/>
      <c r="DG32" s="7"/>
      <c r="DH32" s="7"/>
      <c r="DI32" s="7"/>
      <c r="DJ32" s="7"/>
      <c r="DK32" s="7"/>
      <c r="DL32" s="7"/>
      <c r="DM32" s="7">
        <v>4.1</v>
      </c>
      <c r="DN32" s="7">
        <v>129.0</v>
      </c>
      <c r="DO32" s="7" t="str">
        <f t="shared" si="15"/>
        <v>Легкая степень</v>
      </c>
      <c r="DP32" s="7">
        <v>12.0</v>
      </c>
      <c r="DQ32" s="7">
        <v>219.0</v>
      </c>
      <c r="DR32" s="7">
        <v>53.0</v>
      </c>
      <c r="DS32" s="23"/>
      <c r="DT32" s="7">
        <v>29.3</v>
      </c>
      <c r="DU32" s="7">
        <v>10.9</v>
      </c>
      <c r="DV32" s="7">
        <v>0.98</v>
      </c>
      <c r="DW32" s="9"/>
      <c r="DX32" s="9"/>
      <c r="DY32" s="7">
        <v>35.5</v>
      </c>
      <c r="DZ32" s="7">
        <v>10.7</v>
      </c>
      <c r="EA32" s="7">
        <v>0.9</v>
      </c>
      <c r="EB32" s="7"/>
      <c r="EC32" s="7">
        <v>7.9</v>
      </c>
      <c r="ED32" s="7">
        <v>9.3</v>
      </c>
      <c r="EE32" s="7">
        <v>27.0</v>
      </c>
      <c r="EF32" s="7">
        <v>32.0</v>
      </c>
      <c r="EG32" s="7">
        <v>72.0</v>
      </c>
      <c r="EH32" s="7">
        <v>10.4</v>
      </c>
      <c r="EI32" s="7">
        <v>4.4</v>
      </c>
      <c r="EJ32" s="7">
        <v>90.0</v>
      </c>
      <c r="EK32" s="14">
        <f t="shared" si="16"/>
        <v>57.6086494</v>
      </c>
      <c r="EL32" s="11" t="str">
        <f t="shared" si="17"/>
        <v>C3a</v>
      </c>
      <c r="EM32" s="9"/>
      <c r="EN32" s="9"/>
      <c r="EO32" s="7">
        <v>50.0</v>
      </c>
      <c r="EP32" s="7">
        <v>57.0</v>
      </c>
      <c r="EQ32" s="7">
        <v>61.0</v>
      </c>
      <c r="ER32" s="7">
        <v>7.4</v>
      </c>
      <c r="ES32" s="7">
        <v>2.0</v>
      </c>
      <c r="ET32" s="7">
        <v>80.0</v>
      </c>
      <c r="EU32" s="11">
        <f t="shared" si="18"/>
        <v>66.42492813</v>
      </c>
      <c r="EV32" s="11" t="str">
        <f t="shared" si="19"/>
        <v>C2</v>
      </c>
      <c r="EW32" s="9"/>
      <c r="EX32" s="9"/>
      <c r="EY32" s="9" t="str">
        <f t="shared" si="20"/>
        <v>#DIV/0!</v>
      </c>
      <c r="EZ32" s="9" t="str">
        <f t="shared" si="21"/>
        <v>#DIV/0!</v>
      </c>
      <c r="FA32" s="9" t="str">
        <f t="shared" si="22"/>
        <v>#DIV/0!</v>
      </c>
      <c r="FB32" s="9"/>
      <c r="FC32" s="1" t="s">
        <v>148</v>
      </c>
    </row>
    <row r="33">
      <c r="A33" s="7">
        <v>32.0</v>
      </c>
      <c r="B33" s="21">
        <v>32.0</v>
      </c>
      <c r="C33" s="7">
        <v>9476.0</v>
      </c>
      <c r="D33" s="1" t="s">
        <v>148</v>
      </c>
      <c r="E33" s="7">
        <v>68.0</v>
      </c>
      <c r="F33" s="1" t="s">
        <v>149</v>
      </c>
      <c r="G33" s="22"/>
      <c r="H33" s="22"/>
      <c r="I33" s="9"/>
      <c r="J33" s="9"/>
      <c r="K33" s="9"/>
      <c r="L33" s="9"/>
      <c r="M33" s="9"/>
      <c r="N33" s="9"/>
      <c r="O33" s="1" t="str">
        <f t="shared" si="1"/>
        <v>нет</v>
      </c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"/>
      <c r="AE33" s="1" t="s">
        <v>150</v>
      </c>
      <c r="AF33" s="9"/>
      <c r="AG33" s="1" t="s">
        <v>162</v>
      </c>
      <c r="AH33" s="1" t="s">
        <v>152</v>
      </c>
      <c r="AI33" s="1" t="s">
        <v>219</v>
      </c>
      <c r="AJ33" s="7">
        <v>1.0</v>
      </c>
      <c r="AK33" s="1" t="s">
        <v>154</v>
      </c>
      <c r="AL33" s="1"/>
      <c r="AM33" s="1"/>
      <c r="AN33" s="1">
        <v>15.0</v>
      </c>
      <c r="AO33" s="1" t="str">
        <f t="shared" si="2"/>
        <v>нет</v>
      </c>
      <c r="AP33" s="9"/>
      <c r="AQ33" s="9"/>
      <c r="AR33" s="9" t="str">
        <f t="shared" si="3"/>
        <v>#DIV/0!</v>
      </c>
      <c r="AS33" s="7" t="str">
        <f t="shared" si="4"/>
        <v>#DIV/0!</v>
      </c>
      <c r="AT33" s="7">
        <v>130.0</v>
      </c>
      <c r="AU33" s="7">
        <v>80.0</v>
      </c>
      <c r="AV33" s="8">
        <v>105.0</v>
      </c>
      <c r="AW33" s="7">
        <v>106.0</v>
      </c>
      <c r="AX33" s="7">
        <v>38.5</v>
      </c>
      <c r="AY33" s="7">
        <v>22.0</v>
      </c>
      <c r="AZ33" s="7">
        <v>97.0</v>
      </c>
      <c r="BA33" s="10" t="str">
        <f t="shared" si="5"/>
        <v>нет</v>
      </c>
      <c r="BB33" s="9"/>
      <c r="BC33" s="11"/>
      <c r="BD33" s="12" t="str">
        <f t="shared" si="6"/>
        <v>#DIV/0!</v>
      </c>
      <c r="BE33" s="12">
        <f t="shared" si="7"/>
        <v>1</v>
      </c>
      <c r="BF33" s="12">
        <f t="shared" si="8"/>
        <v>4</v>
      </c>
      <c r="BG33" s="9"/>
      <c r="BH33" s="9"/>
      <c r="BI33" s="1" t="s">
        <v>205</v>
      </c>
      <c r="BJ33" s="9"/>
      <c r="BK33" s="1" t="s">
        <v>150</v>
      </c>
      <c r="BL33" s="9"/>
      <c r="BM33" s="1" t="s">
        <v>154</v>
      </c>
      <c r="BN33" s="1" t="s">
        <v>155</v>
      </c>
      <c r="BO33" s="9"/>
      <c r="BP33" s="9"/>
      <c r="BQ33" s="7">
        <v>90.0</v>
      </c>
      <c r="BR33" s="9"/>
      <c r="BS33" s="9"/>
      <c r="BT33" s="9"/>
      <c r="BU33" s="9"/>
      <c r="BV33" s="7">
        <v>4.0</v>
      </c>
      <c r="BW33" s="1" t="s">
        <v>154</v>
      </c>
      <c r="BX33" s="1" t="s">
        <v>154</v>
      </c>
      <c r="BY33" s="1" t="s">
        <v>173</v>
      </c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1" t="s">
        <v>220</v>
      </c>
      <c r="CM33" s="7">
        <v>7.8</v>
      </c>
      <c r="CN33" s="7"/>
      <c r="CO33" s="7">
        <f t="shared" si="9"/>
        <v>0</v>
      </c>
      <c r="CP33" s="7"/>
      <c r="CQ33" s="7">
        <f t="shared" si="10"/>
        <v>0</v>
      </c>
      <c r="CR33" s="7"/>
      <c r="CS33" s="7">
        <f t="shared" si="11"/>
        <v>0</v>
      </c>
      <c r="CT33" s="7"/>
      <c r="CU33" s="7">
        <f t="shared" si="12"/>
        <v>0</v>
      </c>
      <c r="CV33" s="7" t="str">
        <f t="shared" si="13"/>
        <v>#DIV/0!</v>
      </c>
      <c r="CW33" s="7">
        <v>4.5</v>
      </c>
      <c r="CX33" s="7">
        <v>150.0</v>
      </c>
      <c r="CY33" s="7" t="str">
        <f t="shared" si="14"/>
        <v>Норма</v>
      </c>
      <c r="CZ33" s="7">
        <v>4.0</v>
      </c>
      <c r="DA33" s="7">
        <v>221.0</v>
      </c>
      <c r="DB33" s="7">
        <v>31.5</v>
      </c>
      <c r="DC33" s="7">
        <v>14.2</v>
      </c>
      <c r="DD33" s="7"/>
      <c r="DE33" s="7"/>
      <c r="DF33" s="7"/>
      <c r="DG33" s="7"/>
      <c r="DH33" s="7"/>
      <c r="DI33" s="7"/>
      <c r="DJ33" s="7"/>
      <c r="DK33" s="7"/>
      <c r="DL33" s="7"/>
      <c r="DM33" s="7">
        <v>4.6</v>
      </c>
      <c r="DN33" s="7">
        <v>155.0</v>
      </c>
      <c r="DO33" s="7" t="str">
        <f t="shared" si="15"/>
        <v>Норма</v>
      </c>
      <c r="DP33" s="7">
        <v>3.0</v>
      </c>
      <c r="DQ33" s="7">
        <v>359.0</v>
      </c>
      <c r="DR33" s="7">
        <v>7.0</v>
      </c>
      <c r="DS33" s="23"/>
      <c r="DT33" s="7">
        <v>51.2</v>
      </c>
      <c r="DU33" s="7">
        <v>12.0</v>
      </c>
      <c r="DV33" s="7">
        <v>1.01</v>
      </c>
      <c r="DW33" s="9"/>
      <c r="DX33" s="9"/>
      <c r="DY33" s="7">
        <v>38.6</v>
      </c>
      <c r="DZ33" s="7">
        <v>10.8</v>
      </c>
      <c r="EA33" s="7">
        <v>0.91</v>
      </c>
      <c r="EB33" s="7"/>
      <c r="EC33" s="7">
        <v>13.2</v>
      </c>
      <c r="ED33" s="7">
        <v>3.9</v>
      </c>
      <c r="EE33" s="9"/>
      <c r="EF33" s="9"/>
      <c r="EG33" s="7">
        <v>70.0</v>
      </c>
      <c r="EH33" s="7">
        <v>9.4</v>
      </c>
      <c r="EI33" s="7">
        <v>2.0</v>
      </c>
      <c r="EJ33" s="7">
        <v>90.0</v>
      </c>
      <c r="EK33" s="14">
        <f t="shared" si="16"/>
        <v>56.80495113</v>
      </c>
      <c r="EL33" s="11" t="str">
        <f t="shared" si="17"/>
        <v>C3a</v>
      </c>
      <c r="EM33" s="9"/>
      <c r="EN33" s="9"/>
      <c r="EO33" s="9"/>
      <c r="EP33" s="9"/>
      <c r="EQ33" s="7">
        <v>63.0</v>
      </c>
      <c r="ER33" s="7">
        <v>15.2</v>
      </c>
      <c r="ES33" s="7">
        <v>3.2</v>
      </c>
      <c r="ET33" s="7">
        <v>100.0</v>
      </c>
      <c r="EU33" s="11">
        <f t="shared" si="18"/>
        <v>50.01098225</v>
      </c>
      <c r="EV33" s="11" t="str">
        <f t="shared" si="19"/>
        <v>C3a</v>
      </c>
      <c r="EW33" s="9"/>
      <c r="EX33" s="9"/>
      <c r="EY33" s="9" t="str">
        <f t="shared" si="20"/>
        <v>#DIV/0!</v>
      </c>
      <c r="EZ33" s="9" t="str">
        <f t="shared" si="21"/>
        <v>#DIV/0!</v>
      </c>
      <c r="FA33" s="9" t="str">
        <f t="shared" si="22"/>
        <v>#DIV/0!</v>
      </c>
      <c r="FB33" s="9"/>
      <c r="FC33" s="1" t="s">
        <v>148</v>
      </c>
    </row>
    <row r="34">
      <c r="A34" s="7">
        <v>33.0</v>
      </c>
      <c r="B34" s="21">
        <v>33.0</v>
      </c>
      <c r="C34" s="7">
        <v>20979.0</v>
      </c>
      <c r="D34" s="1" t="s">
        <v>148</v>
      </c>
      <c r="E34" s="7">
        <v>67.0</v>
      </c>
      <c r="F34" s="1" t="s">
        <v>161</v>
      </c>
      <c r="G34" s="22"/>
      <c r="H34" s="22"/>
      <c r="I34" s="9"/>
      <c r="J34" s="9"/>
      <c r="K34" s="9"/>
      <c r="L34" s="9"/>
      <c r="M34" s="9"/>
      <c r="N34" s="9"/>
      <c r="O34" s="1" t="str">
        <f t="shared" si="1"/>
        <v>нет</v>
      </c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1"/>
      <c r="AE34" s="1" t="s">
        <v>150</v>
      </c>
      <c r="AF34" s="9"/>
      <c r="AG34" s="1" t="s">
        <v>162</v>
      </c>
      <c r="AH34" s="1" t="s">
        <v>152</v>
      </c>
      <c r="AI34" s="1" t="s">
        <v>168</v>
      </c>
      <c r="AJ34" s="7">
        <v>1.0</v>
      </c>
      <c r="AK34" s="1" t="s">
        <v>150</v>
      </c>
      <c r="AL34" s="1"/>
      <c r="AM34" s="1"/>
      <c r="AN34" s="1">
        <v>15.0</v>
      </c>
      <c r="AO34" s="1" t="str">
        <f t="shared" si="2"/>
        <v>нет</v>
      </c>
      <c r="AP34" s="9"/>
      <c r="AQ34" s="9"/>
      <c r="AR34" s="9" t="str">
        <f t="shared" si="3"/>
        <v>#DIV/0!</v>
      </c>
      <c r="AS34" s="7" t="str">
        <f t="shared" si="4"/>
        <v>#DIV/0!</v>
      </c>
      <c r="AT34" s="7">
        <v>140.0</v>
      </c>
      <c r="AU34" s="7">
        <v>70.0</v>
      </c>
      <c r="AV34" s="8">
        <v>105.0</v>
      </c>
      <c r="AW34" s="7">
        <v>88.0</v>
      </c>
      <c r="AX34" s="7">
        <v>37.2</v>
      </c>
      <c r="AY34" s="7">
        <v>28.0</v>
      </c>
      <c r="AZ34" s="7">
        <v>93.0</v>
      </c>
      <c r="BA34" s="10" t="str">
        <f t="shared" si="5"/>
        <v>да</v>
      </c>
      <c r="BB34" s="9"/>
      <c r="BC34" s="11"/>
      <c r="BD34" s="12" t="str">
        <f t="shared" si="6"/>
        <v>#DIV/0!</v>
      </c>
      <c r="BE34" s="12">
        <f t="shared" si="7"/>
        <v>1</v>
      </c>
      <c r="BF34" s="12">
        <f t="shared" si="8"/>
        <v>5</v>
      </c>
      <c r="BG34" s="9"/>
      <c r="BH34" s="9"/>
      <c r="BI34" s="1" t="s">
        <v>150</v>
      </c>
      <c r="BJ34" s="9"/>
      <c r="BK34" s="1" t="s">
        <v>150</v>
      </c>
      <c r="BL34" s="9"/>
      <c r="BM34" s="1" t="s">
        <v>154</v>
      </c>
      <c r="BN34" s="1" t="s">
        <v>155</v>
      </c>
      <c r="BO34" s="9"/>
      <c r="BP34" s="9"/>
      <c r="BQ34" s="7">
        <v>12.0</v>
      </c>
      <c r="BR34" s="9"/>
      <c r="BS34" s="9"/>
      <c r="BT34" s="9"/>
      <c r="BU34" s="9"/>
      <c r="BV34" s="7">
        <v>4.0</v>
      </c>
      <c r="BW34" s="1" t="s">
        <v>154</v>
      </c>
      <c r="BX34" s="1" t="s">
        <v>154</v>
      </c>
      <c r="BY34" s="1" t="s">
        <v>173</v>
      </c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1" t="s">
        <v>221</v>
      </c>
      <c r="CM34" s="7">
        <v>10.0</v>
      </c>
      <c r="CN34" s="7"/>
      <c r="CO34" s="7">
        <f t="shared" si="9"/>
        <v>0</v>
      </c>
      <c r="CP34" s="7"/>
      <c r="CQ34" s="7">
        <f t="shared" si="10"/>
        <v>0</v>
      </c>
      <c r="CR34" s="7"/>
      <c r="CS34" s="7">
        <f t="shared" si="11"/>
        <v>0</v>
      </c>
      <c r="CT34" s="7"/>
      <c r="CU34" s="7">
        <f t="shared" si="12"/>
        <v>0</v>
      </c>
      <c r="CV34" s="7" t="str">
        <f t="shared" si="13"/>
        <v>#DIV/0!</v>
      </c>
      <c r="CW34" s="7">
        <v>4.0</v>
      </c>
      <c r="CX34" s="7">
        <v>123.0</v>
      </c>
      <c r="CY34" s="7" t="str">
        <f t="shared" si="14"/>
        <v>Легкая степень</v>
      </c>
      <c r="CZ34" s="7">
        <v>45.0</v>
      </c>
      <c r="DA34" s="7">
        <v>238.0</v>
      </c>
      <c r="DB34" s="7">
        <v>17.2</v>
      </c>
      <c r="DC34" s="9"/>
      <c r="DD34" s="7"/>
      <c r="DE34" s="7"/>
      <c r="DF34" s="7"/>
      <c r="DG34" s="7"/>
      <c r="DH34" s="7"/>
      <c r="DI34" s="7"/>
      <c r="DJ34" s="7"/>
      <c r="DK34" s="7"/>
      <c r="DL34" s="7"/>
      <c r="DM34" s="7">
        <v>3.9</v>
      </c>
      <c r="DN34" s="7">
        <v>119.0</v>
      </c>
      <c r="DO34" s="7" t="str">
        <f t="shared" si="15"/>
        <v>Легкая степень</v>
      </c>
      <c r="DP34" s="7">
        <v>45.0</v>
      </c>
      <c r="DQ34" s="7">
        <v>371.0</v>
      </c>
      <c r="DR34" s="7">
        <v>8.0</v>
      </c>
      <c r="DS34" s="23"/>
      <c r="DT34" s="7">
        <v>35.0</v>
      </c>
      <c r="DU34" s="7">
        <v>13.8</v>
      </c>
      <c r="DV34" s="7">
        <v>1.16</v>
      </c>
      <c r="DW34" s="7">
        <v>0.6</v>
      </c>
      <c r="DX34" s="9"/>
      <c r="DY34" s="7">
        <v>29.1</v>
      </c>
      <c r="DZ34" s="7">
        <v>12.6</v>
      </c>
      <c r="EA34" s="7">
        <v>1.06</v>
      </c>
      <c r="EB34" s="7"/>
      <c r="EC34" s="7">
        <v>18.0</v>
      </c>
      <c r="ED34" s="7">
        <v>17.2</v>
      </c>
      <c r="EE34" s="7">
        <v>36.0</v>
      </c>
      <c r="EF34" s="7">
        <v>21.0</v>
      </c>
      <c r="EG34" s="7">
        <v>72.0</v>
      </c>
      <c r="EH34" s="7">
        <v>10.2</v>
      </c>
      <c r="EI34" s="7">
        <v>1.9</v>
      </c>
      <c r="EJ34" s="7">
        <v>150.0</v>
      </c>
      <c r="EK34" s="14">
        <f t="shared" si="16"/>
        <v>30.84763004</v>
      </c>
      <c r="EL34" s="11" t="str">
        <f t="shared" si="17"/>
        <v>C3b</v>
      </c>
      <c r="EM34" s="9"/>
      <c r="EN34" s="9"/>
      <c r="EO34" s="7">
        <v>26.0</v>
      </c>
      <c r="EP34" s="7">
        <v>21.0</v>
      </c>
      <c r="EQ34" s="7">
        <v>59.0</v>
      </c>
      <c r="ER34" s="7">
        <v>12.7</v>
      </c>
      <c r="ES34" s="7">
        <v>2.8</v>
      </c>
      <c r="ET34" s="7">
        <v>110.0</v>
      </c>
      <c r="EU34" s="11">
        <f t="shared" si="18"/>
        <v>44.88201842</v>
      </c>
      <c r="EV34" s="11" t="str">
        <f t="shared" si="19"/>
        <v>C3b</v>
      </c>
      <c r="EW34" s="9"/>
      <c r="EX34" s="9"/>
      <c r="EY34" s="9" t="str">
        <f t="shared" si="20"/>
        <v>#DIV/0!</v>
      </c>
      <c r="EZ34" s="9" t="str">
        <f t="shared" si="21"/>
        <v>#DIV/0!</v>
      </c>
      <c r="FA34" s="9" t="str">
        <f t="shared" si="22"/>
        <v>#DIV/0!</v>
      </c>
      <c r="FB34" s="9"/>
      <c r="FC34" s="1" t="s">
        <v>148</v>
      </c>
    </row>
    <row r="35">
      <c r="A35" s="7">
        <v>34.0</v>
      </c>
      <c r="B35" s="21">
        <v>34.0</v>
      </c>
      <c r="C35" s="7">
        <v>21290.0</v>
      </c>
      <c r="D35" s="1" t="s">
        <v>148</v>
      </c>
      <c r="E35" s="7">
        <v>46.0</v>
      </c>
      <c r="F35" s="1" t="s">
        <v>161</v>
      </c>
      <c r="G35" s="22"/>
      <c r="H35" s="22"/>
      <c r="I35" s="9"/>
      <c r="J35" s="9"/>
      <c r="K35" s="9"/>
      <c r="L35" s="9"/>
      <c r="M35" s="9"/>
      <c r="N35" s="9"/>
      <c r="O35" s="1" t="str">
        <f t="shared" si="1"/>
        <v>нет</v>
      </c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1"/>
      <c r="AE35" s="1" t="s">
        <v>150</v>
      </c>
      <c r="AF35" s="9"/>
      <c r="AG35" s="1" t="s">
        <v>162</v>
      </c>
      <c r="AH35" s="1" t="s">
        <v>152</v>
      </c>
      <c r="AI35" s="1" t="s">
        <v>153</v>
      </c>
      <c r="AJ35" s="7">
        <v>2.0</v>
      </c>
      <c r="AK35" s="1" t="s">
        <v>150</v>
      </c>
      <c r="AL35" s="1"/>
      <c r="AM35" s="1"/>
      <c r="AN35" s="1">
        <v>15.0</v>
      </c>
      <c r="AO35" s="1" t="str">
        <f t="shared" si="2"/>
        <v>нет</v>
      </c>
      <c r="AP35" s="9"/>
      <c r="AQ35" s="9"/>
      <c r="AR35" s="9" t="str">
        <f t="shared" si="3"/>
        <v>#DIV/0!</v>
      </c>
      <c r="AS35" s="7" t="str">
        <f t="shared" si="4"/>
        <v>#DIV/0!</v>
      </c>
      <c r="AT35" s="7">
        <v>127.0</v>
      </c>
      <c r="AU35" s="7">
        <v>81.0</v>
      </c>
      <c r="AV35" s="8">
        <v>104.0</v>
      </c>
      <c r="AW35" s="7">
        <v>78.0</v>
      </c>
      <c r="AX35" s="7">
        <v>38.0</v>
      </c>
      <c r="AY35" s="7">
        <v>21.0</v>
      </c>
      <c r="AZ35" s="7">
        <v>95.0</v>
      </c>
      <c r="BA35" s="10" t="str">
        <f t="shared" si="5"/>
        <v>да</v>
      </c>
      <c r="BB35" s="9"/>
      <c r="BC35" s="11"/>
      <c r="BD35" s="12" t="str">
        <f t="shared" si="6"/>
        <v>#DIV/0!</v>
      </c>
      <c r="BE35" s="12">
        <f t="shared" si="7"/>
        <v>0</v>
      </c>
      <c r="BF35" s="12">
        <f t="shared" si="8"/>
        <v>3</v>
      </c>
      <c r="BG35" s="9"/>
      <c r="BH35" s="9"/>
      <c r="BI35" s="1" t="s">
        <v>150</v>
      </c>
      <c r="BJ35" s="9"/>
      <c r="BK35" s="1" t="s">
        <v>150</v>
      </c>
      <c r="BL35" s="9"/>
      <c r="BM35" s="1" t="s">
        <v>154</v>
      </c>
      <c r="BN35" s="1" t="s">
        <v>155</v>
      </c>
      <c r="BO35" s="9"/>
      <c r="BP35" s="9"/>
      <c r="BQ35" s="7">
        <v>16.0</v>
      </c>
      <c r="BR35" s="9"/>
      <c r="BS35" s="9"/>
      <c r="BT35" s="9"/>
      <c r="BU35" s="9"/>
      <c r="BV35" s="7">
        <v>4.0</v>
      </c>
      <c r="BW35" s="1" t="s">
        <v>150</v>
      </c>
      <c r="BX35" s="1" t="s">
        <v>154</v>
      </c>
      <c r="BY35" s="1" t="s">
        <v>173</v>
      </c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1" t="s">
        <v>222</v>
      </c>
      <c r="CM35" s="7">
        <v>3.1</v>
      </c>
      <c r="CN35" s="7"/>
      <c r="CO35" s="7">
        <f t="shared" si="9"/>
        <v>0</v>
      </c>
      <c r="CP35" s="7"/>
      <c r="CQ35" s="7">
        <f t="shared" si="10"/>
        <v>0</v>
      </c>
      <c r="CR35" s="7"/>
      <c r="CS35" s="7">
        <f t="shared" si="11"/>
        <v>0</v>
      </c>
      <c r="CT35" s="7"/>
      <c r="CU35" s="7">
        <f t="shared" si="12"/>
        <v>0</v>
      </c>
      <c r="CV35" s="7" t="str">
        <f t="shared" si="13"/>
        <v>#DIV/0!</v>
      </c>
      <c r="CW35" s="7">
        <v>4.2</v>
      </c>
      <c r="CX35" s="7">
        <v>124.0</v>
      </c>
      <c r="CY35" s="7" t="str">
        <f t="shared" si="14"/>
        <v>Легкая степень</v>
      </c>
      <c r="CZ35" s="7">
        <v>44.0</v>
      </c>
      <c r="DA35" s="7">
        <v>248.0</v>
      </c>
      <c r="DB35" s="7">
        <v>122.0</v>
      </c>
      <c r="DC35" s="7">
        <v>5.3</v>
      </c>
      <c r="DD35" s="7"/>
      <c r="DE35" s="7"/>
      <c r="DF35" s="7"/>
      <c r="DG35" s="7"/>
      <c r="DH35" s="7"/>
      <c r="DI35" s="7"/>
      <c r="DJ35" s="7"/>
      <c r="DK35" s="7"/>
      <c r="DL35" s="7"/>
      <c r="DM35" s="7">
        <v>4.2</v>
      </c>
      <c r="DN35" s="7">
        <v>120.0</v>
      </c>
      <c r="DO35" s="7" t="str">
        <f t="shared" si="15"/>
        <v>Легкая степень</v>
      </c>
      <c r="DP35" s="7">
        <v>25.0</v>
      </c>
      <c r="DQ35" s="7">
        <v>304.0</v>
      </c>
      <c r="DR35" s="9"/>
      <c r="DS35" s="23"/>
      <c r="DT35" s="7">
        <v>28.1</v>
      </c>
      <c r="DU35" s="7">
        <v>11.5</v>
      </c>
      <c r="DV35" s="7">
        <v>1.04</v>
      </c>
      <c r="DW35" s="9"/>
      <c r="DX35" s="9"/>
      <c r="DY35" s="7">
        <v>25.2</v>
      </c>
      <c r="DZ35" s="7">
        <v>11.3</v>
      </c>
      <c r="EA35" s="7">
        <v>1.02</v>
      </c>
      <c r="EB35" s="9"/>
      <c r="EC35" s="9"/>
      <c r="ED35" s="7">
        <v>4.5</v>
      </c>
      <c r="EE35" s="7">
        <v>26.0</v>
      </c>
      <c r="EF35" s="7">
        <v>46.0</v>
      </c>
      <c r="EG35" s="7">
        <v>79.0</v>
      </c>
      <c r="EH35" s="7">
        <v>6.0</v>
      </c>
      <c r="EI35" s="7">
        <v>1.1</v>
      </c>
      <c r="EJ35" s="7">
        <v>150.0</v>
      </c>
      <c r="EK35" s="14">
        <f t="shared" si="16"/>
        <v>35.75094989</v>
      </c>
      <c r="EL35" s="11" t="str">
        <f t="shared" si="17"/>
        <v>C3b</v>
      </c>
      <c r="EM35" s="9"/>
      <c r="EN35" s="9"/>
      <c r="EO35" s="7">
        <v>127.0</v>
      </c>
      <c r="EP35" s="7">
        <v>140.0</v>
      </c>
      <c r="EQ35" s="7">
        <v>68.0</v>
      </c>
      <c r="ER35" s="7">
        <v>8.0</v>
      </c>
      <c r="ES35" s="7">
        <v>1.0</v>
      </c>
      <c r="ET35" s="7">
        <v>70.0</v>
      </c>
      <c r="EU35" s="11">
        <f t="shared" si="18"/>
        <v>89.83765086</v>
      </c>
      <c r="EV35" s="11" t="str">
        <f t="shared" si="19"/>
        <v>C2</v>
      </c>
      <c r="EW35" s="9"/>
      <c r="EX35" s="9"/>
      <c r="EY35" s="9" t="str">
        <f t="shared" si="20"/>
        <v>#DIV/0!</v>
      </c>
      <c r="EZ35" s="9" t="str">
        <f t="shared" si="21"/>
        <v>#DIV/0!</v>
      </c>
      <c r="FA35" s="9" t="str">
        <f t="shared" si="22"/>
        <v>#DIV/0!</v>
      </c>
      <c r="FB35" s="9"/>
      <c r="FC35" s="1" t="s">
        <v>148</v>
      </c>
    </row>
    <row r="36">
      <c r="A36" s="7">
        <v>35.0</v>
      </c>
      <c r="B36" s="21">
        <v>35.0</v>
      </c>
      <c r="C36" s="7">
        <v>25639.0</v>
      </c>
      <c r="D36" s="1" t="s">
        <v>148</v>
      </c>
      <c r="E36" s="7">
        <v>63.0</v>
      </c>
      <c r="F36" s="1" t="s">
        <v>149</v>
      </c>
      <c r="G36" s="22"/>
      <c r="H36" s="22"/>
      <c r="I36" s="9"/>
      <c r="J36" s="9"/>
      <c r="K36" s="9"/>
      <c r="L36" s="9"/>
      <c r="M36" s="9"/>
      <c r="N36" s="9"/>
      <c r="O36" s="1" t="str">
        <f t="shared" si="1"/>
        <v>нет</v>
      </c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1"/>
      <c r="AE36" s="1" t="s">
        <v>150</v>
      </c>
      <c r="AF36" s="9"/>
      <c r="AG36" s="1" t="s">
        <v>162</v>
      </c>
      <c r="AH36" s="1" t="s">
        <v>152</v>
      </c>
      <c r="AI36" s="1" t="s">
        <v>168</v>
      </c>
      <c r="AJ36" s="7">
        <v>3.0</v>
      </c>
      <c r="AK36" s="1" t="s">
        <v>154</v>
      </c>
      <c r="AL36" s="1"/>
      <c r="AM36" s="1"/>
      <c r="AN36" s="1">
        <v>15.0</v>
      </c>
      <c r="AO36" s="1" t="str">
        <f t="shared" si="2"/>
        <v>нет</v>
      </c>
      <c r="AP36" s="9"/>
      <c r="AQ36" s="9"/>
      <c r="AR36" s="9" t="str">
        <f t="shared" si="3"/>
        <v>#DIV/0!</v>
      </c>
      <c r="AS36" s="7" t="str">
        <f t="shared" si="4"/>
        <v>#DIV/0!</v>
      </c>
      <c r="AT36" s="7">
        <v>140.0</v>
      </c>
      <c r="AU36" s="7">
        <v>80.0</v>
      </c>
      <c r="AV36" s="8">
        <v>110.0</v>
      </c>
      <c r="AW36" s="7">
        <v>92.0</v>
      </c>
      <c r="AX36" s="7">
        <v>37.2</v>
      </c>
      <c r="AY36" s="7">
        <v>25.0</v>
      </c>
      <c r="AZ36" s="7">
        <v>84.0</v>
      </c>
      <c r="BA36" s="10" t="str">
        <f t="shared" si="5"/>
        <v>да</v>
      </c>
      <c r="BB36" s="7">
        <v>90.0</v>
      </c>
      <c r="BC36" s="11"/>
      <c r="BD36" s="12" t="str">
        <f t="shared" si="6"/>
        <v>#DIV/0!</v>
      </c>
      <c r="BE36" s="12">
        <f t="shared" si="7"/>
        <v>1</v>
      </c>
      <c r="BF36" s="12">
        <f t="shared" si="8"/>
        <v>7</v>
      </c>
      <c r="BG36" s="9"/>
      <c r="BH36" s="9"/>
      <c r="BI36" s="1" t="s">
        <v>150</v>
      </c>
      <c r="BJ36" s="9"/>
      <c r="BK36" s="1" t="s">
        <v>150</v>
      </c>
      <c r="BL36" s="9"/>
      <c r="BM36" s="1" t="s">
        <v>154</v>
      </c>
      <c r="BN36" s="1" t="s">
        <v>155</v>
      </c>
      <c r="BO36" s="9"/>
      <c r="BP36" s="9"/>
      <c r="BQ36" s="9"/>
      <c r="BR36" s="9"/>
      <c r="BS36" s="9"/>
      <c r="BT36" s="9"/>
      <c r="BU36" s="9"/>
      <c r="BV36" s="7">
        <v>4.0</v>
      </c>
      <c r="BW36" s="1" t="s">
        <v>154</v>
      </c>
      <c r="BX36" s="1" t="s">
        <v>154</v>
      </c>
      <c r="BY36" s="1" t="s">
        <v>173</v>
      </c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1" t="s">
        <v>223</v>
      </c>
      <c r="CM36" s="1"/>
      <c r="CN36" s="1"/>
      <c r="CO36" s="7">
        <f t="shared" si="9"/>
        <v>0</v>
      </c>
      <c r="CP36" s="1"/>
      <c r="CQ36" s="7">
        <f t="shared" si="10"/>
        <v>0</v>
      </c>
      <c r="CR36" s="1"/>
      <c r="CS36" s="7">
        <f t="shared" si="11"/>
        <v>0</v>
      </c>
      <c r="CT36" s="1"/>
      <c r="CU36" s="7">
        <f t="shared" si="12"/>
        <v>0</v>
      </c>
      <c r="CV36" s="7" t="str">
        <f t="shared" si="13"/>
        <v>#DIV/0!</v>
      </c>
      <c r="CW36" s="1"/>
      <c r="CX36" s="1"/>
      <c r="CY36" s="7" t="str">
        <f t="shared" si="14"/>
        <v>Тяжелая степень</v>
      </c>
      <c r="CZ36" s="1"/>
      <c r="DA36" s="9"/>
      <c r="DB36" s="9"/>
      <c r="DC36" s="7">
        <v>10.6</v>
      </c>
      <c r="DD36" s="7"/>
      <c r="DE36" s="7"/>
      <c r="DF36" s="7"/>
      <c r="DG36" s="7"/>
      <c r="DH36" s="7"/>
      <c r="DI36" s="7"/>
      <c r="DJ36" s="7"/>
      <c r="DK36" s="7"/>
      <c r="DL36" s="7"/>
      <c r="DM36" s="7">
        <v>4.8</v>
      </c>
      <c r="DN36" s="7">
        <v>138.0</v>
      </c>
      <c r="DO36" s="7" t="str">
        <f t="shared" si="15"/>
        <v>Норма</v>
      </c>
      <c r="DP36" s="7">
        <v>20.0</v>
      </c>
      <c r="DQ36" s="7">
        <v>325.0</v>
      </c>
      <c r="DR36" s="7">
        <v>23.1</v>
      </c>
      <c r="DS36" s="23"/>
      <c r="DT36" s="9"/>
      <c r="DU36" s="9"/>
      <c r="DV36" s="9"/>
      <c r="DW36" s="9"/>
      <c r="DX36" s="9"/>
      <c r="DY36" s="7">
        <v>34.6</v>
      </c>
      <c r="DZ36" s="7">
        <v>13.9</v>
      </c>
      <c r="EA36" s="7">
        <v>1.17</v>
      </c>
      <c r="EB36" s="9"/>
      <c r="EC36" s="9"/>
      <c r="ED36" s="9"/>
      <c r="EE36" s="9"/>
      <c r="EF36" s="9"/>
      <c r="EG36" s="9"/>
      <c r="EH36" s="9"/>
      <c r="EI36" s="9"/>
      <c r="EJ36" s="9"/>
      <c r="EK36" s="14" t="str">
        <f t="shared" si="16"/>
        <v>#NUM!</v>
      </c>
      <c r="EL36" s="11" t="str">
        <f t="shared" si="17"/>
        <v>#NUM!</v>
      </c>
      <c r="EM36" s="9"/>
      <c r="EN36" s="9"/>
      <c r="EO36" s="7">
        <v>23.0</v>
      </c>
      <c r="EP36" s="7">
        <v>20.0</v>
      </c>
      <c r="EQ36" s="7">
        <v>63.0</v>
      </c>
      <c r="ER36" s="7">
        <v>23.1</v>
      </c>
      <c r="ES36" s="7">
        <v>4.8</v>
      </c>
      <c r="ET36" s="7">
        <v>60.0</v>
      </c>
      <c r="EU36" s="11">
        <f t="shared" si="18"/>
        <v>93.45867282</v>
      </c>
      <c r="EV36" s="11" t="str">
        <f t="shared" si="19"/>
        <v>C1</v>
      </c>
      <c r="EW36" s="9"/>
      <c r="EX36" s="9"/>
      <c r="EY36" s="9" t="str">
        <f t="shared" si="20"/>
        <v>#DIV/0!</v>
      </c>
      <c r="EZ36" s="9" t="str">
        <f t="shared" si="21"/>
        <v>#DIV/0!</v>
      </c>
      <c r="FA36" s="9" t="str">
        <f t="shared" si="22"/>
        <v>#DIV/0!</v>
      </c>
      <c r="FB36" s="9"/>
      <c r="FC36" s="1" t="s">
        <v>148</v>
      </c>
    </row>
    <row r="37">
      <c r="A37" s="7">
        <v>36.0</v>
      </c>
      <c r="B37" s="21">
        <v>36.0</v>
      </c>
      <c r="C37" s="7">
        <v>19820.0</v>
      </c>
      <c r="D37" s="1" t="s">
        <v>148</v>
      </c>
      <c r="E37" s="7">
        <v>55.0</v>
      </c>
      <c r="F37" s="1" t="s">
        <v>149</v>
      </c>
      <c r="G37" s="22"/>
      <c r="H37" s="22"/>
      <c r="I37" s="9"/>
      <c r="J37" s="9"/>
      <c r="K37" s="9"/>
      <c r="L37" s="9"/>
      <c r="M37" s="9"/>
      <c r="N37" s="9"/>
      <c r="O37" s="1" t="str">
        <f t="shared" si="1"/>
        <v>нет</v>
      </c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"/>
      <c r="AE37" s="1" t="s">
        <v>150</v>
      </c>
      <c r="AF37" s="9"/>
      <c r="AG37" s="1" t="s">
        <v>162</v>
      </c>
      <c r="AH37" s="1" t="s">
        <v>152</v>
      </c>
      <c r="AI37" s="1" t="s">
        <v>168</v>
      </c>
      <c r="AJ37" s="7">
        <v>2.0</v>
      </c>
      <c r="AK37" s="1" t="s">
        <v>154</v>
      </c>
      <c r="AL37" s="1"/>
      <c r="AM37" s="1"/>
      <c r="AN37" s="1">
        <v>15.0</v>
      </c>
      <c r="AO37" s="1" t="str">
        <f t="shared" si="2"/>
        <v>нет</v>
      </c>
      <c r="AP37" s="9"/>
      <c r="AQ37" s="9"/>
      <c r="AR37" s="9" t="str">
        <f t="shared" si="3"/>
        <v>#DIV/0!</v>
      </c>
      <c r="AS37" s="7" t="str">
        <f t="shared" si="4"/>
        <v>#DIV/0!</v>
      </c>
      <c r="AT37" s="7">
        <v>138.0</v>
      </c>
      <c r="AU37" s="7">
        <v>84.0</v>
      </c>
      <c r="AV37" s="8">
        <v>111.0</v>
      </c>
      <c r="AW37" s="7">
        <v>120.0</v>
      </c>
      <c r="AX37" s="7">
        <v>37.8</v>
      </c>
      <c r="AY37" s="7">
        <v>32.0</v>
      </c>
      <c r="AZ37" s="7">
        <v>87.0</v>
      </c>
      <c r="BA37" s="10" t="str">
        <f t="shared" si="5"/>
        <v>да</v>
      </c>
      <c r="BB37" s="9"/>
      <c r="BC37" s="11"/>
      <c r="BD37" s="12" t="str">
        <f t="shared" si="6"/>
        <v>#DIV/0!</v>
      </c>
      <c r="BE37" s="12">
        <f t="shared" si="7"/>
        <v>1</v>
      </c>
      <c r="BF37" s="12">
        <f t="shared" si="8"/>
        <v>8</v>
      </c>
      <c r="BG37" s="9"/>
      <c r="BH37" s="9"/>
      <c r="BI37" s="1" t="s">
        <v>150</v>
      </c>
      <c r="BJ37" s="9"/>
      <c r="BK37" s="1" t="s">
        <v>150</v>
      </c>
      <c r="BL37" s="9"/>
      <c r="BM37" s="1" t="s">
        <v>154</v>
      </c>
      <c r="BN37" s="1" t="s">
        <v>155</v>
      </c>
      <c r="BO37" s="9"/>
      <c r="BP37" s="9"/>
      <c r="BQ37" s="7">
        <v>12.0</v>
      </c>
      <c r="BR37" s="9"/>
      <c r="BS37" s="9"/>
      <c r="BT37" s="9"/>
      <c r="BU37" s="9"/>
      <c r="BV37" s="7">
        <v>4.0</v>
      </c>
      <c r="BW37" s="1" t="s">
        <v>150</v>
      </c>
      <c r="BX37" s="1" t="s">
        <v>154</v>
      </c>
      <c r="BY37" s="1" t="s">
        <v>173</v>
      </c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1" t="s">
        <v>224</v>
      </c>
      <c r="CM37" s="7">
        <v>5.9</v>
      </c>
      <c r="CN37" s="7"/>
      <c r="CO37" s="7">
        <f t="shared" si="9"/>
        <v>0</v>
      </c>
      <c r="CP37" s="7"/>
      <c r="CQ37" s="7">
        <f t="shared" si="10"/>
        <v>0</v>
      </c>
      <c r="CR37" s="7"/>
      <c r="CS37" s="7">
        <f t="shared" si="11"/>
        <v>0</v>
      </c>
      <c r="CT37" s="7"/>
      <c r="CU37" s="7">
        <f t="shared" si="12"/>
        <v>0</v>
      </c>
      <c r="CV37" s="7" t="str">
        <f t="shared" si="13"/>
        <v>#DIV/0!</v>
      </c>
      <c r="CW37" s="7">
        <v>4.3</v>
      </c>
      <c r="CX37" s="7">
        <v>127.0</v>
      </c>
      <c r="CY37" s="7" t="str">
        <f t="shared" si="14"/>
        <v>Легкая степень</v>
      </c>
      <c r="CZ37" s="9"/>
      <c r="DA37" s="7">
        <v>180.0</v>
      </c>
      <c r="DB37" s="7">
        <v>132.0</v>
      </c>
      <c r="DC37" s="7">
        <v>12.8</v>
      </c>
      <c r="DD37" s="7"/>
      <c r="DE37" s="7"/>
      <c r="DF37" s="7"/>
      <c r="DG37" s="7"/>
      <c r="DH37" s="7"/>
      <c r="DI37" s="7"/>
      <c r="DJ37" s="7"/>
      <c r="DK37" s="7"/>
      <c r="DL37" s="7"/>
      <c r="DM37" s="7">
        <v>4.6</v>
      </c>
      <c r="DN37" s="7">
        <v>144.0</v>
      </c>
      <c r="DO37" s="7" t="str">
        <f t="shared" si="15"/>
        <v>Норма</v>
      </c>
      <c r="DP37" s="7">
        <v>12.0</v>
      </c>
      <c r="DQ37" s="7">
        <v>356.0</v>
      </c>
      <c r="DR37" s="7">
        <v>10.4</v>
      </c>
      <c r="DS37" s="23"/>
      <c r="DT37" s="7">
        <v>29.6</v>
      </c>
      <c r="DU37" s="7">
        <v>11.3</v>
      </c>
      <c r="DV37" s="7">
        <v>1.0</v>
      </c>
      <c r="DW37" s="9"/>
      <c r="DX37" s="9"/>
      <c r="DY37" s="7">
        <v>33.0</v>
      </c>
      <c r="DZ37" s="7">
        <v>11.4</v>
      </c>
      <c r="EA37" s="7">
        <v>0.96</v>
      </c>
      <c r="EB37" s="7"/>
      <c r="EC37" s="7">
        <v>11.8</v>
      </c>
      <c r="ED37" s="7">
        <v>9.7</v>
      </c>
      <c r="EE37" s="7">
        <v>59.0</v>
      </c>
      <c r="EF37" s="7">
        <v>50.0</v>
      </c>
      <c r="EG37" s="7">
        <v>70.0</v>
      </c>
      <c r="EH37" s="7">
        <v>14.8</v>
      </c>
      <c r="EI37" s="7">
        <v>2.6</v>
      </c>
      <c r="EJ37" s="7">
        <v>100.0</v>
      </c>
      <c r="EK37" s="14">
        <f t="shared" si="16"/>
        <v>54.79300942</v>
      </c>
      <c r="EL37" s="11" t="str">
        <f t="shared" si="17"/>
        <v>C3a</v>
      </c>
      <c r="EM37" s="9"/>
      <c r="EN37" s="9"/>
      <c r="EO37" s="7">
        <v>27.0</v>
      </c>
      <c r="EP37" s="7">
        <v>93.0</v>
      </c>
      <c r="EQ37" s="7">
        <v>67.0</v>
      </c>
      <c r="ER37" s="7">
        <v>35.0</v>
      </c>
      <c r="ES37" s="7">
        <v>7.0</v>
      </c>
      <c r="ET37" s="7">
        <v>100.0</v>
      </c>
      <c r="EU37" s="11">
        <f t="shared" si="18"/>
        <v>54.79300942</v>
      </c>
      <c r="EV37" s="11" t="str">
        <f t="shared" si="19"/>
        <v>C3a</v>
      </c>
      <c r="EW37" s="9"/>
      <c r="EX37" s="9"/>
      <c r="EY37" s="9" t="str">
        <f t="shared" si="20"/>
        <v>#DIV/0!</v>
      </c>
      <c r="EZ37" s="9" t="str">
        <f t="shared" si="21"/>
        <v>#DIV/0!</v>
      </c>
      <c r="FA37" s="9" t="str">
        <f t="shared" si="22"/>
        <v>#DIV/0!</v>
      </c>
      <c r="FB37" s="9"/>
      <c r="FC37" s="1" t="s">
        <v>148</v>
      </c>
    </row>
    <row r="38">
      <c r="A38" s="7">
        <v>37.0</v>
      </c>
      <c r="B38" s="21">
        <v>37.0</v>
      </c>
      <c r="C38" s="7">
        <v>21223.0</v>
      </c>
      <c r="D38" s="1" t="s">
        <v>148</v>
      </c>
      <c r="E38" s="7">
        <v>57.0</v>
      </c>
      <c r="F38" s="1" t="s">
        <v>149</v>
      </c>
      <c r="G38" s="22"/>
      <c r="H38" s="22"/>
      <c r="I38" s="9"/>
      <c r="J38" s="9"/>
      <c r="K38" s="9"/>
      <c r="L38" s="9"/>
      <c r="M38" s="9"/>
      <c r="N38" s="9"/>
      <c r="O38" s="1" t="str">
        <f t="shared" si="1"/>
        <v>нет</v>
      </c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1"/>
      <c r="AE38" s="1" t="s">
        <v>150</v>
      </c>
      <c r="AF38" s="9"/>
      <c r="AG38" s="1" t="s">
        <v>162</v>
      </c>
      <c r="AH38" s="1" t="s">
        <v>152</v>
      </c>
      <c r="AI38" s="1" t="s">
        <v>153</v>
      </c>
      <c r="AJ38" s="7">
        <v>3.0</v>
      </c>
      <c r="AK38" s="1" t="s">
        <v>150</v>
      </c>
      <c r="AL38" s="1"/>
      <c r="AM38" s="1"/>
      <c r="AN38" s="1">
        <v>15.0</v>
      </c>
      <c r="AO38" s="1" t="str">
        <f t="shared" si="2"/>
        <v>нет</v>
      </c>
      <c r="AP38" s="9"/>
      <c r="AQ38" s="9"/>
      <c r="AR38" s="9" t="str">
        <f t="shared" si="3"/>
        <v>#DIV/0!</v>
      </c>
      <c r="AS38" s="7" t="str">
        <f t="shared" si="4"/>
        <v>#DIV/0!</v>
      </c>
      <c r="AT38" s="7">
        <v>127.0</v>
      </c>
      <c r="AU38" s="7">
        <v>80.0</v>
      </c>
      <c r="AV38" s="8">
        <v>103.5</v>
      </c>
      <c r="AW38" s="7">
        <v>73.0</v>
      </c>
      <c r="AX38" s="7">
        <v>38.6</v>
      </c>
      <c r="AY38" s="7">
        <v>24.0</v>
      </c>
      <c r="AZ38" s="7">
        <v>94.0</v>
      </c>
      <c r="BA38" s="10" t="str">
        <f t="shared" si="5"/>
        <v>да</v>
      </c>
      <c r="BB38" s="9"/>
      <c r="BC38" s="11"/>
      <c r="BD38" s="12" t="str">
        <f t="shared" si="6"/>
        <v>#DIV/0!</v>
      </c>
      <c r="BE38" s="12">
        <f t="shared" si="7"/>
        <v>1</v>
      </c>
      <c r="BF38" s="12">
        <f t="shared" si="8"/>
        <v>4</v>
      </c>
      <c r="BG38" s="9"/>
      <c r="BH38" s="9"/>
      <c r="BI38" s="1" t="s">
        <v>175</v>
      </c>
      <c r="BJ38" s="9"/>
      <c r="BK38" s="1" t="s">
        <v>189</v>
      </c>
      <c r="BL38" s="9"/>
      <c r="BM38" s="1" t="s">
        <v>154</v>
      </c>
      <c r="BN38" s="1" t="s">
        <v>155</v>
      </c>
      <c r="BO38" s="9"/>
      <c r="BP38" s="9"/>
      <c r="BQ38" s="7">
        <v>18.0</v>
      </c>
      <c r="BR38" s="9"/>
      <c r="BS38" s="9"/>
      <c r="BT38" s="9"/>
      <c r="BU38" s="9"/>
      <c r="BV38" s="7">
        <v>4.0</v>
      </c>
      <c r="BW38" s="1" t="s">
        <v>150</v>
      </c>
      <c r="BX38" s="1" t="s">
        <v>154</v>
      </c>
      <c r="BY38" s="1" t="s">
        <v>173</v>
      </c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1" t="s">
        <v>225</v>
      </c>
      <c r="CM38" s="7">
        <v>6.5</v>
      </c>
      <c r="CN38" s="7"/>
      <c r="CO38" s="7">
        <f t="shared" si="9"/>
        <v>0</v>
      </c>
      <c r="CP38" s="7"/>
      <c r="CQ38" s="7">
        <f t="shared" si="10"/>
        <v>0</v>
      </c>
      <c r="CR38" s="7"/>
      <c r="CS38" s="7">
        <f t="shared" si="11"/>
        <v>0</v>
      </c>
      <c r="CT38" s="7"/>
      <c r="CU38" s="7">
        <f t="shared" si="12"/>
        <v>0</v>
      </c>
      <c r="CV38" s="7" t="str">
        <f t="shared" si="13"/>
        <v>#DIV/0!</v>
      </c>
      <c r="CW38" s="7">
        <v>4.8</v>
      </c>
      <c r="CX38" s="7">
        <v>148.0</v>
      </c>
      <c r="CY38" s="7" t="str">
        <f t="shared" si="14"/>
        <v>Норма</v>
      </c>
      <c r="CZ38" s="7">
        <v>14.0</v>
      </c>
      <c r="DA38" s="7">
        <v>196.0</v>
      </c>
      <c r="DB38" s="7">
        <v>117.0</v>
      </c>
      <c r="DC38" s="7">
        <v>21.8</v>
      </c>
      <c r="DD38" s="7"/>
      <c r="DE38" s="7"/>
      <c r="DF38" s="7"/>
      <c r="DG38" s="7"/>
      <c r="DH38" s="7"/>
      <c r="DI38" s="7"/>
      <c r="DJ38" s="7"/>
      <c r="DK38" s="7"/>
      <c r="DL38" s="7"/>
      <c r="DM38" s="7">
        <v>4.3</v>
      </c>
      <c r="DN38" s="7">
        <v>137.0</v>
      </c>
      <c r="DO38" s="7" t="str">
        <f t="shared" si="15"/>
        <v>Норма</v>
      </c>
      <c r="DP38" s="7">
        <v>1.0</v>
      </c>
      <c r="DQ38" s="7">
        <v>294.0</v>
      </c>
      <c r="DR38" s="7">
        <v>0.8</v>
      </c>
      <c r="DS38" s="23"/>
      <c r="DT38" s="7">
        <v>39.0</v>
      </c>
      <c r="DU38" s="7">
        <v>11.2</v>
      </c>
      <c r="DV38" s="7">
        <v>0.94</v>
      </c>
      <c r="DW38" s="7">
        <v>4.2</v>
      </c>
      <c r="DX38" s="9"/>
      <c r="DY38" s="7">
        <v>21.4</v>
      </c>
      <c r="DZ38" s="7">
        <v>10.3</v>
      </c>
      <c r="EA38" s="7">
        <v>0.92</v>
      </c>
      <c r="EB38" s="7"/>
      <c r="EC38" s="7">
        <v>10.6</v>
      </c>
      <c r="ED38" s="7">
        <v>5.9</v>
      </c>
      <c r="EE38" s="7">
        <v>6.0</v>
      </c>
      <c r="EF38" s="7">
        <v>43.0</v>
      </c>
      <c r="EG38" s="7">
        <v>65.0</v>
      </c>
      <c r="EH38" s="7">
        <v>15.7</v>
      </c>
      <c r="EI38" s="7">
        <v>4.8</v>
      </c>
      <c r="EJ38" s="7">
        <v>100.0</v>
      </c>
      <c r="EK38" s="14">
        <f t="shared" si="16"/>
        <v>54.02859214</v>
      </c>
      <c r="EL38" s="11" t="str">
        <f t="shared" si="17"/>
        <v>C3a</v>
      </c>
      <c r="EM38" s="9"/>
      <c r="EN38" s="9"/>
      <c r="EO38" s="7">
        <v>86.0</v>
      </c>
      <c r="EP38" s="7">
        <v>26.0</v>
      </c>
      <c r="EQ38" s="7">
        <v>53.0</v>
      </c>
      <c r="ER38" s="7">
        <v>8.8</v>
      </c>
      <c r="ES38" s="7">
        <v>1.1</v>
      </c>
      <c r="ET38" s="7">
        <v>50.0</v>
      </c>
      <c r="EU38" s="11">
        <f t="shared" si="18"/>
        <v>103.5081981</v>
      </c>
      <c r="EV38" s="11" t="str">
        <f t="shared" si="19"/>
        <v>C1</v>
      </c>
      <c r="EW38" s="9"/>
      <c r="EX38" s="9"/>
      <c r="EY38" s="9" t="str">
        <f t="shared" si="20"/>
        <v>#DIV/0!</v>
      </c>
      <c r="EZ38" s="9" t="str">
        <f t="shared" si="21"/>
        <v>#DIV/0!</v>
      </c>
      <c r="FA38" s="9" t="str">
        <f t="shared" si="22"/>
        <v>#DIV/0!</v>
      </c>
      <c r="FB38" s="9"/>
      <c r="FC38" s="1" t="s">
        <v>148</v>
      </c>
    </row>
    <row r="39">
      <c r="A39" s="7">
        <v>38.0</v>
      </c>
      <c r="B39" s="21">
        <v>38.0</v>
      </c>
      <c r="C39" s="7">
        <v>18914.0</v>
      </c>
      <c r="D39" s="1" t="s">
        <v>148</v>
      </c>
      <c r="E39" s="7">
        <v>52.0</v>
      </c>
      <c r="F39" s="1" t="s">
        <v>161</v>
      </c>
      <c r="G39" s="22"/>
      <c r="H39" s="22"/>
      <c r="I39" s="9"/>
      <c r="J39" s="9"/>
      <c r="K39" s="9"/>
      <c r="L39" s="9"/>
      <c r="M39" s="9"/>
      <c r="N39" s="9"/>
      <c r="O39" s="1" t="str">
        <f t="shared" si="1"/>
        <v>нет</v>
      </c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1"/>
      <c r="AE39" s="1" t="s">
        <v>150</v>
      </c>
      <c r="AF39" s="9"/>
      <c r="AG39" s="1" t="s">
        <v>162</v>
      </c>
      <c r="AH39" s="1" t="s">
        <v>152</v>
      </c>
      <c r="AI39" s="1" t="s">
        <v>168</v>
      </c>
      <c r="AJ39" s="7">
        <v>3.0</v>
      </c>
      <c r="AK39" s="1" t="s">
        <v>154</v>
      </c>
      <c r="AL39" s="1"/>
      <c r="AM39" s="1"/>
      <c r="AN39" s="1">
        <v>15.0</v>
      </c>
      <c r="AO39" s="1" t="str">
        <f t="shared" si="2"/>
        <v>нет</v>
      </c>
      <c r="AP39" s="9"/>
      <c r="AQ39" s="9"/>
      <c r="AR39" s="9" t="str">
        <f t="shared" si="3"/>
        <v>#DIV/0!</v>
      </c>
      <c r="AS39" s="7" t="str">
        <f t="shared" si="4"/>
        <v>#DIV/0!</v>
      </c>
      <c r="AT39" s="7">
        <v>130.0</v>
      </c>
      <c r="AU39" s="7">
        <v>80.0</v>
      </c>
      <c r="AV39" s="8">
        <v>105.0</v>
      </c>
      <c r="AW39" s="7">
        <v>107.0</v>
      </c>
      <c r="AX39" s="7">
        <v>36.6</v>
      </c>
      <c r="AY39" s="7">
        <v>24.0</v>
      </c>
      <c r="AZ39" s="7">
        <v>90.0</v>
      </c>
      <c r="BA39" s="10" t="str">
        <f t="shared" si="5"/>
        <v>да</v>
      </c>
      <c r="BB39" s="9"/>
      <c r="BC39" s="11"/>
      <c r="BD39" s="12" t="str">
        <f t="shared" si="6"/>
        <v>#DIV/0!</v>
      </c>
      <c r="BE39" s="12">
        <f t="shared" si="7"/>
        <v>1</v>
      </c>
      <c r="BF39" s="12">
        <f t="shared" si="8"/>
        <v>6</v>
      </c>
      <c r="BG39" s="9"/>
      <c r="BH39" s="9"/>
      <c r="BI39" s="1" t="s">
        <v>226</v>
      </c>
      <c r="BK39" s="1" t="s">
        <v>150</v>
      </c>
      <c r="BL39" s="9"/>
      <c r="BM39" s="1" t="s">
        <v>154</v>
      </c>
      <c r="BN39" s="1" t="s">
        <v>155</v>
      </c>
      <c r="BO39" s="9"/>
      <c r="BP39" s="9"/>
      <c r="BQ39" s="7">
        <v>270.0</v>
      </c>
      <c r="BR39" s="9"/>
      <c r="BS39" s="9"/>
      <c r="BT39" s="9"/>
      <c r="BU39" s="9"/>
      <c r="BV39" s="7">
        <v>4.0</v>
      </c>
      <c r="BW39" s="1" t="s">
        <v>150</v>
      </c>
      <c r="BX39" s="1" t="s">
        <v>154</v>
      </c>
      <c r="BY39" s="1" t="s">
        <v>173</v>
      </c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1" t="s">
        <v>227</v>
      </c>
      <c r="CM39" s="7">
        <v>10.3</v>
      </c>
      <c r="CN39" s="7"/>
      <c r="CO39" s="7">
        <f t="shared" si="9"/>
        <v>0</v>
      </c>
      <c r="CP39" s="7"/>
      <c r="CQ39" s="7">
        <f t="shared" si="10"/>
        <v>0</v>
      </c>
      <c r="CR39" s="7"/>
      <c r="CS39" s="7">
        <f t="shared" si="11"/>
        <v>0</v>
      </c>
      <c r="CT39" s="7"/>
      <c r="CU39" s="7">
        <f t="shared" si="12"/>
        <v>0</v>
      </c>
      <c r="CV39" s="7" t="str">
        <f t="shared" si="13"/>
        <v>#DIV/0!</v>
      </c>
      <c r="CW39" s="7">
        <v>4.8</v>
      </c>
      <c r="CX39" s="7">
        <v>150.0</v>
      </c>
      <c r="CY39" s="7" t="str">
        <f t="shared" si="14"/>
        <v>Норма</v>
      </c>
      <c r="CZ39" s="7">
        <v>6.0</v>
      </c>
      <c r="DA39" s="7">
        <v>276.0</v>
      </c>
      <c r="DB39" s="7">
        <v>129.0</v>
      </c>
      <c r="DC39" s="7">
        <v>15.8</v>
      </c>
      <c r="DD39" s="7"/>
      <c r="DE39" s="7"/>
      <c r="DF39" s="7"/>
      <c r="DG39" s="7"/>
      <c r="DH39" s="7"/>
      <c r="DI39" s="7"/>
      <c r="DJ39" s="7"/>
      <c r="DK39" s="7"/>
      <c r="DL39" s="7"/>
      <c r="DM39" s="7">
        <v>4.3</v>
      </c>
      <c r="DN39" s="7">
        <v>132.0</v>
      </c>
      <c r="DO39" s="7" t="str">
        <f t="shared" si="15"/>
        <v>Норма</v>
      </c>
      <c r="DP39" s="7">
        <v>2.0</v>
      </c>
      <c r="DQ39" s="7">
        <v>347.0</v>
      </c>
      <c r="DR39" s="7">
        <v>4.2</v>
      </c>
      <c r="DS39" s="23"/>
      <c r="DT39" s="7">
        <v>101.5</v>
      </c>
      <c r="DU39" s="7">
        <v>12.5</v>
      </c>
      <c r="DV39" s="7">
        <v>1.0</v>
      </c>
      <c r="DW39" s="9"/>
      <c r="DX39" s="9"/>
      <c r="DY39" s="7">
        <v>38.6</v>
      </c>
      <c r="DZ39" s="7">
        <v>11.4</v>
      </c>
      <c r="EA39" s="7">
        <v>0.96</v>
      </c>
      <c r="EB39" s="7"/>
      <c r="EC39" s="7">
        <v>5.0</v>
      </c>
      <c r="ED39" s="7">
        <v>10.6</v>
      </c>
      <c r="EE39" s="7">
        <v>38.0</v>
      </c>
      <c r="EF39" s="7">
        <v>41.0</v>
      </c>
      <c r="EG39" s="7">
        <v>79.0</v>
      </c>
      <c r="EH39" s="7">
        <v>14.9</v>
      </c>
      <c r="EI39" s="7">
        <v>4.4</v>
      </c>
      <c r="EJ39" s="7">
        <v>100.0</v>
      </c>
      <c r="EK39" s="14">
        <f t="shared" si="16"/>
        <v>55.95996169</v>
      </c>
      <c r="EL39" s="11" t="str">
        <f t="shared" si="17"/>
        <v>C3a</v>
      </c>
      <c r="EM39" s="9"/>
      <c r="EN39" s="9"/>
      <c r="EO39" s="7">
        <v>23.0</v>
      </c>
      <c r="EP39" s="7">
        <v>16.0</v>
      </c>
      <c r="EQ39" s="7">
        <v>62.0</v>
      </c>
      <c r="ER39" s="7">
        <v>12.2</v>
      </c>
      <c r="ES39" s="7">
        <v>2.1</v>
      </c>
      <c r="ET39" s="7">
        <v>60.0</v>
      </c>
      <c r="EU39" s="11">
        <f t="shared" si="18"/>
        <v>100.9666335</v>
      </c>
      <c r="EV39" s="11" t="str">
        <f t="shared" si="19"/>
        <v>C1</v>
      </c>
      <c r="EW39" s="9"/>
      <c r="EX39" s="9"/>
      <c r="EY39" s="9" t="str">
        <f t="shared" si="20"/>
        <v>#DIV/0!</v>
      </c>
      <c r="EZ39" s="9" t="str">
        <f t="shared" si="21"/>
        <v>#DIV/0!</v>
      </c>
      <c r="FA39" s="9" t="str">
        <f t="shared" si="22"/>
        <v>#DIV/0!</v>
      </c>
      <c r="FB39" s="9"/>
      <c r="FC39" s="1" t="s">
        <v>148</v>
      </c>
    </row>
    <row r="40">
      <c r="A40" s="7">
        <v>39.0</v>
      </c>
      <c r="B40" s="21">
        <v>39.0</v>
      </c>
      <c r="C40" s="7">
        <v>18120.0</v>
      </c>
      <c r="D40" s="1" t="s">
        <v>148</v>
      </c>
      <c r="E40" s="7">
        <v>58.0</v>
      </c>
      <c r="F40" s="1" t="s">
        <v>161</v>
      </c>
      <c r="G40" s="22"/>
      <c r="H40" s="22"/>
      <c r="I40" s="9"/>
      <c r="J40" s="9"/>
      <c r="K40" s="9"/>
      <c r="L40" s="9"/>
      <c r="M40" s="9"/>
      <c r="N40" s="9"/>
      <c r="O40" s="1" t="str">
        <f t="shared" si="1"/>
        <v>нет</v>
      </c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1"/>
      <c r="AE40" s="1" t="s">
        <v>150</v>
      </c>
      <c r="AF40" s="9"/>
      <c r="AG40" s="1" t="s">
        <v>162</v>
      </c>
      <c r="AH40" s="1" t="s">
        <v>152</v>
      </c>
      <c r="AI40" s="1" t="s">
        <v>153</v>
      </c>
      <c r="AJ40" s="7">
        <v>3.0</v>
      </c>
      <c r="AK40" s="1" t="s">
        <v>154</v>
      </c>
      <c r="AL40" s="1"/>
      <c r="AM40" s="1"/>
      <c r="AN40" s="1">
        <v>15.0</v>
      </c>
      <c r="AO40" s="1" t="str">
        <f t="shared" si="2"/>
        <v>нет</v>
      </c>
      <c r="AP40" s="9"/>
      <c r="AQ40" s="9"/>
      <c r="AR40" s="9" t="str">
        <f t="shared" si="3"/>
        <v>#DIV/0!</v>
      </c>
      <c r="AS40" s="7" t="str">
        <f t="shared" si="4"/>
        <v>#DIV/0!</v>
      </c>
      <c r="AT40" s="7">
        <v>140.0</v>
      </c>
      <c r="AU40" s="7">
        <v>90.0</v>
      </c>
      <c r="AV40" s="8">
        <v>115.0</v>
      </c>
      <c r="AW40" s="7">
        <v>106.0</v>
      </c>
      <c r="AX40" s="7">
        <v>37.1</v>
      </c>
      <c r="AY40" s="7">
        <v>25.0</v>
      </c>
      <c r="AZ40" s="7">
        <v>88.0</v>
      </c>
      <c r="BA40" s="10" t="str">
        <f t="shared" si="5"/>
        <v>да</v>
      </c>
      <c r="BB40" s="9"/>
      <c r="BC40" s="11"/>
      <c r="BD40" s="12" t="str">
        <f t="shared" si="6"/>
        <v>#DIV/0!</v>
      </c>
      <c r="BE40" s="12">
        <f t="shared" si="7"/>
        <v>1</v>
      </c>
      <c r="BF40" s="12">
        <f t="shared" si="8"/>
        <v>7</v>
      </c>
      <c r="BG40" s="9"/>
      <c r="BH40" s="9"/>
      <c r="BI40" s="1" t="s">
        <v>150</v>
      </c>
      <c r="BJ40" s="9"/>
      <c r="BK40" s="1" t="s">
        <v>150</v>
      </c>
      <c r="BL40" s="9"/>
      <c r="BM40" s="1" t="s">
        <v>154</v>
      </c>
      <c r="BN40" s="1" t="s">
        <v>155</v>
      </c>
      <c r="BO40" s="9"/>
      <c r="BP40" s="9"/>
      <c r="BQ40" s="7">
        <v>36.0</v>
      </c>
      <c r="BR40" s="9"/>
      <c r="BS40" s="9"/>
      <c r="BT40" s="9"/>
      <c r="BU40" s="9"/>
      <c r="BV40" s="7">
        <v>4.0</v>
      </c>
      <c r="BW40" s="1" t="s">
        <v>150</v>
      </c>
      <c r="BX40" s="1" t="s">
        <v>154</v>
      </c>
      <c r="BY40" s="1" t="s">
        <v>173</v>
      </c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1" t="s">
        <v>222</v>
      </c>
      <c r="CM40" s="7">
        <v>5.1</v>
      </c>
      <c r="CN40" s="7"/>
      <c r="CO40" s="7">
        <f t="shared" si="9"/>
        <v>0</v>
      </c>
      <c r="CP40" s="7"/>
      <c r="CQ40" s="7">
        <f t="shared" si="10"/>
        <v>0</v>
      </c>
      <c r="CR40" s="7"/>
      <c r="CS40" s="7">
        <f t="shared" si="11"/>
        <v>0</v>
      </c>
      <c r="CT40" s="7"/>
      <c r="CU40" s="7">
        <f t="shared" si="12"/>
        <v>0</v>
      </c>
      <c r="CV40" s="7" t="str">
        <f t="shared" si="13"/>
        <v>#DIV/0!</v>
      </c>
      <c r="CW40" s="7">
        <v>4.5</v>
      </c>
      <c r="CX40" s="7">
        <v>134.0</v>
      </c>
      <c r="CY40" s="7" t="str">
        <f t="shared" si="14"/>
        <v>Норма</v>
      </c>
      <c r="CZ40" s="7">
        <v>31.0</v>
      </c>
      <c r="DA40" s="7">
        <v>298.0</v>
      </c>
      <c r="DB40" s="7">
        <v>70.4</v>
      </c>
      <c r="DC40" s="7">
        <v>11.4</v>
      </c>
      <c r="DD40" s="7"/>
      <c r="DE40" s="7"/>
      <c r="DF40" s="7"/>
      <c r="DG40" s="7"/>
      <c r="DH40" s="7"/>
      <c r="DI40" s="7"/>
      <c r="DJ40" s="7"/>
      <c r="DK40" s="7"/>
      <c r="DL40" s="7"/>
      <c r="DM40" s="7">
        <v>4.8</v>
      </c>
      <c r="DN40" s="7">
        <v>148.0</v>
      </c>
      <c r="DO40" s="7" t="str">
        <f t="shared" si="15"/>
        <v>Норма</v>
      </c>
      <c r="DP40" s="7">
        <v>32.0</v>
      </c>
      <c r="DQ40" s="7">
        <v>117.0</v>
      </c>
      <c r="DR40" s="7">
        <v>16.9</v>
      </c>
      <c r="DS40" s="23"/>
      <c r="DT40" s="7">
        <v>27.7</v>
      </c>
      <c r="DU40" s="7">
        <v>17.0</v>
      </c>
      <c r="DV40" s="7">
        <v>1.62</v>
      </c>
      <c r="DW40" s="9"/>
      <c r="DX40" s="9"/>
      <c r="DY40" s="7">
        <v>20.9</v>
      </c>
      <c r="DZ40" s="7">
        <v>10.3</v>
      </c>
      <c r="EA40" s="7">
        <v>0.92</v>
      </c>
      <c r="EB40" s="7"/>
      <c r="EC40" s="7">
        <v>3.5</v>
      </c>
      <c r="ED40" s="9"/>
      <c r="EE40" s="7">
        <v>80.0</v>
      </c>
      <c r="EF40" s="7">
        <v>29.0</v>
      </c>
      <c r="EG40" s="7">
        <v>66.9</v>
      </c>
      <c r="EH40" s="7">
        <v>12.7</v>
      </c>
      <c r="EI40" s="7">
        <v>3.4</v>
      </c>
      <c r="EJ40" s="7">
        <v>80.0</v>
      </c>
      <c r="EK40" s="14">
        <f t="shared" si="16"/>
        <v>70.26468526</v>
      </c>
      <c r="EL40" s="11" t="str">
        <f t="shared" si="17"/>
        <v>C2</v>
      </c>
      <c r="EM40" s="9"/>
      <c r="EN40" s="9"/>
      <c r="EO40" s="7">
        <v>51.0</v>
      </c>
      <c r="EP40" s="7">
        <v>13.0</v>
      </c>
      <c r="EQ40" s="7">
        <v>62.0</v>
      </c>
      <c r="ER40" s="7">
        <v>10.1</v>
      </c>
      <c r="ES40" s="7">
        <v>2.2</v>
      </c>
      <c r="ET40" s="7">
        <v>70.0</v>
      </c>
      <c r="EU40" s="11">
        <f t="shared" si="18"/>
        <v>82.57514959</v>
      </c>
      <c r="EV40" s="11" t="str">
        <f t="shared" si="19"/>
        <v>C2</v>
      </c>
      <c r="EW40" s="9"/>
      <c r="EX40" s="9"/>
      <c r="EY40" s="9" t="str">
        <f t="shared" si="20"/>
        <v>#DIV/0!</v>
      </c>
      <c r="EZ40" s="9" t="str">
        <f t="shared" si="21"/>
        <v>#DIV/0!</v>
      </c>
      <c r="FA40" s="9" t="str">
        <f t="shared" si="22"/>
        <v>#DIV/0!</v>
      </c>
      <c r="FB40" s="9"/>
      <c r="FC40" s="1" t="s">
        <v>148</v>
      </c>
    </row>
    <row r="41">
      <c r="A41" s="7">
        <v>40.0</v>
      </c>
      <c r="B41" s="21">
        <v>40.0</v>
      </c>
      <c r="C41" s="7">
        <v>22579.0</v>
      </c>
      <c r="D41" s="1" t="s">
        <v>148</v>
      </c>
      <c r="E41" s="7">
        <v>49.0</v>
      </c>
      <c r="F41" s="1" t="s">
        <v>161</v>
      </c>
      <c r="G41" s="22"/>
      <c r="H41" s="22"/>
      <c r="I41" s="9"/>
      <c r="J41" s="9"/>
      <c r="K41" s="9"/>
      <c r="L41" s="9"/>
      <c r="M41" s="9"/>
      <c r="N41" s="9"/>
      <c r="O41" s="1" t="str">
        <f t="shared" si="1"/>
        <v>нет</v>
      </c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1"/>
      <c r="AE41" s="1" t="s">
        <v>150</v>
      </c>
      <c r="AF41" s="9"/>
      <c r="AG41" s="1" t="s">
        <v>162</v>
      </c>
      <c r="AH41" s="1" t="s">
        <v>152</v>
      </c>
      <c r="AI41" s="1" t="s">
        <v>168</v>
      </c>
      <c r="AJ41" s="7">
        <v>3.0</v>
      </c>
      <c r="AK41" s="1" t="s">
        <v>154</v>
      </c>
      <c r="AL41" s="1"/>
      <c r="AM41" s="1"/>
      <c r="AN41" s="1">
        <v>15.0</v>
      </c>
      <c r="AO41" s="1" t="str">
        <f t="shared" si="2"/>
        <v>нет</v>
      </c>
      <c r="AP41" s="9"/>
      <c r="AQ41" s="9"/>
      <c r="AR41" s="9" t="str">
        <f t="shared" si="3"/>
        <v>#DIV/0!</v>
      </c>
      <c r="AS41" s="7" t="str">
        <f t="shared" si="4"/>
        <v>#DIV/0!</v>
      </c>
      <c r="AT41" s="7">
        <v>112.0</v>
      </c>
      <c r="AU41" s="7">
        <v>82.0</v>
      </c>
      <c r="AV41" s="8">
        <v>97.0</v>
      </c>
      <c r="AW41" s="7">
        <v>98.0</v>
      </c>
      <c r="AX41" s="7">
        <v>38.2</v>
      </c>
      <c r="AY41" s="7">
        <v>26.0</v>
      </c>
      <c r="AZ41" s="7">
        <v>85.0</v>
      </c>
      <c r="BA41" s="10" t="str">
        <f t="shared" si="5"/>
        <v>да</v>
      </c>
      <c r="BB41" s="7">
        <v>90.0</v>
      </c>
      <c r="BC41" s="11"/>
      <c r="BD41" s="12" t="str">
        <f t="shared" si="6"/>
        <v>#DIV/0!</v>
      </c>
      <c r="BE41" s="12">
        <f t="shared" si="7"/>
        <v>1</v>
      </c>
      <c r="BF41" s="12">
        <f t="shared" si="8"/>
        <v>8</v>
      </c>
      <c r="BG41" s="9"/>
      <c r="BH41" s="9"/>
      <c r="BI41" s="1" t="s">
        <v>150</v>
      </c>
      <c r="BJ41" s="9"/>
      <c r="BK41" s="1" t="s">
        <v>150</v>
      </c>
      <c r="BL41" s="9"/>
      <c r="BM41" s="1" t="s">
        <v>154</v>
      </c>
      <c r="BN41" s="1" t="s">
        <v>155</v>
      </c>
      <c r="BO41" s="9"/>
      <c r="BP41" s="9"/>
      <c r="BQ41" s="7">
        <v>16.0</v>
      </c>
      <c r="BR41" s="9"/>
      <c r="BS41" s="9"/>
      <c r="BT41" s="9"/>
      <c r="BU41" s="9"/>
      <c r="BV41" s="7">
        <v>4.0</v>
      </c>
      <c r="BW41" s="1" t="s">
        <v>150</v>
      </c>
      <c r="BX41" s="1" t="s">
        <v>154</v>
      </c>
      <c r="BY41" s="1" t="s">
        <v>173</v>
      </c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1" t="s">
        <v>228</v>
      </c>
      <c r="CM41" s="1"/>
      <c r="CN41" s="1"/>
      <c r="CO41" s="7">
        <f t="shared" si="9"/>
        <v>0</v>
      </c>
      <c r="CP41" s="1"/>
      <c r="CQ41" s="7">
        <f t="shared" si="10"/>
        <v>0</v>
      </c>
      <c r="CR41" s="1"/>
      <c r="CS41" s="7">
        <f t="shared" si="11"/>
        <v>0</v>
      </c>
      <c r="CT41" s="1"/>
      <c r="CU41" s="7">
        <f t="shared" si="12"/>
        <v>0</v>
      </c>
      <c r="CV41" s="7" t="str">
        <f t="shared" si="13"/>
        <v>#DIV/0!</v>
      </c>
      <c r="CW41" s="1"/>
      <c r="CX41" s="1"/>
      <c r="CY41" s="7" t="str">
        <f t="shared" si="14"/>
        <v>Тяжелая степень</v>
      </c>
      <c r="CZ41" s="9"/>
      <c r="DA41" s="9"/>
      <c r="DB41" s="9"/>
      <c r="DC41" s="7">
        <v>10.6</v>
      </c>
      <c r="DD41" s="7"/>
      <c r="DE41" s="7"/>
      <c r="DF41" s="7"/>
      <c r="DG41" s="7"/>
      <c r="DH41" s="7"/>
      <c r="DI41" s="7"/>
      <c r="DJ41" s="7"/>
      <c r="DK41" s="7"/>
      <c r="DL41" s="7"/>
      <c r="DM41" s="7">
        <v>4.7</v>
      </c>
      <c r="DN41" s="7">
        <v>127.0</v>
      </c>
      <c r="DO41" s="7" t="str">
        <f t="shared" si="15"/>
        <v>Легкая степень</v>
      </c>
      <c r="DP41" s="7">
        <v>10.0</v>
      </c>
      <c r="DQ41" s="9"/>
      <c r="DR41" s="7">
        <v>2.6</v>
      </c>
      <c r="DS41" s="23"/>
      <c r="DT41" s="9"/>
      <c r="DU41" s="9"/>
      <c r="DV41" s="9"/>
      <c r="DW41" s="9"/>
      <c r="DX41" s="9"/>
      <c r="DY41" s="7">
        <v>45.5</v>
      </c>
      <c r="DZ41" s="7">
        <v>11.9</v>
      </c>
      <c r="EA41" s="7">
        <v>1.0</v>
      </c>
      <c r="EB41" s="9"/>
      <c r="EC41" s="9"/>
      <c r="ED41" s="7">
        <v>10.1</v>
      </c>
      <c r="EE41" s="9"/>
      <c r="EF41" s="9"/>
      <c r="EG41" s="9"/>
      <c r="EH41" s="9"/>
      <c r="EI41" s="9"/>
      <c r="EJ41" s="9"/>
      <c r="EK41" s="14" t="str">
        <f t="shared" si="16"/>
        <v>#NUM!</v>
      </c>
      <c r="EL41" s="11" t="str">
        <f t="shared" si="17"/>
        <v>#NUM!</v>
      </c>
      <c r="EM41" s="9"/>
      <c r="EN41" s="9"/>
      <c r="EO41" s="7">
        <v>81.0</v>
      </c>
      <c r="EP41" s="7">
        <v>23.0</v>
      </c>
      <c r="EQ41" s="7">
        <v>70.0</v>
      </c>
      <c r="ER41" s="7">
        <v>6.1</v>
      </c>
      <c r="ES41" s="7">
        <v>1.4</v>
      </c>
      <c r="ET41" s="7">
        <v>70.0</v>
      </c>
      <c r="EU41" s="11">
        <f t="shared" si="18"/>
        <v>87.96423552</v>
      </c>
      <c r="EV41" s="11" t="str">
        <f t="shared" si="19"/>
        <v>C2</v>
      </c>
      <c r="EW41" s="9"/>
      <c r="EX41" s="9"/>
      <c r="EY41" s="9" t="str">
        <f t="shared" si="20"/>
        <v>#DIV/0!</v>
      </c>
      <c r="EZ41" s="9" t="str">
        <f t="shared" si="21"/>
        <v>#DIV/0!</v>
      </c>
      <c r="FA41" s="9" t="str">
        <f t="shared" si="22"/>
        <v>#DIV/0!</v>
      </c>
      <c r="FB41" s="9"/>
      <c r="FC41" s="1" t="s">
        <v>148</v>
      </c>
    </row>
    <row r="42">
      <c r="A42" s="7">
        <v>41.0</v>
      </c>
      <c r="B42" s="21">
        <v>41.0</v>
      </c>
      <c r="C42" s="7">
        <v>8378.0</v>
      </c>
      <c r="D42" s="1" t="s">
        <v>148</v>
      </c>
      <c r="E42" s="7">
        <v>61.0</v>
      </c>
      <c r="F42" s="1" t="s">
        <v>161</v>
      </c>
      <c r="G42" s="22"/>
      <c r="H42" s="22"/>
      <c r="I42" s="9"/>
      <c r="J42" s="9"/>
      <c r="K42" s="9"/>
      <c r="L42" s="9"/>
      <c r="M42" s="9"/>
      <c r="N42" s="9"/>
      <c r="O42" s="1" t="str">
        <f t="shared" si="1"/>
        <v>нет</v>
      </c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1"/>
      <c r="AE42" s="1" t="s">
        <v>150</v>
      </c>
      <c r="AF42" s="9"/>
      <c r="AG42" s="1" t="s">
        <v>162</v>
      </c>
      <c r="AH42" s="1" t="s">
        <v>152</v>
      </c>
      <c r="AI42" s="1" t="s">
        <v>168</v>
      </c>
      <c r="AJ42" s="7">
        <v>3.0</v>
      </c>
      <c r="AK42" s="1" t="s">
        <v>154</v>
      </c>
      <c r="AL42" s="1"/>
      <c r="AM42" s="1"/>
      <c r="AN42" s="1">
        <v>15.0</v>
      </c>
      <c r="AO42" s="1" t="str">
        <f t="shared" si="2"/>
        <v>нет</v>
      </c>
      <c r="AP42" s="9"/>
      <c r="AQ42" s="9"/>
      <c r="AR42" s="9" t="str">
        <f t="shared" si="3"/>
        <v>#DIV/0!</v>
      </c>
      <c r="AS42" s="7" t="str">
        <f t="shared" si="4"/>
        <v>#DIV/0!</v>
      </c>
      <c r="AT42" s="7">
        <v>130.0</v>
      </c>
      <c r="AU42" s="7">
        <v>70.0</v>
      </c>
      <c r="AV42" s="8">
        <v>100.0</v>
      </c>
      <c r="AW42" s="7">
        <v>76.0</v>
      </c>
      <c r="AX42" s="7">
        <v>36.7</v>
      </c>
      <c r="AY42" s="7">
        <v>25.0</v>
      </c>
      <c r="AZ42" s="7">
        <v>74.0</v>
      </c>
      <c r="BA42" s="10" t="str">
        <f t="shared" si="5"/>
        <v>да</v>
      </c>
      <c r="BB42" s="7">
        <v>95.0</v>
      </c>
      <c r="BC42" s="11"/>
      <c r="BD42" s="12" t="str">
        <f t="shared" si="6"/>
        <v>#DIV/0!</v>
      </c>
      <c r="BE42" s="12">
        <f t="shared" si="7"/>
        <v>1</v>
      </c>
      <c r="BF42" s="12">
        <f t="shared" si="8"/>
        <v>6</v>
      </c>
      <c r="BG42" s="9"/>
      <c r="BH42" s="9"/>
      <c r="BI42" s="1" t="s">
        <v>150</v>
      </c>
      <c r="BJ42" s="9"/>
      <c r="BK42" s="1" t="s">
        <v>150</v>
      </c>
      <c r="BL42" s="9"/>
      <c r="BM42" s="1" t="s">
        <v>154</v>
      </c>
      <c r="BN42" s="1" t="s">
        <v>155</v>
      </c>
      <c r="BO42" s="9"/>
      <c r="BP42" s="9"/>
      <c r="BQ42" s="7">
        <v>20.0</v>
      </c>
      <c r="BR42" s="9"/>
      <c r="BS42" s="9"/>
      <c r="BT42" s="9"/>
      <c r="BU42" s="9"/>
      <c r="BV42" s="7">
        <v>4.0</v>
      </c>
      <c r="BW42" s="1" t="s">
        <v>150</v>
      </c>
      <c r="BX42" s="1" t="s">
        <v>154</v>
      </c>
      <c r="BY42" s="1" t="s">
        <v>173</v>
      </c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1" t="s">
        <v>229</v>
      </c>
      <c r="CM42" s="7">
        <v>6.6</v>
      </c>
      <c r="CN42" s="7"/>
      <c r="CO42" s="7">
        <f t="shared" si="9"/>
        <v>0</v>
      </c>
      <c r="CP42" s="7"/>
      <c r="CQ42" s="7">
        <f t="shared" si="10"/>
        <v>0</v>
      </c>
      <c r="CR42" s="7"/>
      <c r="CS42" s="7">
        <f t="shared" si="11"/>
        <v>0</v>
      </c>
      <c r="CT42" s="7"/>
      <c r="CU42" s="7">
        <f t="shared" si="12"/>
        <v>0</v>
      </c>
      <c r="CV42" s="7" t="str">
        <f t="shared" si="13"/>
        <v>#DIV/0!</v>
      </c>
      <c r="CW42" s="7">
        <v>4.5</v>
      </c>
      <c r="CX42" s="7">
        <v>128.0</v>
      </c>
      <c r="CY42" s="7" t="str">
        <f t="shared" si="14"/>
        <v>Легкая степень</v>
      </c>
      <c r="CZ42" s="7">
        <v>17.0</v>
      </c>
      <c r="DA42" s="7">
        <v>352.0</v>
      </c>
      <c r="DB42" s="7">
        <v>178.0</v>
      </c>
      <c r="DC42" s="7">
        <v>12.5</v>
      </c>
      <c r="DD42" s="7"/>
      <c r="DE42" s="7"/>
      <c r="DF42" s="7"/>
      <c r="DG42" s="7"/>
      <c r="DH42" s="7"/>
      <c r="DI42" s="7"/>
      <c r="DJ42" s="7"/>
      <c r="DK42" s="7"/>
      <c r="DL42" s="7"/>
      <c r="DM42" s="7">
        <v>4.4</v>
      </c>
      <c r="DN42" s="7">
        <v>124.0</v>
      </c>
      <c r="DO42" s="7" t="str">
        <f t="shared" si="15"/>
        <v>Легкая степень</v>
      </c>
      <c r="DP42" s="7">
        <v>46.0</v>
      </c>
      <c r="DQ42" s="7">
        <v>485.0</v>
      </c>
      <c r="DR42" s="7">
        <v>8.5</v>
      </c>
      <c r="DS42" s="23"/>
      <c r="DT42" s="9"/>
      <c r="DU42" s="7">
        <v>10.2</v>
      </c>
      <c r="DV42" s="7">
        <v>0.86</v>
      </c>
      <c r="DW42" s="1" t="s">
        <v>230</v>
      </c>
      <c r="DX42" s="9"/>
      <c r="DY42" s="9"/>
      <c r="DZ42" s="7">
        <v>10.2</v>
      </c>
      <c r="EA42" s="7">
        <v>0.86</v>
      </c>
      <c r="EB42" s="7"/>
      <c r="EC42" s="7">
        <v>4.5</v>
      </c>
      <c r="ED42" s="7">
        <v>11.8</v>
      </c>
      <c r="EE42" s="7">
        <v>90.0</v>
      </c>
      <c r="EF42" s="7">
        <v>131.0</v>
      </c>
      <c r="EG42" s="7">
        <v>67.0</v>
      </c>
      <c r="EH42" s="7">
        <v>5.3</v>
      </c>
      <c r="EI42" s="7">
        <v>1.9</v>
      </c>
      <c r="EJ42" s="7">
        <v>100.0</v>
      </c>
      <c r="EK42" s="14">
        <f t="shared" si="16"/>
        <v>52.53160197</v>
      </c>
      <c r="EL42" s="11" t="str">
        <f t="shared" si="17"/>
        <v>C3a</v>
      </c>
      <c r="EM42" s="9"/>
      <c r="EN42" s="9"/>
      <c r="EO42" s="7">
        <v>74.0</v>
      </c>
      <c r="EP42" s="7">
        <v>55.0</v>
      </c>
      <c r="EQ42" s="7">
        <v>64.0</v>
      </c>
      <c r="ER42" s="7">
        <v>12.4</v>
      </c>
      <c r="ES42" s="7">
        <v>2.1</v>
      </c>
      <c r="ET42" s="7">
        <v>60.0</v>
      </c>
      <c r="EU42" s="11">
        <f t="shared" si="18"/>
        <v>94.78096202</v>
      </c>
      <c r="EV42" s="11" t="str">
        <f t="shared" si="19"/>
        <v>C1</v>
      </c>
      <c r="EW42" s="9"/>
      <c r="EX42" s="9"/>
      <c r="EY42" s="9" t="str">
        <f t="shared" si="20"/>
        <v>#DIV/0!</v>
      </c>
      <c r="EZ42" s="9" t="str">
        <f t="shared" si="21"/>
        <v>#DIV/0!</v>
      </c>
      <c r="FA42" s="9" t="str">
        <f t="shared" si="22"/>
        <v>#DIV/0!</v>
      </c>
      <c r="FB42" s="9"/>
      <c r="FC42" s="1" t="s">
        <v>148</v>
      </c>
    </row>
    <row r="43">
      <c r="A43" s="7">
        <v>42.0</v>
      </c>
      <c r="B43" s="21">
        <v>42.0</v>
      </c>
      <c r="C43" s="7">
        <v>23230.0</v>
      </c>
      <c r="D43" s="1" t="s">
        <v>148</v>
      </c>
      <c r="E43" s="7">
        <v>59.0</v>
      </c>
      <c r="F43" s="1" t="s">
        <v>161</v>
      </c>
      <c r="G43" s="22"/>
      <c r="H43" s="22"/>
      <c r="I43" s="9"/>
      <c r="J43" s="9"/>
      <c r="K43" s="9"/>
      <c r="L43" s="9"/>
      <c r="M43" s="9"/>
      <c r="N43" s="9"/>
      <c r="O43" s="1" t="str">
        <f t="shared" si="1"/>
        <v>нет</v>
      </c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1"/>
      <c r="AE43" s="1" t="s">
        <v>150</v>
      </c>
      <c r="AF43" s="9"/>
      <c r="AG43" s="1" t="s">
        <v>162</v>
      </c>
      <c r="AH43" s="1" t="s">
        <v>152</v>
      </c>
      <c r="AI43" s="1" t="s">
        <v>168</v>
      </c>
      <c r="AJ43" s="7">
        <v>3.0</v>
      </c>
      <c r="AK43" s="1" t="s">
        <v>154</v>
      </c>
      <c r="AL43" s="1"/>
      <c r="AM43" s="1"/>
      <c r="AN43" s="1">
        <v>15.0</v>
      </c>
      <c r="AO43" s="1" t="str">
        <f t="shared" si="2"/>
        <v>нет</v>
      </c>
      <c r="AP43" s="9"/>
      <c r="AQ43" s="9"/>
      <c r="AR43" s="9" t="str">
        <f t="shared" si="3"/>
        <v>#DIV/0!</v>
      </c>
      <c r="AS43" s="7" t="str">
        <f t="shared" si="4"/>
        <v>#DIV/0!</v>
      </c>
      <c r="AT43" s="7">
        <v>120.0</v>
      </c>
      <c r="AU43" s="7">
        <v>80.0</v>
      </c>
      <c r="AV43" s="8">
        <v>100.0</v>
      </c>
      <c r="AW43" s="7">
        <v>81.0</v>
      </c>
      <c r="AX43" s="7">
        <v>38.0</v>
      </c>
      <c r="AY43" s="7">
        <v>18.0</v>
      </c>
      <c r="AZ43" s="7">
        <v>80.0</v>
      </c>
      <c r="BA43" s="10" t="str">
        <f t="shared" si="5"/>
        <v>да</v>
      </c>
      <c r="BB43" s="7">
        <v>87.0</v>
      </c>
      <c r="BC43" s="11"/>
      <c r="BD43" s="12" t="str">
        <f t="shared" si="6"/>
        <v>#DIV/0!</v>
      </c>
      <c r="BE43" s="12">
        <f t="shared" si="7"/>
        <v>0</v>
      </c>
      <c r="BF43" s="12">
        <f t="shared" si="8"/>
        <v>3</v>
      </c>
      <c r="BG43" s="9"/>
      <c r="BH43" s="9"/>
      <c r="BI43" s="1" t="s">
        <v>150</v>
      </c>
      <c r="BJ43" s="9"/>
      <c r="BK43" s="1" t="s">
        <v>150</v>
      </c>
      <c r="BL43" s="9"/>
      <c r="BM43" s="1" t="s">
        <v>154</v>
      </c>
      <c r="BN43" s="1" t="s">
        <v>155</v>
      </c>
      <c r="BO43" s="9"/>
      <c r="BP43" s="9"/>
      <c r="BQ43" s="9"/>
      <c r="BR43" s="9"/>
      <c r="BS43" s="9"/>
      <c r="BT43" s="9"/>
      <c r="BU43" s="9"/>
      <c r="BV43" s="7">
        <v>4.0</v>
      </c>
      <c r="BW43" s="1" t="s">
        <v>150</v>
      </c>
      <c r="BX43" s="1" t="s">
        <v>154</v>
      </c>
      <c r="BY43" s="1" t="s">
        <v>173</v>
      </c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1" t="s">
        <v>222</v>
      </c>
      <c r="CN43" s="9"/>
      <c r="CO43" s="7">
        <f t="shared" si="9"/>
        <v>0</v>
      </c>
      <c r="CP43" s="9"/>
      <c r="CQ43" s="7">
        <f t="shared" si="10"/>
        <v>0</v>
      </c>
      <c r="CR43" s="9"/>
      <c r="CS43" s="7">
        <f t="shared" si="11"/>
        <v>0</v>
      </c>
      <c r="CT43" s="9"/>
      <c r="CU43" s="7">
        <f t="shared" si="12"/>
        <v>0</v>
      </c>
      <c r="CV43" s="7" t="str">
        <f t="shared" si="13"/>
        <v>#DIV/0!</v>
      </c>
      <c r="CW43" s="9"/>
      <c r="CX43" s="9"/>
      <c r="CY43" s="7" t="str">
        <f t="shared" si="14"/>
        <v>Тяжелая степень</v>
      </c>
      <c r="CZ43" s="9"/>
      <c r="DA43" s="9"/>
      <c r="DB43" s="9"/>
      <c r="DC43" s="7">
        <v>7.6</v>
      </c>
      <c r="DD43" s="7"/>
      <c r="DE43" s="7"/>
      <c r="DF43" s="7"/>
      <c r="DG43" s="7"/>
      <c r="DH43" s="7"/>
      <c r="DI43" s="7"/>
      <c r="DJ43" s="7"/>
      <c r="DK43" s="7"/>
      <c r="DL43" s="7"/>
      <c r="DM43" s="7">
        <v>4.3</v>
      </c>
      <c r="DN43" s="7">
        <v>123.0</v>
      </c>
      <c r="DO43" s="7" t="str">
        <f t="shared" si="15"/>
        <v>Легкая степень</v>
      </c>
      <c r="DP43" s="7">
        <v>30.0</v>
      </c>
      <c r="DQ43" s="7">
        <v>190.0</v>
      </c>
      <c r="DR43" s="7">
        <v>25.0</v>
      </c>
      <c r="DS43" s="23"/>
      <c r="DT43" s="9"/>
      <c r="DU43" s="9"/>
      <c r="DV43" s="9"/>
      <c r="DW43" s="9"/>
      <c r="DX43" s="9"/>
      <c r="DY43" s="7">
        <v>27.2</v>
      </c>
      <c r="DZ43" s="7">
        <v>12.4</v>
      </c>
      <c r="EA43" s="7">
        <v>1.04</v>
      </c>
      <c r="EB43" s="9"/>
      <c r="EC43" s="9"/>
      <c r="ED43" s="7">
        <v>14.9</v>
      </c>
      <c r="EE43" s="9"/>
      <c r="EF43" s="9"/>
      <c r="EG43" s="9"/>
      <c r="EH43" s="9"/>
      <c r="EI43" s="9"/>
      <c r="EJ43" s="9"/>
      <c r="EK43" s="14" t="str">
        <f t="shared" si="16"/>
        <v>#NUM!</v>
      </c>
      <c r="EL43" s="11" t="str">
        <f t="shared" si="17"/>
        <v>#NUM!</v>
      </c>
      <c r="EM43" s="9"/>
      <c r="EN43" s="9"/>
      <c r="EO43" s="7">
        <v>25.0</v>
      </c>
      <c r="EP43" s="7">
        <v>57.0</v>
      </c>
      <c r="EQ43" s="7">
        <v>68.2</v>
      </c>
      <c r="ER43" s="7">
        <v>14.5</v>
      </c>
      <c r="ES43" s="7">
        <v>2.8</v>
      </c>
      <c r="ET43" s="7">
        <v>100.0</v>
      </c>
      <c r="EU43" s="11">
        <f t="shared" si="18"/>
        <v>53.27483925</v>
      </c>
      <c r="EV43" s="11" t="str">
        <f t="shared" si="19"/>
        <v>C3a</v>
      </c>
      <c r="EW43" s="9"/>
      <c r="EX43" s="9"/>
      <c r="EY43" s="9" t="str">
        <f t="shared" si="20"/>
        <v>#DIV/0!</v>
      </c>
      <c r="EZ43" s="9" t="str">
        <f t="shared" si="21"/>
        <v>#DIV/0!</v>
      </c>
      <c r="FA43" s="9" t="str">
        <f t="shared" si="22"/>
        <v>#DIV/0!</v>
      </c>
      <c r="FB43" s="9"/>
      <c r="FC43" s="1" t="s">
        <v>148</v>
      </c>
    </row>
    <row r="44">
      <c r="A44" s="7">
        <v>43.0</v>
      </c>
      <c r="B44" s="21">
        <v>43.0</v>
      </c>
      <c r="C44" s="7">
        <v>30650.0</v>
      </c>
      <c r="D44" s="1" t="s">
        <v>148</v>
      </c>
      <c r="E44" s="7">
        <v>44.0</v>
      </c>
      <c r="F44" s="1" t="s">
        <v>161</v>
      </c>
      <c r="G44" s="22"/>
      <c r="H44" s="22"/>
      <c r="I44" s="9"/>
      <c r="J44" s="9"/>
      <c r="K44" s="9"/>
      <c r="L44" s="9"/>
      <c r="M44" s="9"/>
      <c r="N44" s="9"/>
      <c r="O44" s="1" t="str">
        <f t="shared" si="1"/>
        <v>нет</v>
      </c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1"/>
      <c r="AE44" s="1" t="s">
        <v>150</v>
      </c>
      <c r="AF44" s="9"/>
      <c r="AG44" s="1" t="s">
        <v>162</v>
      </c>
      <c r="AH44" s="1" t="s">
        <v>152</v>
      </c>
      <c r="AI44" s="1" t="s">
        <v>168</v>
      </c>
      <c r="AJ44" s="7">
        <v>3.0</v>
      </c>
      <c r="AK44" s="1" t="s">
        <v>150</v>
      </c>
      <c r="AL44" s="1"/>
      <c r="AM44" s="1"/>
      <c r="AN44" s="1">
        <v>15.0</v>
      </c>
      <c r="AO44" s="1" t="str">
        <f t="shared" si="2"/>
        <v>нет</v>
      </c>
      <c r="AP44" s="9"/>
      <c r="AQ44" s="9"/>
      <c r="AR44" s="9" t="str">
        <f t="shared" si="3"/>
        <v>#DIV/0!</v>
      </c>
      <c r="AS44" s="7" t="str">
        <f t="shared" si="4"/>
        <v>#DIV/0!</v>
      </c>
      <c r="AT44" s="7">
        <v>130.0</v>
      </c>
      <c r="AU44" s="7">
        <v>80.0</v>
      </c>
      <c r="AV44" s="8">
        <v>105.0</v>
      </c>
      <c r="AW44" s="7">
        <v>100.0</v>
      </c>
      <c r="AX44" s="7">
        <v>36.4</v>
      </c>
      <c r="AY44" s="7">
        <v>18.0</v>
      </c>
      <c r="AZ44" s="7">
        <v>95.0</v>
      </c>
      <c r="BA44" s="10" t="str">
        <f t="shared" si="5"/>
        <v>да</v>
      </c>
      <c r="BB44" s="9"/>
      <c r="BC44" s="11"/>
      <c r="BD44" s="12" t="str">
        <f t="shared" si="6"/>
        <v>#DIV/0!</v>
      </c>
      <c r="BE44" s="12">
        <f t="shared" si="7"/>
        <v>0</v>
      </c>
      <c r="BF44" s="12">
        <f t="shared" si="8"/>
        <v>2</v>
      </c>
      <c r="BG44" s="9"/>
      <c r="BH44" s="9"/>
      <c r="BI44" s="1" t="s">
        <v>150</v>
      </c>
      <c r="BJ44" s="9"/>
      <c r="BK44" s="1" t="s">
        <v>150</v>
      </c>
      <c r="BL44" s="9"/>
      <c r="BM44" s="1" t="s">
        <v>154</v>
      </c>
      <c r="BN44" s="1" t="s">
        <v>155</v>
      </c>
      <c r="BO44" s="9"/>
      <c r="BP44" s="9"/>
      <c r="BQ44" s="7">
        <v>94.0</v>
      </c>
      <c r="BR44" s="9"/>
      <c r="BS44" s="9"/>
      <c r="BT44" s="9"/>
      <c r="BU44" s="9"/>
      <c r="BV44" s="7">
        <v>4.0</v>
      </c>
      <c r="BW44" s="1" t="s">
        <v>150</v>
      </c>
      <c r="BX44" s="1" t="s">
        <v>154</v>
      </c>
      <c r="BY44" s="1" t="s">
        <v>173</v>
      </c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1" t="s">
        <v>231</v>
      </c>
      <c r="CM44" s="7">
        <v>6.1</v>
      </c>
      <c r="CN44" s="7"/>
      <c r="CO44" s="7">
        <f t="shared" si="9"/>
        <v>0</v>
      </c>
      <c r="CP44" s="7"/>
      <c r="CQ44" s="7">
        <f t="shared" si="10"/>
        <v>0</v>
      </c>
      <c r="CR44" s="7"/>
      <c r="CS44" s="7">
        <f t="shared" si="11"/>
        <v>0</v>
      </c>
      <c r="CT44" s="7"/>
      <c r="CU44" s="7">
        <f t="shared" si="12"/>
        <v>0</v>
      </c>
      <c r="CV44" s="7" t="str">
        <f t="shared" si="13"/>
        <v>#DIV/0!</v>
      </c>
      <c r="CW44" s="7">
        <v>4.6</v>
      </c>
      <c r="CX44" s="7">
        <v>141.0</v>
      </c>
      <c r="CY44" s="7" t="str">
        <f t="shared" si="14"/>
        <v>Норма</v>
      </c>
      <c r="CZ44" s="7">
        <v>7.0</v>
      </c>
      <c r="DA44" s="7">
        <v>182.0</v>
      </c>
      <c r="DB44" s="7">
        <v>54.0</v>
      </c>
      <c r="DC44" s="7">
        <v>9.3</v>
      </c>
      <c r="DD44" s="7"/>
      <c r="DE44" s="7"/>
      <c r="DF44" s="7"/>
      <c r="DG44" s="7"/>
      <c r="DH44" s="7"/>
      <c r="DI44" s="7"/>
      <c r="DJ44" s="7"/>
      <c r="DK44" s="7"/>
      <c r="DL44" s="7"/>
      <c r="DM44" s="7">
        <v>4.4</v>
      </c>
      <c r="DN44" s="7">
        <v>140.0</v>
      </c>
      <c r="DO44" s="7" t="str">
        <f t="shared" si="15"/>
        <v>Норма</v>
      </c>
      <c r="DP44" s="7">
        <v>3.0</v>
      </c>
      <c r="DQ44" s="7">
        <v>307.0</v>
      </c>
      <c r="DR44" s="7">
        <v>8.0</v>
      </c>
      <c r="DS44" s="23"/>
      <c r="DT44" s="9"/>
      <c r="DU44" s="9"/>
      <c r="DV44" s="9"/>
      <c r="DW44" s="9"/>
      <c r="DX44" s="9"/>
      <c r="DY44" s="7">
        <v>34.7</v>
      </c>
      <c r="DZ44" s="7">
        <v>12.1</v>
      </c>
      <c r="EA44" s="1" t="s">
        <v>232</v>
      </c>
      <c r="EB44" s="7"/>
      <c r="EC44" s="7">
        <v>7.9</v>
      </c>
      <c r="ED44" s="7">
        <v>14.0</v>
      </c>
      <c r="EE44" s="7">
        <v>43.0</v>
      </c>
      <c r="EF44" s="7">
        <v>71.0</v>
      </c>
      <c r="EG44" s="7">
        <v>79.0</v>
      </c>
      <c r="EH44" s="7">
        <v>6.3</v>
      </c>
      <c r="EI44" s="7">
        <v>1.0</v>
      </c>
      <c r="EJ44" s="7">
        <v>100.0</v>
      </c>
      <c r="EK44" s="14">
        <f t="shared" si="16"/>
        <v>59.19478133</v>
      </c>
      <c r="EL44" s="11" t="str">
        <f t="shared" si="17"/>
        <v>C3a</v>
      </c>
      <c r="EM44" s="9"/>
      <c r="EN44" s="9"/>
      <c r="EO44" s="7">
        <v>167.0</v>
      </c>
      <c r="EP44" s="7">
        <v>46.0</v>
      </c>
      <c r="EQ44" s="7">
        <v>71.0</v>
      </c>
      <c r="ER44" s="7">
        <v>10.8</v>
      </c>
      <c r="ES44" s="7">
        <v>3.3</v>
      </c>
      <c r="ET44" s="7">
        <v>100.0</v>
      </c>
      <c r="EU44" s="11">
        <f t="shared" si="18"/>
        <v>59.19478133</v>
      </c>
      <c r="EV44" s="11" t="str">
        <f t="shared" si="19"/>
        <v>C3a</v>
      </c>
      <c r="EW44" s="9"/>
      <c r="EX44" s="9"/>
      <c r="EY44" s="9" t="str">
        <f t="shared" si="20"/>
        <v>#DIV/0!</v>
      </c>
      <c r="EZ44" s="9" t="str">
        <f t="shared" si="21"/>
        <v>#DIV/0!</v>
      </c>
      <c r="FA44" s="9" t="str">
        <f t="shared" si="22"/>
        <v>#DIV/0!</v>
      </c>
      <c r="FB44" s="9"/>
      <c r="FC44" s="1" t="s">
        <v>148</v>
      </c>
    </row>
    <row r="45">
      <c r="A45" s="7">
        <v>44.0</v>
      </c>
      <c r="B45" s="21">
        <v>44.0</v>
      </c>
      <c r="C45" s="7">
        <v>24956.0</v>
      </c>
      <c r="D45" s="1" t="s">
        <v>148</v>
      </c>
      <c r="E45" s="7">
        <v>56.0</v>
      </c>
      <c r="F45" s="1" t="s">
        <v>149</v>
      </c>
      <c r="G45" s="22"/>
      <c r="H45" s="22"/>
      <c r="I45" s="9"/>
      <c r="J45" s="9"/>
      <c r="K45" s="9"/>
      <c r="L45" s="9"/>
      <c r="M45" s="9"/>
      <c r="N45" s="9"/>
      <c r="O45" s="1" t="str">
        <f t="shared" si="1"/>
        <v>нет</v>
      </c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1"/>
      <c r="AE45" s="1" t="s">
        <v>150</v>
      </c>
      <c r="AF45" s="9"/>
      <c r="AG45" s="1" t="s">
        <v>162</v>
      </c>
      <c r="AH45" s="1" t="s">
        <v>152</v>
      </c>
      <c r="AI45" s="1" t="s">
        <v>168</v>
      </c>
      <c r="AJ45" s="7">
        <v>3.0</v>
      </c>
      <c r="AK45" s="1" t="s">
        <v>154</v>
      </c>
      <c r="AL45" s="1"/>
      <c r="AM45" s="1"/>
      <c r="AN45" s="1">
        <v>15.0</v>
      </c>
      <c r="AO45" s="1" t="str">
        <f t="shared" si="2"/>
        <v>нет</v>
      </c>
      <c r="AP45" s="9"/>
      <c r="AQ45" s="9"/>
      <c r="AR45" s="9" t="str">
        <f t="shared" si="3"/>
        <v>#DIV/0!</v>
      </c>
      <c r="AS45" s="7" t="str">
        <f t="shared" si="4"/>
        <v>#DIV/0!</v>
      </c>
      <c r="AT45" s="7">
        <v>140.0</v>
      </c>
      <c r="AU45" s="7">
        <v>84.0</v>
      </c>
      <c r="AV45" s="8">
        <v>112.0</v>
      </c>
      <c r="AW45" s="7">
        <v>100.0</v>
      </c>
      <c r="AX45" s="7">
        <v>39.8</v>
      </c>
      <c r="AY45" s="7">
        <v>18.0</v>
      </c>
      <c r="AZ45" s="7">
        <v>90.0</v>
      </c>
      <c r="BA45" s="10" t="str">
        <f t="shared" si="5"/>
        <v>да</v>
      </c>
      <c r="BB45" s="7">
        <v>98.0</v>
      </c>
      <c r="BC45" s="11"/>
      <c r="BD45" s="12" t="str">
        <f t="shared" si="6"/>
        <v>#DIV/0!</v>
      </c>
      <c r="BE45" s="12">
        <f t="shared" si="7"/>
        <v>0</v>
      </c>
      <c r="BF45" s="12">
        <f t="shared" si="8"/>
        <v>6</v>
      </c>
      <c r="BG45" s="9"/>
      <c r="BH45" s="9"/>
      <c r="BI45" s="1" t="s">
        <v>233</v>
      </c>
      <c r="BJ45" s="9"/>
      <c r="BK45" s="1" t="s">
        <v>150</v>
      </c>
      <c r="BL45" s="9"/>
      <c r="BM45" s="1" t="s">
        <v>154</v>
      </c>
      <c r="BN45" s="1" t="s">
        <v>155</v>
      </c>
      <c r="BO45" s="9"/>
      <c r="BP45" s="9"/>
      <c r="BQ45" s="9"/>
      <c r="BR45" s="9"/>
      <c r="BS45" s="9"/>
      <c r="BT45" s="9"/>
      <c r="BU45" s="9"/>
      <c r="BV45" s="7">
        <v>4.0</v>
      </c>
      <c r="BW45" s="1" t="s">
        <v>150</v>
      </c>
      <c r="BX45" s="1" t="s">
        <v>154</v>
      </c>
      <c r="BY45" s="1" t="s">
        <v>173</v>
      </c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1" t="s">
        <v>222</v>
      </c>
      <c r="CM45" s="7">
        <v>10.4</v>
      </c>
      <c r="CN45" s="7"/>
      <c r="CO45" s="7">
        <f t="shared" si="9"/>
        <v>0</v>
      </c>
      <c r="CP45" s="7"/>
      <c r="CQ45" s="7">
        <f t="shared" si="10"/>
        <v>0</v>
      </c>
      <c r="CR45" s="7"/>
      <c r="CS45" s="7">
        <f t="shared" si="11"/>
        <v>0</v>
      </c>
      <c r="CT45" s="7"/>
      <c r="CU45" s="7">
        <f t="shared" si="12"/>
        <v>0</v>
      </c>
      <c r="CV45" s="7" t="str">
        <f t="shared" si="13"/>
        <v>#DIV/0!</v>
      </c>
      <c r="CW45" s="7">
        <v>4.7</v>
      </c>
      <c r="CX45" s="7">
        <v>143.0</v>
      </c>
      <c r="CY45" s="7" t="str">
        <f t="shared" si="14"/>
        <v>Норма</v>
      </c>
      <c r="CZ45" s="7">
        <v>2.0</v>
      </c>
      <c r="DA45" s="9"/>
      <c r="DB45" s="7">
        <v>179.3</v>
      </c>
      <c r="DC45" s="7">
        <v>15.3</v>
      </c>
      <c r="DD45" s="7"/>
      <c r="DE45" s="7"/>
      <c r="DF45" s="7"/>
      <c r="DG45" s="7"/>
      <c r="DH45" s="7"/>
      <c r="DI45" s="7"/>
      <c r="DJ45" s="7"/>
      <c r="DK45" s="7"/>
      <c r="DL45" s="7"/>
      <c r="DM45" s="7">
        <v>4.7</v>
      </c>
      <c r="DN45" s="7">
        <v>139.0</v>
      </c>
      <c r="DO45" s="7" t="str">
        <f t="shared" si="15"/>
        <v>Норма</v>
      </c>
      <c r="DP45" s="7">
        <v>2.0</v>
      </c>
      <c r="DQ45" s="9"/>
      <c r="DR45" s="7">
        <v>6.4</v>
      </c>
      <c r="DS45" s="23"/>
      <c r="DT45" s="7">
        <v>37.4</v>
      </c>
      <c r="DU45" s="7">
        <v>12.8</v>
      </c>
      <c r="DV45" s="7">
        <v>1.08</v>
      </c>
      <c r="DW45" s="9"/>
      <c r="DX45" s="9"/>
      <c r="DY45" s="7">
        <v>29.7</v>
      </c>
      <c r="DZ45" s="7">
        <v>11.8</v>
      </c>
      <c r="EA45" s="7">
        <v>0.91</v>
      </c>
      <c r="EB45" s="7"/>
      <c r="EC45" s="7">
        <v>7.9</v>
      </c>
      <c r="ED45" s="7">
        <v>8.0</v>
      </c>
      <c r="EE45" s="7">
        <v>109.0</v>
      </c>
      <c r="EF45" s="7">
        <v>92.0</v>
      </c>
      <c r="EG45" s="7">
        <v>65.7</v>
      </c>
      <c r="EH45" s="7">
        <v>15.7</v>
      </c>
      <c r="EI45" s="7">
        <v>5.6</v>
      </c>
      <c r="EJ45" s="7">
        <v>110.0</v>
      </c>
      <c r="EK45" s="14">
        <f t="shared" si="16"/>
        <v>48.48759529</v>
      </c>
      <c r="EL45" s="11" t="str">
        <f t="shared" si="17"/>
        <v>C3a</v>
      </c>
      <c r="EM45" s="9"/>
      <c r="EN45" s="9"/>
      <c r="EO45" s="7">
        <v>25.0</v>
      </c>
      <c r="EP45" s="7">
        <v>34.0</v>
      </c>
      <c r="EQ45" s="7">
        <v>52.0</v>
      </c>
      <c r="ER45" s="7">
        <v>8.6</v>
      </c>
      <c r="ES45" s="7">
        <v>1.6</v>
      </c>
      <c r="ET45" s="7">
        <v>100.0</v>
      </c>
      <c r="EU45" s="11">
        <f t="shared" si="18"/>
        <v>54.40945835</v>
      </c>
      <c r="EV45" s="11" t="str">
        <f t="shared" si="19"/>
        <v>C3a</v>
      </c>
      <c r="EW45" s="9"/>
      <c r="EX45" s="9"/>
      <c r="EY45" s="9" t="str">
        <f t="shared" si="20"/>
        <v>#DIV/0!</v>
      </c>
      <c r="EZ45" s="9" t="str">
        <f t="shared" si="21"/>
        <v>#DIV/0!</v>
      </c>
      <c r="FA45" s="9" t="str">
        <f t="shared" si="22"/>
        <v>#DIV/0!</v>
      </c>
      <c r="FB45" s="9"/>
      <c r="FC45" s="1" t="s">
        <v>148</v>
      </c>
    </row>
    <row r="46">
      <c r="A46" s="7">
        <v>45.0</v>
      </c>
      <c r="B46" s="24" t="s">
        <v>234</v>
      </c>
      <c r="C46" s="25">
        <v>2629.0</v>
      </c>
      <c r="D46" s="1" t="s">
        <v>148</v>
      </c>
      <c r="E46" s="7">
        <v>59.0</v>
      </c>
      <c r="F46" s="1" t="s">
        <v>161</v>
      </c>
      <c r="G46" s="7"/>
      <c r="H46" s="7">
        <v>18.0</v>
      </c>
      <c r="I46" s="1" t="s">
        <v>150</v>
      </c>
      <c r="J46" s="1" t="s">
        <v>154</v>
      </c>
      <c r="K46" s="1" t="s">
        <v>235</v>
      </c>
      <c r="L46" s="1" t="s">
        <v>150</v>
      </c>
      <c r="M46" s="1" t="s">
        <v>150</v>
      </c>
      <c r="N46" s="9"/>
      <c r="O46" s="1" t="str">
        <f t="shared" si="1"/>
        <v>нет</v>
      </c>
      <c r="P46" s="1" t="s">
        <v>150</v>
      </c>
      <c r="Q46" s="1" t="s">
        <v>150</v>
      </c>
      <c r="R46" s="9"/>
      <c r="S46" s="1" t="s">
        <v>150</v>
      </c>
      <c r="T46" s="9"/>
      <c r="U46" s="9"/>
      <c r="V46" s="9"/>
      <c r="W46" s="9"/>
      <c r="X46" s="9"/>
      <c r="Y46" s="1" t="s">
        <v>150</v>
      </c>
      <c r="Z46" s="9"/>
      <c r="AA46" s="9"/>
      <c r="AB46" s="9"/>
      <c r="AC46" s="9"/>
      <c r="AD46" s="26" t="s">
        <v>236</v>
      </c>
      <c r="AE46" s="1" t="s">
        <v>150</v>
      </c>
      <c r="AF46" s="7">
        <v>0.0</v>
      </c>
      <c r="AG46" s="27" t="s">
        <v>162</v>
      </c>
      <c r="AH46" s="27" t="s">
        <v>152</v>
      </c>
      <c r="AI46" s="1" t="s">
        <v>168</v>
      </c>
      <c r="AJ46" s="7">
        <v>3.0</v>
      </c>
      <c r="AK46" s="1" t="s">
        <v>5</v>
      </c>
      <c r="AL46" s="1" t="s">
        <v>150</v>
      </c>
      <c r="AM46" s="1"/>
      <c r="AN46" s="1">
        <v>15.0</v>
      </c>
      <c r="AO46" s="1" t="str">
        <f t="shared" si="2"/>
        <v>нет</v>
      </c>
      <c r="AP46" s="9"/>
      <c r="AQ46" s="9"/>
      <c r="AR46" s="9" t="str">
        <f t="shared" si="3"/>
        <v>#DIV/0!</v>
      </c>
      <c r="AS46" s="7" t="str">
        <f t="shared" si="4"/>
        <v>#DIV/0!</v>
      </c>
      <c r="AT46" s="7">
        <v>130.0</v>
      </c>
      <c r="AU46" s="7">
        <v>80.0</v>
      </c>
      <c r="AV46" s="3">
        <v>97.0</v>
      </c>
      <c r="AW46" s="7">
        <v>92.0</v>
      </c>
      <c r="AX46" s="7">
        <v>38.5</v>
      </c>
      <c r="AY46" s="7">
        <v>22.0</v>
      </c>
      <c r="AZ46" s="7">
        <v>80.0</v>
      </c>
      <c r="BA46" s="10" t="str">
        <f t="shared" si="5"/>
        <v>да</v>
      </c>
      <c r="BB46" s="9"/>
      <c r="BC46" s="11"/>
      <c r="BD46" s="12" t="str">
        <f t="shared" si="6"/>
        <v>#DIV/0!</v>
      </c>
      <c r="BE46" s="12">
        <f t="shared" si="7"/>
        <v>1</v>
      </c>
      <c r="BF46" s="12">
        <f t="shared" si="8"/>
        <v>7</v>
      </c>
      <c r="BG46" s="1" t="s">
        <v>150</v>
      </c>
      <c r="BH46" s="9"/>
      <c r="BI46" s="1" t="s">
        <v>154</v>
      </c>
      <c r="BJ46" s="1" t="s">
        <v>237</v>
      </c>
      <c r="BK46" s="1" t="s">
        <v>150</v>
      </c>
      <c r="BL46" s="9"/>
      <c r="BM46" s="1" t="s">
        <v>154</v>
      </c>
      <c r="BN46" s="1" t="s">
        <v>155</v>
      </c>
      <c r="BO46" s="1" t="s">
        <v>150</v>
      </c>
      <c r="BP46" s="9"/>
      <c r="BQ46" s="9"/>
      <c r="BR46" s="1" t="s">
        <v>154</v>
      </c>
      <c r="BS46" s="1" t="s">
        <v>238</v>
      </c>
      <c r="BT46" s="28">
        <v>8.0</v>
      </c>
      <c r="BU46" s="1" t="s">
        <v>207</v>
      </c>
      <c r="BV46" s="7">
        <v>4.0</v>
      </c>
      <c r="BW46" s="1" t="s">
        <v>150</v>
      </c>
      <c r="BX46" s="10" t="s">
        <v>154</v>
      </c>
      <c r="BY46" s="1" t="s">
        <v>239</v>
      </c>
      <c r="BZ46" s="29" t="s">
        <v>158</v>
      </c>
      <c r="CA46" s="9"/>
      <c r="CB46" s="1" t="s">
        <v>150</v>
      </c>
      <c r="CC46" s="1" t="s">
        <v>150</v>
      </c>
      <c r="CD46" s="1" t="s">
        <v>212</v>
      </c>
      <c r="CF46" s="1" t="s">
        <v>240</v>
      </c>
      <c r="CG46" s="1" t="s">
        <v>150</v>
      </c>
      <c r="CH46" s="1" t="s">
        <v>150</v>
      </c>
      <c r="CI46" s="1" t="s">
        <v>150</v>
      </c>
      <c r="CJ46" s="1" t="s">
        <v>150</v>
      </c>
      <c r="CK46" s="1" t="s">
        <v>150</v>
      </c>
      <c r="CL46" s="9"/>
      <c r="CM46" s="7">
        <v>12.19</v>
      </c>
      <c r="CN46" s="7">
        <v>9.95</v>
      </c>
      <c r="CO46" s="7">
        <f t="shared" si="9"/>
        <v>1.212905</v>
      </c>
      <c r="CP46" s="7">
        <v>1.3</v>
      </c>
      <c r="CQ46" s="7">
        <f t="shared" si="10"/>
        <v>0.015767765</v>
      </c>
      <c r="CR46" s="7">
        <v>0.91</v>
      </c>
      <c r="CS46" s="7">
        <f t="shared" si="11"/>
        <v>0.0001434866615</v>
      </c>
      <c r="CT46" s="7">
        <v>0.02</v>
      </c>
      <c r="CU46" s="7">
        <f t="shared" si="12"/>
        <v>0.0000000286973323</v>
      </c>
      <c r="CV46" s="7">
        <f t="shared" si="13"/>
        <v>76.92307692</v>
      </c>
      <c r="CW46" s="7">
        <v>4.56</v>
      </c>
      <c r="CX46" s="7">
        <v>121.0</v>
      </c>
      <c r="CY46" s="7" t="str">
        <f t="shared" si="14"/>
        <v>Легкая степень</v>
      </c>
      <c r="CZ46" s="7">
        <v>9.0</v>
      </c>
      <c r="DA46" s="7">
        <v>373.0</v>
      </c>
      <c r="DB46" s="9"/>
      <c r="DC46" s="7">
        <v>7.43</v>
      </c>
      <c r="DD46" s="7">
        <v>67.7</v>
      </c>
      <c r="DE46" s="7"/>
      <c r="DF46" s="7">
        <v>23.0</v>
      </c>
      <c r="DG46" s="7"/>
      <c r="DH46" s="7">
        <v>8.0</v>
      </c>
      <c r="DI46" s="7"/>
      <c r="DJ46" s="7">
        <v>0.4</v>
      </c>
      <c r="DK46" s="7"/>
      <c r="DL46" s="7"/>
      <c r="DM46" s="7">
        <v>4.64</v>
      </c>
      <c r="DN46" s="7">
        <v>126.0</v>
      </c>
      <c r="DO46" s="7" t="str">
        <f t="shared" si="15"/>
        <v>Легкая степень</v>
      </c>
      <c r="DP46" s="7">
        <v>3.0</v>
      </c>
      <c r="DQ46" s="7">
        <v>267.0</v>
      </c>
      <c r="DR46" s="7">
        <v>95.0</v>
      </c>
      <c r="DS46" s="13">
        <v>810.0</v>
      </c>
      <c r="DT46" s="9"/>
      <c r="DU46" s="9"/>
      <c r="DV46" s="7">
        <v>1.16</v>
      </c>
      <c r="DW46" s="1" t="s">
        <v>241</v>
      </c>
      <c r="DX46" s="9"/>
      <c r="DY46" s="9"/>
      <c r="DZ46" s="9"/>
      <c r="EA46" s="7">
        <v>0.94</v>
      </c>
      <c r="EB46" s="9"/>
      <c r="EC46" s="9"/>
      <c r="ED46" s="7">
        <v>7.03</v>
      </c>
      <c r="EE46" s="7">
        <v>63.1</v>
      </c>
      <c r="EF46" s="7">
        <v>18.9</v>
      </c>
      <c r="EG46" s="7">
        <v>52.8</v>
      </c>
      <c r="EH46" s="7">
        <v>8.4</v>
      </c>
      <c r="EI46" s="7">
        <v>2.7</v>
      </c>
      <c r="EJ46" s="9"/>
      <c r="EK46" s="14" t="str">
        <f t="shared" si="16"/>
        <v>#NUM!</v>
      </c>
      <c r="EL46" s="11" t="str">
        <f t="shared" si="17"/>
        <v>#NUM!</v>
      </c>
      <c r="EM46" s="9"/>
      <c r="EN46" s="9"/>
      <c r="EO46" s="7">
        <v>50.15</v>
      </c>
      <c r="EP46" s="7">
        <v>48.81</v>
      </c>
      <c r="EQ46" s="7">
        <v>57.3</v>
      </c>
      <c r="ER46" s="7">
        <v>12.94</v>
      </c>
      <c r="ES46" s="9"/>
      <c r="ET46" s="9"/>
      <c r="EU46" s="11" t="str">
        <f t="shared" si="18"/>
        <v>#NUM!</v>
      </c>
      <c r="EV46" s="11" t="str">
        <f t="shared" si="19"/>
        <v>#NUM!</v>
      </c>
      <c r="EW46" s="9"/>
      <c r="EX46" s="9"/>
      <c r="EY46" s="9" t="str">
        <f t="shared" si="20"/>
        <v>#DIV/0!</v>
      </c>
      <c r="EZ46" s="9" t="str">
        <f t="shared" si="21"/>
        <v>#DIV/0!</v>
      </c>
      <c r="FA46" s="9" t="str">
        <f t="shared" si="22"/>
        <v>#DIV/0!</v>
      </c>
      <c r="FB46" s="9"/>
      <c r="FC46" s="1" t="s">
        <v>148</v>
      </c>
    </row>
    <row r="47">
      <c r="A47" s="7">
        <v>46.0</v>
      </c>
      <c r="B47" s="21">
        <v>2.0</v>
      </c>
      <c r="C47" s="25">
        <v>2671.0</v>
      </c>
      <c r="D47" s="1" t="s">
        <v>148</v>
      </c>
      <c r="E47" s="7">
        <v>63.0</v>
      </c>
      <c r="F47" s="1" t="s">
        <v>161</v>
      </c>
      <c r="G47" s="7"/>
      <c r="H47" s="7">
        <v>17.0</v>
      </c>
      <c r="I47" s="1" t="s">
        <v>150</v>
      </c>
      <c r="J47" s="1" t="s">
        <v>150</v>
      </c>
      <c r="K47" s="9"/>
      <c r="L47" s="1" t="s">
        <v>150</v>
      </c>
      <c r="M47" s="1" t="s">
        <v>150</v>
      </c>
      <c r="N47" s="9"/>
      <c r="O47" s="1" t="str">
        <f t="shared" si="1"/>
        <v>нет</v>
      </c>
      <c r="P47" s="1" t="s">
        <v>150</v>
      </c>
      <c r="Q47" s="1" t="s">
        <v>154</v>
      </c>
      <c r="R47" s="7">
        <v>2.0</v>
      </c>
      <c r="S47" s="1" t="s">
        <v>150</v>
      </c>
      <c r="T47" s="9"/>
      <c r="U47" s="9"/>
      <c r="V47" s="9"/>
      <c r="W47" s="9"/>
      <c r="X47" s="9"/>
      <c r="Y47" s="1" t="s">
        <v>150</v>
      </c>
      <c r="Z47" s="9"/>
      <c r="AA47" s="9"/>
      <c r="AB47" s="9"/>
      <c r="AC47" s="9"/>
      <c r="AD47" s="26"/>
      <c r="AE47" s="1" t="s">
        <v>150</v>
      </c>
      <c r="AF47" s="7">
        <v>0.0</v>
      </c>
      <c r="AG47" s="27" t="s">
        <v>162</v>
      </c>
      <c r="AH47" s="27" t="s">
        <v>152</v>
      </c>
      <c r="AI47" s="1" t="s">
        <v>168</v>
      </c>
      <c r="AJ47" s="7">
        <v>2.0</v>
      </c>
      <c r="AK47" s="1" t="s">
        <v>5</v>
      </c>
      <c r="AL47" s="1" t="s">
        <v>150</v>
      </c>
      <c r="AM47" s="1"/>
      <c r="AN47" s="1">
        <v>15.0</v>
      </c>
      <c r="AO47" s="1" t="str">
        <f t="shared" si="2"/>
        <v>нет</v>
      </c>
      <c r="AP47" s="7">
        <v>152.0</v>
      </c>
      <c r="AQ47" s="7">
        <v>95.0</v>
      </c>
      <c r="AR47" s="9">
        <f t="shared" si="3"/>
        <v>41.11842105</v>
      </c>
      <c r="AS47" s="7" t="str">
        <f t="shared" si="4"/>
        <v>Ожирение III степени (морбидное)</v>
      </c>
      <c r="AT47" s="7">
        <v>200.0</v>
      </c>
      <c r="AU47" s="7">
        <v>120.0</v>
      </c>
      <c r="AV47" s="3">
        <v>147.0</v>
      </c>
      <c r="AW47" s="7">
        <v>87.0</v>
      </c>
      <c r="AX47" s="7">
        <v>38.2</v>
      </c>
      <c r="AY47" s="7">
        <v>19.0</v>
      </c>
      <c r="AZ47" s="7">
        <v>92.0</v>
      </c>
      <c r="BA47" s="10" t="str">
        <f t="shared" si="5"/>
        <v>да</v>
      </c>
      <c r="BB47" s="7">
        <v>97.0</v>
      </c>
      <c r="BC47" s="11"/>
      <c r="BD47" s="12" t="str">
        <f t="shared" si="6"/>
        <v>#DIV/0!</v>
      </c>
      <c r="BE47" s="12">
        <f t="shared" si="7"/>
        <v>0</v>
      </c>
      <c r="BF47" s="12">
        <f t="shared" si="8"/>
        <v>3</v>
      </c>
      <c r="BG47" s="1" t="s">
        <v>154</v>
      </c>
      <c r="BH47" s="1" t="s">
        <v>175</v>
      </c>
      <c r="BI47" s="1" t="s">
        <v>154</v>
      </c>
      <c r="BJ47" s="1" t="s">
        <v>237</v>
      </c>
      <c r="BK47" s="1" t="s">
        <v>150</v>
      </c>
      <c r="BL47" s="9"/>
      <c r="BM47" s="1" t="s">
        <v>154</v>
      </c>
      <c r="BN47" s="1" t="s">
        <v>155</v>
      </c>
      <c r="BO47" s="1" t="s">
        <v>150</v>
      </c>
      <c r="BP47" s="9"/>
      <c r="BQ47" s="9"/>
      <c r="BR47" s="1" t="s">
        <v>154</v>
      </c>
      <c r="BS47" s="1" t="s">
        <v>170</v>
      </c>
      <c r="BT47" s="28">
        <v>8.0</v>
      </c>
      <c r="BU47" s="1" t="s">
        <v>207</v>
      </c>
      <c r="BV47" s="7">
        <v>12.0</v>
      </c>
      <c r="BW47" s="1" t="s">
        <v>150</v>
      </c>
      <c r="BX47" s="10" t="s">
        <v>154</v>
      </c>
      <c r="BY47" s="1" t="s">
        <v>242</v>
      </c>
      <c r="BZ47" s="29" t="s">
        <v>158</v>
      </c>
      <c r="CA47" s="9"/>
      <c r="CB47" s="1" t="s">
        <v>150</v>
      </c>
      <c r="CC47" s="1" t="s">
        <v>150</v>
      </c>
      <c r="CD47" s="9"/>
      <c r="CE47" s="1" t="s">
        <v>150</v>
      </c>
      <c r="CF47" s="1" t="s">
        <v>240</v>
      </c>
      <c r="CG47" s="1" t="s">
        <v>150</v>
      </c>
      <c r="CH47" s="1" t="s">
        <v>150</v>
      </c>
      <c r="CI47" s="1" t="s">
        <v>150</v>
      </c>
      <c r="CJ47" s="1" t="s">
        <v>150</v>
      </c>
      <c r="CK47" s="1" t="s">
        <v>150</v>
      </c>
      <c r="CL47" s="1" t="s">
        <v>159</v>
      </c>
      <c r="CM47" s="7">
        <v>9.65</v>
      </c>
      <c r="CN47" s="7">
        <v>87.9</v>
      </c>
      <c r="CO47" s="7">
        <f t="shared" si="9"/>
        <v>8.48235</v>
      </c>
      <c r="CP47" s="7">
        <v>6.7</v>
      </c>
      <c r="CQ47" s="7">
        <f t="shared" si="10"/>
        <v>0.56831745</v>
      </c>
      <c r="CR47" s="7">
        <v>5.0</v>
      </c>
      <c r="CS47" s="7">
        <f t="shared" si="11"/>
        <v>0.0284158725</v>
      </c>
      <c r="CT47" s="7">
        <v>0.0</v>
      </c>
      <c r="CU47" s="7">
        <f t="shared" si="12"/>
        <v>0</v>
      </c>
      <c r="CV47" s="7">
        <f t="shared" si="13"/>
        <v>14.92537313</v>
      </c>
      <c r="CW47" s="7">
        <v>4.75</v>
      </c>
      <c r="CX47" s="7">
        <v>133.0</v>
      </c>
      <c r="CY47" s="7" t="str">
        <f t="shared" si="14"/>
        <v>Норма</v>
      </c>
      <c r="CZ47" s="9"/>
      <c r="DA47" s="7">
        <v>57.0</v>
      </c>
      <c r="DB47" s="7">
        <v>32.0</v>
      </c>
      <c r="DC47" s="7">
        <v>6.7</v>
      </c>
      <c r="DD47" s="7">
        <v>90.2</v>
      </c>
      <c r="DE47" s="7"/>
      <c r="DF47" s="7">
        <v>5.5</v>
      </c>
      <c r="DG47" s="7"/>
      <c r="DH47" s="7">
        <v>4.0</v>
      </c>
      <c r="DI47" s="7"/>
      <c r="DJ47" s="7">
        <v>0.0</v>
      </c>
      <c r="DK47" s="7"/>
      <c r="DL47" s="7"/>
      <c r="DM47" s="7">
        <v>4.18</v>
      </c>
      <c r="DN47" s="7">
        <v>120.0</v>
      </c>
      <c r="DO47" s="7" t="str">
        <f t="shared" si="15"/>
        <v>Легкая степень</v>
      </c>
      <c r="DP47" s="9"/>
      <c r="DQ47" s="7">
        <v>145.0</v>
      </c>
      <c r="DR47" s="9"/>
      <c r="DS47" s="13">
        <v>673.0</v>
      </c>
      <c r="DT47" s="9"/>
      <c r="DU47" s="7">
        <v>12.5</v>
      </c>
      <c r="DV47" s="7">
        <v>1.068</v>
      </c>
      <c r="DW47" s="1" t="s">
        <v>241</v>
      </c>
      <c r="DX47" s="9"/>
      <c r="DY47" s="9"/>
      <c r="DZ47" s="9"/>
      <c r="EA47" s="9"/>
      <c r="EB47" s="7"/>
      <c r="EC47" s="7">
        <v>5.57</v>
      </c>
      <c r="ED47" s="7">
        <v>11.22</v>
      </c>
      <c r="EE47" s="7">
        <v>147.8</v>
      </c>
      <c r="EF47" s="7">
        <v>72.0</v>
      </c>
      <c r="EG47" s="7">
        <v>85.0</v>
      </c>
      <c r="EH47" s="7">
        <v>8.6</v>
      </c>
      <c r="EI47" s="7">
        <v>3.1</v>
      </c>
      <c r="EJ47" s="9"/>
      <c r="EK47" s="14" t="str">
        <f t="shared" si="16"/>
        <v>#NUM!</v>
      </c>
      <c r="EL47" s="11" t="str">
        <f t="shared" si="17"/>
        <v>#NUM!</v>
      </c>
      <c r="EM47" s="9"/>
      <c r="EN47" s="9"/>
      <c r="EO47" s="7">
        <v>41.1</v>
      </c>
      <c r="EP47" s="7">
        <v>27.1</v>
      </c>
      <c r="EQ47" s="7">
        <v>48.9</v>
      </c>
      <c r="ER47" s="7">
        <v>11.0</v>
      </c>
      <c r="ES47" s="7">
        <v>2.9</v>
      </c>
      <c r="ET47" s="9"/>
      <c r="EU47" s="11" t="str">
        <f t="shared" si="18"/>
        <v>#NUM!</v>
      </c>
      <c r="EV47" s="11" t="str">
        <f t="shared" si="19"/>
        <v>#NUM!</v>
      </c>
      <c r="EW47" s="9"/>
      <c r="EX47" s="9"/>
      <c r="EY47" s="9">
        <f t="shared" si="20"/>
        <v>1.518005526</v>
      </c>
      <c r="EZ47" s="9">
        <f t="shared" si="21"/>
        <v>0.1797554036</v>
      </c>
      <c r="FA47" s="9" t="str">
        <f t="shared" si="22"/>
        <v>Благоприятный</v>
      </c>
      <c r="FB47" s="1" t="s">
        <v>150</v>
      </c>
      <c r="FC47" s="1" t="s">
        <v>148</v>
      </c>
    </row>
    <row r="48">
      <c r="A48" s="7">
        <v>47.0</v>
      </c>
      <c r="B48" s="21">
        <v>3.0</v>
      </c>
      <c r="C48" s="25">
        <v>2670.0</v>
      </c>
      <c r="D48" s="1" t="s">
        <v>148</v>
      </c>
      <c r="E48" s="7">
        <v>64.0</v>
      </c>
      <c r="F48" s="1" t="s">
        <v>149</v>
      </c>
      <c r="G48" s="7"/>
      <c r="H48" s="7">
        <v>17.0</v>
      </c>
      <c r="I48" s="1" t="s">
        <v>150</v>
      </c>
      <c r="J48" s="1" t="s">
        <v>150</v>
      </c>
      <c r="K48" s="9"/>
      <c r="L48" s="1" t="s">
        <v>150</v>
      </c>
      <c r="M48" s="1" t="s">
        <v>150</v>
      </c>
      <c r="N48" s="9"/>
      <c r="O48" s="1" t="str">
        <f t="shared" si="1"/>
        <v>нет</v>
      </c>
      <c r="P48" s="1" t="s">
        <v>150</v>
      </c>
      <c r="Q48" s="1" t="s">
        <v>154</v>
      </c>
      <c r="R48" s="7">
        <v>3.0</v>
      </c>
      <c r="S48" s="1" t="s">
        <v>150</v>
      </c>
      <c r="T48" s="9"/>
      <c r="U48" s="9"/>
      <c r="V48" s="9"/>
      <c r="W48" s="9"/>
      <c r="X48" s="9"/>
      <c r="Y48" s="1" t="s">
        <v>150</v>
      </c>
      <c r="Z48" s="9"/>
      <c r="AA48" s="9"/>
      <c r="AB48" s="9"/>
      <c r="AC48" s="9"/>
      <c r="AD48" s="26"/>
      <c r="AE48" s="1" t="s">
        <v>150</v>
      </c>
      <c r="AF48" s="7">
        <v>0.0</v>
      </c>
      <c r="AG48" s="27" t="s">
        <v>162</v>
      </c>
      <c r="AH48" s="27" t="s">
        <v>152</v>
      </c>
      <c r="AI48" s="1" t="s">
        <v>168</v>
      </c>
      <c r="AJ48" s="7">
        <v>2.0</v>
      </c>
      <c r="AK48" s="1" t="s">
        <v>5</v>
      </c>
      <c r="AL48" s="1" t="s">
        <v>150</v>
      </c>
      <c r="AM48" s="9"/>
      <c r="AN48" s="1">
        <v>15.0</v>
      </c>
      <c r="AO48" s="1" t="str">
        <f t="shared" si="2"/>
        <v>нет</v>
      </c>
      <c r="AP48" s="7">
        <v>180.0</v>
      </c>
      <c r="AQ48" s="7">
        <v>88.0</v>
      </c>
      <c r="AR48" s="9">
        <f t="shared" si="3"/>
        <v>27.16049383</v>
      </c>
      <c r="AS48" s="7" t="str">
        <f t="shared" si="4"/>
        <v>Избыточный вес (предожирение)</v>
      </c>
      <c r="AT48" s="7">
        <v>180.0</v>
      </c>
      <c r="AU48" s="7">
        <v>100.0</v>
      </c>
      <c r="AV48" s="3">
        <v>127.0</v>
      </c>
      <c r="AW48" s="7">
        <v>80.0</v>
      </c>
      <c r="AX48" s="7">
        <v>36.0</v>
      </c>
      <c r="AY48" s="7">
        <v>19.0</v>
      </c>
      <c r="AZ48" s="7">
        <v>94.0</v>
      </c>
      <c r="BA48" s="10" t="str">
        <f t="shared" si="5"/>
        <v>да</v>
      </c>
      <c r="BB48" s="7">
        <v>97.0</v>
      </c>
      <c r="BC48" s="11"/>
      <c r="BD48" s="12" t="str">
        <f t="shared" si="6"/>
        <v>#DIV/0!</v>
      </c>
      <c r="BE48" s="12">
        <f t="shared" si="7"/>
        <v>0</v>
      </c>
      <c r="BF48" s="12">
        <f t="shared" si="8"/>
        <v>2</v>
      </c>
      <c r="BG48" s="1" t="s">
        <v>154</v>
      </c>
      <c r="BH48" s="1" t="s">
        <v>175</v>
      </c>
      <c r="BI48" s="1" t="s">
        <v>154</v>
      </c>
      <c r="BJ48" s="1" t="s">
        <v>237</v>
      </c>
      <c r="BK48" s="1" t="s">
        <v>150</v>
      </c>
      <c r="BL48" s="9"/>
      <c r="BM48" s="1" t="s">
        <v>154</v>
      </c>
      <c r="BN48" s="1" t="s">
        <v>155</v>
      </c>
      <c r="BO48" s="1" t="s">
        <v>150</v>
      </c>
      <c r="BP48" s="9"/>
      <c r="BQ48" s="9"/>
      <c r="BR48" s="1" t="s">
        <v>154</v>
      </c>
      <c r="BS48" s="1" t="s">
        <v>170</v>
      </c>
      <c r="BT48" s="28">
        <v>12.0</v>
      </c>
      <c r="BU48" s="1" t="s">
        <v>207</v>
      </c>
      <c r="BV48" s="7">
        <v>12.0</v>
      </c>
      <c r="BW48" s="1" t="s">
        <v>150</v>
      </c>
      <c r="BX48" s="10" t="s">
        <v>154</v>
      </c>
      <c r="BY48" s="1" t="s">
        <v>173</v>
      </c>
      <c r="BZ48" s="29" t="s">
        <v>158</v>
      </c>
      <c r="CA48" s="9"/>
      <c r="CB48" s="1" t="s">
        <v>150</v>
      </c>
      <c r="CC48" s="1" t="s">
        <v>150</v>
      </c>
      <c r="CD48" s="9"/>
      <c r="CE48" s="1" t="s">
        <v>150</v>
      </c>
      <c r="CF48" s="1" t="s">
        <v>150</v>
      </c>
      <c r="CG48" s="1" t="s">
        <v>150</v>
      </c>
      <c r="CH48" s="1" t="s">
        <v>150</v>
      </c>
      <c r="CI48" s="1" t="s">
        <v>150</v>
      </c>
      <c r="CJ48" s="1" t="s">
        <v>150</v>
      </c>
      <c r="CK48" s="1" t="s">
        <v>150</v>
      </c>
      <c r="CL48" s="1" t="s">
        <v>159</v>
      </c>
      <c r="CM48" s="7">
        <v>10.02</v>
      </c>
      <c r="CN48" s="7">
        <v>88.2</v>
      </c>
      <c r="CO48" s="7">
        <f t="shared" si="9"/>
        <v>8.83764</v>
      </c>
      <c r="CP48" s="7">
        <v>4.5</v>
      </c>
      <c r="CQ48" s="7">
        <f t="shared" si="10"/>
        <v>0.3976938</v>
      </c>
      <c r="CR48" s="7"/>
      <c r="CS48" s="7">
        <f t="shared" si="11"/>
        <v>0</v>
      </c>
      <c r="CT48" s="7">
        <v>0.0</v>
      </c>
      <c r="CU48" s="7">
        <f t="shared" si="12"/>
        <v>0</v>
      </c>
      <c r="CV48" s="7">
        <f t="shared" si="13"/>
        <v>22.22222222</v>
      </c>
      <c r="CW48" s="7">
        <v>5.1</v>
      </c>
      <c r="CX48" s="7">
        <v>130.0</v>
      </c>
      <c r="CY48" s="7" t="str">
        <f t="shared" si="14"/>
        <v>Норма</v>
      </c>
      <c r="CZ48" s="9"/>
      <c r="DA48" s="7">
        <v>191.0</v>
      </c>
      <c r="DB48" s="7">
        <v>9.0</v>
      </c>
      <c r="DC48" s="7">
        <v>9.1</v>
      </c>
      <c r="DD48" s="7">
        <v>89.5</v>
      </c>
      <c r="DE48" s="7"/>
      <c r="DF48" s="7">
        <v>5.8</v>
      </c>
      <c r="DG48" s="7"/>
      <c r="DH48" s="7"/>
      <c r="DI48" s="7"/>
      <c r="DJ48" s="7">
        <v>0.1</v>
      </c>
      <c r="DK48" s="7"/>
      <c r="DL48" s="7"/>
      <c r="DM48" s="7">
        <v>4.7</v>
      </c>
      <c r="DN48" s="7">
        <v>122.0</v>
      </c>
      <c r="DO48" s="7" t="str">
        <f t="shared" si="15"/>
        <v>Легкая степень</v>
      </c>
      <c r="DP48" s="9"/>
      <c r="DQ48" s="7">
        <v>251.0</v>
      </c>
      <c r="DR48" s="7">
        <v>6.0</v>
      </c>
      <c r="DS48" s="13">
        <v>627.0</v>
      </c>
      <c r="DT48" s="9"/>
      <c r="DU48" s="7">
        <v>11.7</v>
      </c>
      <c r="DV48" s="7">
        <v>1.0</v>
      </c>
      <c r="DW48" s="1" t="s">
        <v>241</v>
      </c>
      <c r="DX48" s="9"/>
      <c r="DY48" s="9"/>
      <c r="DZ48" s="7">
        <v>12.4</v>
      </c>
      <c r="EA48" s="7">
        <v>1.0</v>
      </c>
      <c r="EB48" s="7"/>
      <c r="EC48" s="7">
        <v>5.57</v>
      </c>
      <c r="ED48" s="7">
        <v>5.93</v>
      </c>
      <c r="EE48" s="7">
        <v>147.8</v>
      </c>
      <c r="EF48" s="7">
        <v>72.0</v>
      </c>
      <c r="EG48" s="7">
        <v>85.0</v>
      </c>
      <c r="EH48" s="7">
        <v>8.6</v>
      </c>
      <c r="EI48" s="7">
        <v>3.1</v>
      </c>
      <c r="EJ48" s="7">
        <v>130.0</v>
      </c>
      <c r="EK48" s="14">
        <f t="shared" si="16"/>
        <v>37.45509281</v>
      </c>
      <c r="EL48" s="11" t="str">
        <f t="shared" si="17"/>
        <v>C3b</v>
      </c>
      <c r="EM48" s="9"/>
      <c r="EN48" s="9"/>
      <c r="EO48" s="7">
        <v>77.1</v>
      </c>
      <c r="EP48" s="7">
        <v>20.9</v>
      </c>
      <c r="EQ48" s="7">
        <v>51.1</v>
      </c>
      <c r="ER48" s="7">
        <v>11.6</v>
      </c>
      <c r="ES48" s="7">
        <v>3.6</v>
      </c>
      <c r="ET48" s="7">
        <v>85.0</v>
      </c>
      <c r="EU48" s="11">
        <f t="shared" si="18"/>
        <v>62.60383084</v>
      </c>
      <c r="EV48" s="11" t="str">
        <f t="shared" si="19"/>
        <v>C2</v>
      </c>
      <c r="EW48" s="7">
        <v>135.0</v>
      </c>
      <c r="EX48" s="7">
        <v>4.08</v>
      </c>
      <c r="EY48" s="9">
        <f t="shared" si="20"/>
        <v>3.492261975</v>
      </c>
      <c r="EZ48" s="9">
        <f t="shared" si="21"/>
        <v>0.02953320468</v>
      </c>
      <c r="FA48" s="9" t="str">
        <f t="shared" si="22"/>
        <v>Благоприятный</v>
      </c>
      <c r="FB48" s="1" t="s">
        <v>150</v>
      </c>
      <c r="FC48" s="1" t="s">
        <v>148</v>
      </c>
    </row>
    <row r="49">
      <c r="A49" s="7">
        <v>48.0</v>
      </c>
      <c r="B49" s="21">
        <v>4.0</v>
      </c>
      <c r="C49" s="25">
        <v>2654.0</v>
      </c>
      <c r="D49" s="1" t="s">
        <v>148</v>
      </c>
      <c r="E49" s="7">
        <v>42.0</v>
      </c>
      <c r="F49" s="1" t="s">
        <v>149</v>
      </c>
      <c r="G49" s="7"/>
      <c r="H49" s="7">
        <v>14.0</v>
      </c>
      <c r="I49" s="1" t="s">
        <v>150</v>
      </c>
      <c r="J49" s="1" t="s">
        <v>150</v>
      </c>
      <c r="K49" s="9"/>
      <c r="L49" s="1" t="s">
        <v>150</v>
      </c>
      <c r="M49" s="1" t="s">
        <v>150</v>
      </c>
      <c r="N49" s="9"/>
      <c r="O49" s="1" t="str">
        <f t="shared" si="1"/>
        <v>нет</v>
      </c>
      <c r="P49" s="1" t="s">
        <v>150</v>
      </c>
      <c r="Q49" s="1" t="s">
        <v>154</v>
      </c>
      <c r="R49" s="7">
        <v>2.0</v>
      </c>
      <c r="S49" s="1" t="s">
        <v>150</v>
      </c>
      <c r="T49" s="9"/>
      <c r="U49" s="9"/>
      <c r="V49" s="9"/>
      <c r="W49" s="9"/>
      <c r="X49" s="9"/>
      <c r="Y49" s="1" t="s">
        <v>150</v>
      </c>
      <c r="Z49" s="9"/>
      <c r="AA49" s="9"/>
      <c r="AB49" s="9"/>
      <c r="AC49" s="9"/>
      <c r="AD49" s="26" t="s">
        <v>243</v>
      </c>
      <c r="AE49" s="1" t="s">
        <v>150</v>
      </c>
      <c r="AF49" s="7">
        <v>0.0</v>
      </c>
      <c r="AG49" s="27" t="s">
        <v>162</v>
      </c>
      <c r="AH49" s="27" t="s">
        <v>152</v>
      </c>
      <c r="AI49" s="1" t="s">
        <v>168</v>
      </c>
      <c r="AJ49" s="7">
        <v>2.0</v>
      </c>
      <c r="AK49" s="1" t="s">
        <v>5</v>
      </c>
      <c r="AL49" s="1" t="s">
        <v>150</v>
      </c>
      <c r="AM49" s="9"/>
      <c r="AN49" s="1">
        <v>15.0</v>
      </c>
      <c r="AO49" s="1" t="str">
        <f t="shared" si="2"/>
        <v>нет</v>
      </c>
      <c r="AP49" s="7">
        <v>172.0</v>
      </c>
      <c r="AQ49" s="7">
        <v>88.0</v>
      </c>
      <c r="AR49" s="9">
        <f t="shared" si="3"/>
        <v>29.74580855</v>
      </c>
      <c r="AS49" s="7" t="str">
        <f t="shared" si="4"/>
        <v>Избыточный вес (предожирение)</v>
      </c>
      <c r="AT49" s="7">
        <v>137.0</v>
      </c>
      <c r="AU49" s="7">
        <v>92.0</v>
      </c>
      <c r="AV49" s="3">
        <v>107.0</v>
      </c>
      <c r="AW49" s="7">
        <v>96.0</v>
      </c>
      <c r="AX49" s="7">
        <v>38.5</v>
      </c>
      <c r="AY49" s="7">
        <v>20.0</v>
      </c>
      <c r="AZ49" s="7">
        <v>97.0</v>
      </c>
      <c r="BA49" s="10" t="str">
        <f t="shared" si="5"/>
        <v>нет</v>
      </c>
      <c r="BB49" s="9"/>
      <c r="BC49" s="11"/>
      <c r="BD49" s="12" t="str">
        <f t="shared" si="6"/>
        <v>#DIV/0!</v>
      </c>
      <c r="BE49" s="12">
        <f t="shared" si="7"/>
        <v>0</v>
      </c>
      <c r="BF49" s="12">
        <f t="shared" si="8"/>
        <v>2</v>
      </c>
      <c r="BG49" s="1" t="s">
        <v>150</v>
      </c>
      <c r="BH49" s="9"/>
      <c r="BI49" s="1" t="s">
        <v>154</v>
      </c>
      <c r="BJ49" s="1" t="s">
        <v>237</v>
      </c>
      <c r="BK49" s="1" t="s">
        <v>150</v>
      </c>
      <c r="BL49" s="9"/>
      <c r="BM49" s="1" t="s">
        <v>154</v>
      </c>
      <c r="BN49" s="1" t="s">
        <v>155</v>
      </c>
      <c r="BO49" s="1" t="s">
        <v>154</v>
      </c>
      <c r="BP49" s="1" t="s">
        <v>157</v>
      </c>
      <c r="BQ49" s="9"/>
      <c r="BR49" s="1" t="s">
        <v>154</v>
      </c>
      <c r="BS49" s="1" t="s">
        <v>170</v>
      </c>
      <c r="BT49" s="28">
        <v>12.0</v>
      </c>
      <c r="BU49" s="1" t="s">
        <v>207</v>
      </c>
      <c r="BV49" s="7">
        <v>12.0</v>
      </c>
      <c r="BW49" s="1" t="s">
        <v>150</v>
      </c>
      <c r="BX49" s="10" t="s">
        <v>154</v>
      </c>
      <c r="BY49" s="1" t="s">
        <v>173</v>
      </c>
      <c r="BZ49" s="29" t="s">
        <v>158</v>
      </c>
      <c r="CA49" s="1" t="s">
        <v>184</v>
      </c>
      <c r="CB49" s="1" t="s">
        <v>150</v>
      </c>
      <c r="CC49" s="1" t="s">
        <v>150</v>
      </c>
      <c r="CD49" s="9"/>
      <c r="CE49" s="1" t="s">
        <v>150</v>
      </c>
      <c r="CF49" s="1" t="s">
        <v>150</v>
      </c>
      <c r="CG49" s="1" t="s">
        <v>150</v>
      </c>
      <c r="CH49" s="1" t="s">
        <v>150</v>
      </c>
      <c r="CI49" s="1" t="s">
        <v>150</v>
      </c>
      <c r="CJ49" s="1" t="s">
        <v>150</v>
      </c>
      <c r="CK49" s="1" t="s">
        <v>150</v>
      </c>
      <c r="CL49" s="1" t="s">
        <v>190</v>
      </c>
      <c r="CM49" s="7">
        <v>6.68</v>
      </c>
      <c r="CN49" s="7">
        <v>86.1</v>
      </c>
      <c r="CO49" s="7">
        <f t="shared" si="9"/>
        <v>5.75148</v>
      </c>
      <c r="CP49" s="7">
        <v>6.3</v>
      </c>
      <c r="CQ49" s="7">
        <f t="shared" si="10"/>
        <v>0.36234324</v>
      </c>
      <c r="CR49" s="7">
        <v>7.5</v>
      </c>
      <c r="CS49" s="7">
        <f t="shared" si="11"/>
        <v>0.027175743</v>
      </c>
      <c r="CT49" s="7">
        <v>0.0</v>
      </c>
      <c r="CU49" s="7">
        <f t="shared" si="12"/>
        <v>0</v>
      </c>
      <c r="CV49" s="7">
        <f t="shared" si="13"/>
        <v>15.87301587</v>
      </c>
      <c r="CW49" s="7">
        <v>5.82</v>
      </c>
      <c r="CX49" s="7">
        <v>146.0</v>
      </c>
      <c r="CY49" s="7" t="str">
        <f t="shared" si="14"/>
        <v>Норма</v>
      </c>
      <c r="CZ49" s="9"/>
      <c r="DA49" s="7">
        <v>131.0</v>
      </c>
      <c r="DB49" s="7">
        <v>79.0</v>
      </c>
      <c r="DC49" s="7">
        <v>8.02</v>
      </c>
      <c r="DD49" s="7">
        <v>79.1</v>
      </c>
      <c r="DE49" s="7"/>
      <c r="DF49" s="7">
        <v>8.9</v>
      </c>
      <c r="DG49" s="7"/>
      <c r="DH49" s="7">
        <v>12.0</v>
      </c>
      <c r="DI49" s="7"/>
      <c r="DJ49" s="7">
        <v>0.0</v>
      </c>
      <c r="DK49" s="7"/>
      <c r="DL49" s="7"/>
      <c r="DM49" s="7">
        <v>5.63</v>
      </c>
      <c r="DN49" s="7">
        <v>141.0</v>
      </c>
      <c r="DO49" s="7" t="str">
        <f t="shared" si="15"/>
        <v>Норма</v>
      </c>
      <c r="DP49" s="9"/>
      <c r="DQ49" s="7">
        <v>190.0</v>
      </c>
      <c r="DR49" s="7">
        <v>48.0</v>
      </c>
      <c r="DS49" s="13">
        <v>537.0</v>
      </c>
      <c r="DT49" s="9"/>
      <c r="DU49" s="7">
        <v>12.9</v>
      </c>
      <c r="DV49" s="7">
        <v>1.1</v>
      </c>
      <c r="DW49" s="1" t="s">
        <v>241</v>
      </c>
      <c r="DX49" s="9"/>
      <c r="DY49" s="9"/>
      <c r="DZ49" s="7">
        <v>12.9</v>
      </c>
      <c r="EA49" s="7">
        <v>1.1</v>
      </c>
      <c r="EB49" s="7"/>
      <c r="EC49" s="7">
        <v>7.74</v>
      </c>
      <c r="ED49" s="7">
        <v>5.97</v>
      </c>
      <c r="EE49" s="7">
        <v>52.6</v>
      </c>
      <c r="EF49" s="7">
        <v>32.8</v>
      </c>
      <c r="EG49" s="7">
        <v>65.2</v>
      </c>
      <c r="EH49" s="7">
        <v>10.2</v>
      </c>
      <c r="EI49" s="7">
        <v>3.4</v>
      </c>
      <c r="EJ49" s="7">
        <v>108.0</v>
      </c>
      <c r="EK49" s="14">
        <f t="shared" si="16"/>
        <v>54.69852347</v>
      </c>
      <c r="EL49" s="11" t="str">
        <f t="shared" si="17"/>
        <v>C3a</v>
      </c>
      <c r="EM49" s="9"/>
      <c r="EN49" s="9"/>
      <c r="EO49" s="7">
        <v>206.9</v>
      </c>
      <c r="EP49" s="7">
        <v>91.4</v>
      </c>
      <c r="EQ49" s="7">
        <v>55.7</v>
      </c>
      <c r="ER49" s="7">
        <v>8.4</v>
      </c>
      <c r="ES49" s="7">
        <v>3.2</v>
      </c>
      <c r="ET49" s="7">
        <v>100.0</v>
      </c>
      <c r="EU49" s="11">
        <f t="shared" si="18"/>
        <v>60.03229183</v>
      </c>
      <c r="EV49" s="11" t="str">
        <f t="shared" si="19"/>
        <v>C2</v>
      </c>
      <c r="EW49" s="7">
        <v>133.2</v>
      </c>
      <c r="EX49" s="7">
        <v>4.16</v>
      </c>
      <c r="EY49" s="9">
        <f t="shared" si="20"/>
        <v>3.666367496</v>
      </c>
      <c r="EZ49" s="9">
        <f t="shared" si="21"/>
        <v>0.02493169849</v>
      </c>
      <c r="FA49" s="9" t="str">
        <f t="shared" si="22"/>
        <v>Благоприятный</v>
      </c>
      <c r="FB49" s="1" t="s">
        <v>150</v>
      </c>
      <c r="FC49" s="1" t="s">
        <v>148</v>
      </c>
    </row>
    <row r="50">
      <c r="A50" s="7">
        <v>49.0</v>
      </c>
      <c r="B50" s="21">
        <v>5.0</v>
      </c>
      <c r="C50" s="25">
        <v>9045.0</v>
      </c>
      <c r="D50" s="1" t="s">
        <v>148</v>
      </c>
      <c r="E50" s="7">
        <v>55.0</v>
      </c>
      <c r="F50" s="1" t="s">
        <v>161</v>
      </c>
      <c r="G50" s="7"/>
      <c r="H50" s="7">
        <v>66.0</v>
      </c>
      <c r="I50" s="1" t="s">
        <v>150</v>
      </c>
      <c r="J50" s="1" t="s">
        <v>150</v>
      </c>
      <c r="K50" s="9"/>
      <c r="L50" s="1" t="s">
        <v>154</v>
      </c>
      <c r="M50" s="1" t="s">
        <v>154</v>
      </c>
      <c r="N50" s="1" t="s">
        <v>204</v>
      </c>
      <c r="O50" s="1" t="str">
        <f t="shared" si="1"/>
        <v>нет</v>
      </c>
      <c r="P50" s="1" t="s">
        <v>154</v>
      </c>
      <c r="Q50" s="1" t="s">
        <v>154</v>
      </c>
      <c r="R50" s="7">
        <v>3.0</v>
      </c>
      <c r="S50" s="1" t="s">
        <v>150</v>
      </c>
      <c r="T50" s="9"/>
      <c r="U50" s="9"/>
      <c r="V50" s="9"/>
      <c r="W50" s="9"/>
      <c r="X50" s="9"/>
      <c r="Y50" s="1" t="s">
        <v>150</v>
      </c>
      <c r="Z50" s="9"/>
      <c r="AA50" s="9"/>
      <c r="AB50" s="9"/>
      <c r="AC50" s="9"/>
      <c r="AD50" s="26" t="s">
        <v>244</v>
      </c>
      <c r="AE50" s="1" t="s">
        <v>150</v>
      </c>
      <c r="AF50" s="7">
        <v>0.0</v>
      </c>
      <c r="AG50" s="27" t="s">
        <v>162</v>
      </c>
      <c r="AH50" s="27" t="s">
        <v>152</v>
      </c>
      <c r="AI50" s="1" t="s">
        <v>168</v>
      </c>
      <c r="AJ50" s="7">
        <v>2.0</v>
      </c>
      <c r="AK50" s="1" t="s">
        <v>5</v>
      </c>
      <c r="AL50" s="1" t="s">
        <v>150</v>
      </c>
      <c r="AM50" s="9"/>
      <c r="AN50" s="1">
        <v>15.0</v>
      </c>
      <c r="AO50" s="1" t="str">
        <f t="shared" si="2"/>
        <v>нет</v>
      </c>
      <c r="AP50" s="7">
        <v>170.0</v>
      </c>
      <c r="AQ50" s="7">
        <v>80.0</v>
      </c>
      <c r="AR50" s="9">
        <f t="shared" si="3"/>
        <v>27.6816609</v>
      </c>
      <c r="AS50" s="7" t="str">
        <f t="shared" si="4"/>
        <v>Избыточный вес (предожирение)</v>
      </c>
      <c r="AT50" s="7">
        <v>100.0</v>
      </c>
      <c r="AU50" s="7">
        <v>60.0</v>
      </c>
      <c r="AV50" s="3">
        <v>73.0</v>
      </c>
      <c r="AW50" s="7">
        <v>96.0</v>
      </c>
      <c r="AX50" s="7">
        <v>37.7</v>
      </c>
      <c r="AY50" s="7">
        <v>26.0</v>
      </c>
      <c r="AZ50" s="7">
        <v>76.0</v>
      </c>
      <c r="BA50" s="10" t="str">
        <f t="shared" si="5"/>
        <v>да</v>
      </c>
      <c r="BB50" s="7">
        <v>88.0</v>
      </c>
      <c r="BC50" s="11"/>
      <c r="BD50" s="12" t="str">
        <f t="shared" si="6"/>
        <v>#DIV/0!</v>
      </c>
      <c r="BE50" s="12">
        <f t="shared" si="7"/>
        <v>2</v>
      </c>
      <c r="BF50" s="12">
        <f t="shared" si="8"/>
        <v>9</v>
      </c>
      <c r="BG50" s="1" t="s">
        <v>150</v>
      </c>
      <c r="BH50" s="9"/>
      <c r="BI50" s="1" t="s">
        <v>154</v>
      </c>
      <c r="BJ50" s="1" t="s">
        <v>237</v>
      </c>
      <c r="BK50" s="1" t="s">
        <v>154</v>
      </c>
      <c r="BL50" s="1" t="s">
        <v>189</v>
      </c>
      <c r="BM50" s="1" t="s">
        <v>154</v>
      </c>
      <c r="BN50" s="1" t="s">
        <v>155</v>
      </c>
      <c r="BO50" s="1" t="s">
        <v>150</v>
      </c>
      <c r="BP50" s="9"/>
      <c r="BQ50" s="9"/>
      <c r="BR50" s="1" t="s">
        <v>154</v>
      </c>
      <c r="BS50" s="1" t="s">
        <v>170</v>
      </c>
      <c r="BT50" s="28">
        <v>12.0</v>
      </c>
      <c r="BU50" s="1" t="s">
        <v>207</v>
      </c>
      <c r="BV50" s="7">
        <v>12.0</v>
      </c>
      <c r="BW50" s="1" t="s">
        <v>154</v>
      </c>
      <c r="BX50" s="10" t="s">
        <v>154</v>
      </c>
      <c r="BY50" s="1" t="s">
        <v>245</v>
      </c>
      <c r="BZ50" s="29" t="s">
        <v>158</v>
      </c>
      <c r="CA50" s="1" t="s">
        <v>246</v>
      </c>
      <c r="CB50" s="1" t="s">
        <v>150</v>
      </c>
      <c r="CC50" s="1" t="s">
        <v>150</v>
      </c>
      <c r="CD50" s="1" t="s">
        <v>247</v>
      </c>
      <c r="CE50" s="1" t="s">
        <v>150</v>
      </c>
      <c r="CF50" s="1" t="s">
        <v>150</v>
      </c>
      <c r="CG50" s="1" t="s">
        <v>154</v>
      </c>
      <c r="CH50" s="1" t="s">
        <v>150</v>
      </c>
      <c r="CI50" s="1" t="s">
        <v>150</v>
      </c>
      <c r="CJ50" s="1" t="s">
        <v>150</v>
      </c>
      <c r="CK50" s="1" t="s">
        <v>150</v>
      </c>
      <c r="CL50" s="1" t="s">
        <v>248</v>
      </c>
      <c r="CM50" s="7">
        <v>15.2</v>
      </c>
      <c r="CN50" s="7">
        <v>85.2</v>
      </c>
      <c r="CO50" s="7">
        <f t="shared" si="9"/>
        <v>12.9504</v>
      </c>
      <c r="CP50" s="7">
        <v>8.0</v>
      </c>
      <c r="CQ50" s="7">
        <f t="shared" si="10"/>
        <v>1.036032</v>
      </c>
      <c r="CR50" s="7">
        <v>6.5</v>
      </c>
      <c r="CS50" s="7">
        <f t="shared" si="11"/>
        <v>0.06734208</v>
      </c>
      <c r="CT50" s="7">
        <v>0.0</v>
      </c>
      <c r="CU50" s="7">
        <f t="shared" si="12"/>
        <v>0</v>
      </c>
      <c r="CV50" s="7">
        <f t="shared" si="13"/>
        <v>12.5</v>
      </c>
      <c r="CW50" s="7">
        <v>4.99</v>
      </c>
      <c r="CX50" s="7">
        <v>135.0</v>
      </c>
      <c r="CY50" s="7" t="str">
        <f t="shared" si="14"/>
        <v>Норма</v>
      </c>
      <c r="CZ50" s="9"/>
      <c r="DA50" s="7">
        <v>423.0</v>
      </c>
      <c r="DB50" s="7">
        <v>36.6</v>
      </c>
      <c r="DC50" s="7">
        <v>10.3</v>
      </c>
      <c r="DD50" s="7">
        <v>58.9</v>
      </c>
      <c r="DE50" s="7"/>
      <c r="DF50" s="7">
        <v>30.0</v>
      </c>
      <c r="DG50" s="7"/>
      <c r="DH50" s="7">
        <v>9.9</v>
      </c>
      <c r="DI50" s="7"/>
      <c r="DJ50" s="7">
        <v>0.8</v>
      </c>
      <c r="DK50" s="7"/>
      <c r="DL50" s="7"/>
      <c r="DM50" s="7">
        <v>4.38</v>
      </c>
      <c r="DN50" s="7">
        <v>120.0</v>
      </c>
      <c r="DO50" s="7" t="str">
        <f t="shared" si="15"/>
        <v>Легкая степень</v>
      </c>
      <c r="DP50" s="9"/>
      <c r="DQ50" s="7">
        <v>218.0</v>
      </c>
      <c r="DR50" s="7">
        <v>7.3</v>
      </c>
      <c r="DS50" s="13">
        <v>521.0</v>
      </c>
      <c r="DT50" s="7">
        <v>33.2</v>
      </c>
      <c r="DU50" s="7">
        <v>12.1</v>
      </c>
      <c r="DV50" s="7">
        <v>1.03</v>
      </c>
      <c r="DW50" s="1" t="s">
        <v>241</v>
      </c>
      <c r="DX50" s="9"/>
      <c r="DY50" s="7">
        <v>30.5</v>
      </c>
      <c r="DZ50" s="7">
        <v>11.5</v>
      </c>
      <c r="EA50" s="7">
        <v>0.983</v>
      </c>
      <c r="EB50" s="7"/>
      <c r="EC50" s="7">
        <v>8.18</v>
      </c>
      <c r="ED50" s="7">
        <v>7.0</v>
      </c>
      <c r="EE50" s="7">
        <v>22.8</v>
      </c>
      <c r="EF50" s="7">
        <v>20.8</v>
      </c>
      <c r="EG50" s="7">
        <v>69.2</v>
      </c>
      <c r="EH50" s="7">
        <v>14.6</v>
      </c>
      <c r="EI50" s="7">
        <v>6.4</v>
      </c>
      <c r="EJ50" s="7">
        <v>67.0</v>
      </c>
      <c r="EK50" s="14">
        <f t="shared" si="16"/>
        <v>88.9202587</v>
      </c>
      <c r="EL50" s="11" t="str">
        <f t="shared" si="17"/>
        <v>C2</v>
      </c>
      <c r="EM50" s="9"/>
      <c r="EN50" s="9"/>
      <c r="EO50" s="7">
        <v>39.0</v>
      </c>
      <c r="EP50" s="7">
        <v>18.1</v>
      </c>
      <c r="EQ50" s="7">
        <v>64.8</v>
      </c>
      <c r="ER50" s="7">
        <v>11.6</v>
      </c>
      <c r="ES50" s="7">
        <v>4.8</v>
      </c>
      <c r="ET50" s="7">
        <v>42.0</v>
      </c>
      <c r="EU50" s="11">
        <f t="shared" si="18"/>
        <v>111.1701947</v>
      </c>
      <c r="EV50" s="11" t="str">
        <f t="shared" si="19"/>
        <v>C1</v>
      </c>
      <c r="EW50" s="7">
        <v>133.2</v>
      </c>
      <c r="EX50" s="7">
        <v>4.95</v>
      </c>
      <c r="EY50" s="9">
        <f t="shared" si="20"/>
        <v>0.1417848443</v>
      </c>
      <c r="EZ50" s="9">
        <f t="shared" si="21"/>
        <v>0.4646130509</v>
      </c>
      <c r="FA50" s="9" t="str">
        <f t="shared" si="22"/>
        <v>Благоприятный</v>
      </c>
      <c r="FB50" s="1" t="s">
        <v>150</v>
      </c>
      <c r="FC50" s="1" t="s">
        <v>148</v>
      </c>
    </row>
    <row r="51">
      <c r="A51" s="7">
        <v>50.0</v>
      </c>
      <c r="B51" s="21">
        <v>6.0</v>
      </c>
      <c r="C51" s="25">
        <v>10816.0</v>
      </c>
      <c r="D51" s="1" t="s">
        <v>148</v>
      </c>
      <c r="E51" s="7">
        <v>64.0</v>
      </c>
      <c r="F51" s="1" t="s">
        <v>161</v>
      </c>
      <c r="G51" s="7"/>
      <c r="H51" s="7">
        <v>16.0</v>
      </c>
      <c r="I51" s="1" t="s">
        <v>150</v>
      </c>
      <c r="J51" s="1" t="s">
        <v>150</v>
      </c>
      <c r="K51" s="9"/>
      <c r="L51" s="1" t="s">
        <v>150</v>
      </c>
      <c r="M51" s="1" t="s">
        <v>150</v>
      </c>
      <c r="N51" s="9"/>
      <c r="O51" s="1" t="str">
        <f t="shared" si="1"/>
        <v>нет</v>
      </c>
      <c r="P51" s="1" t="s">
        <v>150</v>
      </c>
      <c r="Q51" s="1" t="s">
        <v>154</v>
      </c>
      <c r="R51" s="7">
        <v>2.0</v>
      </c>
      <c r="S51" s="1" t="s">
        <v>150</v>
      </c>
      <c r="T51" s="9"/>
      <c r="U51" s="9"/>
      <c r="V51" s="9"/>
      <c r="W51" s="9"/>
      <c r="X51" s="9"/>
      <c r="Y51" s="1" t="s">
        <v>150</v>
      </c>
      <c r="Z51" s="9"/>
      <c r="AA51" s="9"/>
      <c r="AB51" s="9"/>
      <c r="AC51" s="9"/>
      <c r="AD51" s="26" t="s">
        <v>249</v>
      </c>
      <c r="AE51" s="1" t="s">
        <v>150</v>
      </c>
      <c r="AF51" s="7">
        <v>0.0</v>
      </c>
      <c r="AG51" s="27" t="s">
        <v>162</v>
      </c>
      <c r="AH51" s="27" t="s">
        <v>152</v>
      </c>
      <c r="AI51" s="1" t="s">
        <v>153</v>
      </c>
      <c r="AJ51" s="7">
        <v>2.0</v>
      </c>
      <c r="AK51" s="1" t="s">
        <v>5</v>
      </c>
      <c r="AL51" s="1" t="s">
        <v>150</v>
      </c>
      <c r="AM51" s="9"/>
      <c r="AN51" s="1">
        <v>15.0</v>
      </c>
      <c r="AO51" s="1" t="str">
        <f t="shared" si="2"/>
        <v>нет</v>
      </c>
      <c r="AP51" s="7">
        <v>157.0</v>
      </c>
      <c r="AQ51" s="7">
        <v>70.0</v>
      </c>
      <c r="AR51" s="9">
        <f t="shared" si="3"/>
        <v>28.398718</v>
      </c>
      <c r="AS51" s="7" t="str">
        <f t="shared" si="4"/>
        <v>Избыточный вес (предожирение)</v>
      </c>
      <c r="AT51" s="7">
        <v>123.0</v>
      </c>
      <c r="AU51" s="7">
        <v>79.0</v>
      </c>
      <c r="AV51" s="3">
        <v>94.0</v>
      </c>
      <c r="AW51" s="7">
        <v>144.0</v>
      </c>
      <c r="AX51" s="7">
        <v>38.5</v>
      </c>
      <c r="AY51" s="7">
        <v>17.0</v>
      </c>
      <c r="AZ51" s="7">
        <v>92.0</v>
      </c>
      <c r="BA51" s="10" t="str">
        <f t="shared" si="5"/>
        <v>да</v>
      </c>
      <c r="BB51" s="7">
        <v>98.0</v>
      </c>
      <c r="BC51" s="11"/>
      <c r="BD51" s="12" t="str">
        <f t="shared" si="6"/>
        <v>#DIV/0!</v>
      </c>
      <c r="BE51" s="12">
        <f t="shared" si="7"/>
        <v>0</v>
      </c>
      <c r="BF51" s="12">
        <f t="shared" si="8"/>
        <v>6</v>
      </c>
      <c r="BG51" s="1" t="s">
        <v>154</v>
      </c>
      <c r="BH51" s="1" t="s">
        <v>175</v>
      </c>
      <c r="BI51" s="1" t="s">
        <v>154</v>
      </c>
      <c r="BJ51" s="1" t="s">
        <v>237</v>
      </c>
      <c r="BK51" s="1" t="s">
        <v>150</v>
      </c>
      <c r="BL51" s="9"/>
      <c r="BM51" s="1" t="s">
        <v>154</v>
      </c>
      <c r="BN51" s="1" t="s">
        <v>155</v>
      </c>
      <c r="BO51" s="1" t="s">
        <v>154</v>
      </c>
      <c r="BP51" s="1" t="s">
        <v>157</v>
      </c>
      <c r="BQ51" s="9"/>
      <c r="BR51" s="1" t="s">
        <v>154</v>
      </c>
      <c r="BS51" s="1" t="s">
        <v>170</v>
      </c>
      <c r="BT51" s="15">
        <v>12.0</v>
      </c>
      <c r="BU51" s="1" t="s">
        <v>157</v>
      </c>
      <c r="BV51" s="7">
        <v>16.0</v>
      </c>
      <c r="BW51" s="1" t="s">
        <v>150</v>
      </c>
      <c r="BX51" s="10" t="s">
        <v>154</v>
      </c>
      <c r="BY51" s="1" t="s">
        <v>239</v>
      </c>
      <c r="BZ51" s="29" t="s">
        <v>158</v>
      </c>
      <c r="CA51" s="9"/>
      <c r="CB51" s="1" t="s">
        <v>150</v>
      </c>
      <c r="CC51" s="1" t="s">
        <v>150</v>
      </c>
      <c r="CD51" s="9"/>
      <c r="CE51" s="1" t="s">
        <v>150</v>
      </c>
      <c r="CF51" s="1" t="s">
        <v>150</v>
      </c>
      <c r="CG51" s="1" t="s">
        <v>150</v>
      </c>
      <c r="CH51" s="1" t="s">
        <v>150</v>
      </c>
      <c r="CI51" s="1" t="s">
        <v>150</v>
      </c>
      <c r="CJ51" s="1" t="s">
        <v>150</v>
      </c>
      <c r="CK51" s="1" t="s">
        <v>150</v>
      </c>
      <c r="CL51" s="1" t="s">
        <v>250</v>
      </c>
      <c r="CN51" s="9"/>
      <c r="CO51" s="7">
        <f t="shared" si="9"/>
        <v>0</v>
      </c>
      <c r="CP51" s="9"/>
      <c r="CQ51" s="7">
        <f t="shared" si="10"/>
        <v>0</v>
      </c>
      <c r="CR51" s="9"/>
      <c r="CS51" s="7">
        <f t="shared" si="11"/>
        <v>0</v>
      </c>
      <c r="CT51" s="9"/>
      <c r="CU51" s="7">
        <f t="shared" si="12"/>
        <v>0</v>
      </c>
      <c r="CV51" s="7" t="str">
        <f t="shared" si="13"/>
        <v>#DIV/0!</v>
      </c>
      <c r="CW51" s="9"/>
      <c r="CX51" s="9"/>
      <c r="CY51" s="7" t="str">
        <f t="shared" si="14"/>
        <v>Тяжелая степень</v>
      </c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7" t="str">
        <f t="shared" si="15"/>
        <v>Тяжелая степень</v>
      </c>
      <c r="DP51" s="9"/>
      <c r="DQ51" s="9"/>
      <c r="DR51" s="9"/>
      <c r="DS51" s="23"/>
      <c r="DT51" s="9"/>
      <c r="DU51" s="9"/>
      <c r="DV51" s="9"/>
      <c r="DW51" s="1" t="s">
        <v>241</v>
      </c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14" t="str">
        <f t="shared" si="16"/>
        <v>#NUM!</v>
      </c>
      <c r="EL51" s="11" t="str">
        <f t="shared" si="17"/>
        <v>#NUM!</v>
      </c>
      <c r="EM51" s="9"/>
      <c r="EN51" s="9"/>
      <c r="EO51" s="9"/>
      <c r="EP51" s="9"/>
      <c r="EQ51" s="9"/>
      <c r="ER51" s="9"/>
      <c r="ES51" s="9"/>
      <c r="ET51" s="9"/>
      <c r="EU51" s="11" t="str">
        <f t="shared" si="18"/>
        <v>#NUM!</v>
      </c>
      <c r="EV51" s="11" t="str">
        <f t="shared" si="19"/>
        <v>#NUM!</v>
      </c>
      <c r="EW51" s="9"/>
      <c r="EX51" s="9"/>
      <c r="EY51" s="9">
        <f t="shared" si="20"/>
        <v>0.9318506349</v>
      </c>
      <c r="EZ51" s="9">
        <f t="shared" si="21"/>
        <v>0.2825494117</v>
      </c>
      <c r="FA51" s="9" t="str">
        <f t="shared" si="22"/>
        <v>Благоприятный</v>
      </c>
      <c r="FB51" s="1" t="s">
        <v>150</v>
      </c>
      <c r="FC51" s="1" t="s">
        <v>148</v>
      </c>
    </row>
    <row r="52">
      <c r="A52" s="7">
        <v>51.0</v>
      </c>
      <c r="B52" s="21">
        <v>7.0</v>
      </c>
      <c r="C52" s="25">
        <v>9827.0</v>
      </c>
      <c r="D52" s="1" t="s">
        <v>148</v>
      </c>
      <c r="E52" s="7">
        <v>80.0</v>
      </c>
      <c r="F52" s="1" t="s">
        <v>161</v>
      </c>
      <c r="G52" s="7"/>
      <c r="H52" s="7">
        <v>22.0</v>
      </c>
      <c r="I52" s="1" t="s">
        <v>150</v>
      </c>
      <c r="J52" s="1" t="s">
        <v>150</v>
      </c>
      <c r="K52" s="9"/>
      <c r="L52" s="1" t="s">
        <v>154</v>
      </c>
      <c r="M52" s="1" t="s">
        <v>154</v>
      </c>
      <c r="N52" s="1" t="s">
        <v>204</v>
      </c>
      <c r="O52" s="1" t="str">
        <f t="shared" si="1"/>
        <v>нет</v>
      </c>
      <c r="P52" s="1" t="s">
        <v>154</v>
      </c>
      <c r="Q52" s="1" t="s">
        <v>154</v>
      </c>
      <c r="R52" s="7">
        <v>3.0</v>
      </c>
      <c r="S52" s="1" t="s">
        <v>154</v>
      </c>
      <c r="T52" s="1" t="s">
        <v>251</v>
      </c>
      <c r="U52" s="7"/>
      <c r="V52" s="7">
        <v>2.0</v>
      </c>
      <c r="W52" s="7">
        <v>3.0</v>
      </c>
      <c r="X52" s="9"/>
      <c r="Y52" s="1" t="s">
        <v>150</v>
      </c>
      <c r="Z52" s="9"/>
      <c r="AA52" s="9"/>
      <c r="AB52" s="9"/>
      <c r="AC52" s="9"/>
      <c r="AD52" s="26" t="s">
        <v>252</v>
      </c>
      <c r="AE52" s="1" t="s">
        <v>150</v>
      </c>
      <c r="AF52" s="7">
        <v>0.0</v>
      </c>
      <c r="AG52" s="27" t="s">
        <v>162</v>
      </c>
      <c r="AH52" s="27" t="s">
        <v>152</v>
      </c>
      <c r="AI52" s="1" t="s">
        <v>153</v>
      </c>
      <c r="AJ52" s="7">
        <v>2.0</v>
      </c>
      <c r="AK52" s="1" t="s">
        <v>5</v>
      </c>
      <c r="AL52" s="1" t="s">
        <v>150</v>
      </c>
      <c r="AM52" s="9"/>
      <c r="AN52" s="1">
        <v>15.0</v>
      </c>
      <c r="AO52" s="1" t="str">
        <f t="shared" si="2"/>
        <v>нет</v>
      </c>
      <c r="AP52" s="7">
        <v>158.0</v>
      </c>
      <c r="AQ52" s="7">
        <v>90.0</v>
      </c>
      <c r="AR52" s="9">
        <f t="shared" si="3"/>
        <v>36.05191476</v>
      </c>
      <c r="AS52" s="7" t="str">
        <f t="shared" si="4"/>
        <v>Ожирение II степени</v>
      </c>
      <c r="AT52" s="7">
        <v>145.0</v>
      </c>
      <c r="AU52" s="7">
        <v>82.0</v>
      </c>
      <c r="AV52" s="3">
        <v>103.0</v>
      </c>
      <c r="AW52" s="7">
        <v>98.0</v>
      </c>
      <c r="AX52" s="7">
        <v>37.7</v>
      </c>
      <c r="AY52" s="7">
        <v>21.0</v>
      </c>
      <c r="AZ52" s="7">
        <v>85.0</v>
      </c>
      <c r="BA52" s="10" t="str">
        <f t="shared" si="5"/>
        <v>да</v>
      </c>
      <c r="BB52" s="7">
        <v>94.0</v>
      </c>
      <c r="BC52" s="11"/>
      <c r="BD52" s="12" t="str">
        <f t="shared" si="6"/>
        <v>#DIV/0!</v>
      </c>
      <c r="BE52" s="12">
        <f t="shared" si="7"/>
        <v>0</v>
      </c>
      <c r="BF52" s="12">
        <f t="shared" si="8"/>
        <v>6</v>
      </c>
      <c r="BG52" s="1" t="s">
        <v>150</v>
      </c>
      <c r="BH52" s="9"/>
      <c r="BI52" s="1" t="s">
        <v>154</v>
      </c>
      <c r="BJ52" s="1" t="s">
        <v>237</v>
      </c>
      <c r="BK52" s="1" t="s">
        <v>150</v>
      </c>
      <c r="BL52" s="9"/>
      <c r="BM52" s="1" t="s">
        <v>154</v>
      </c>
      <c r="BN52" s="1" t="s">
        <v>155</v>
      </c>
      <c r="BO52" s="1" t="s">
        <v>154</v>
      </c>
      <c r="BP52" s="1" t="s">
        <v>157</v>
      </c>
      <c r="BQ52" s="9"/>
      <c r="BR52" s="1" t="s">
        <v>154</v>
      </c>
      <c r="BS52" s="1" t="s">
        <v>170</v>
      </c>
      <c r="BT52" s="28">
        <v>12.0</v>
      </c>
      <c r="BU52" s="1" t="s">
        <v>207</v>
      </c>
      <c r="BV52" s="7">
        <v>16.0</v>
      </c>
      <c r="BW52" s="1" t="s">
        <v>154</v>
      </c>
      <c r="BX52" s="10" t="s">
        <v>154</v>
      </c>
      <c r="BY52" s="1" t="s">
        <v>253</v>
      </c>
      <c r="BZ52" s="29" t="s">
        <v>158</v>
      </c>
      <c r="CA52" s="1" t="s">
        <v>254</v>
      </c>
      <c r="CB52" s="1" t="s">
        <v>255</v>
      </c>
      <c r="CC52" s="1" t="s">
        <v>150</v>
      </c>
      <c r="CD52" s="1" t="s">
        <v>212</v>
      </c>
      <c r="CE52" s="1" t="s">
        <v>150</v>
      </c>
      <c r="CF52" s="1" t="s">
        <v>240</v>
      </c>
      <c r="CG52" s="1" t="s">
        <v>150</v>
      </c>
      <c r="CH52" s="1" t="s">
        <v>150</v>
      </c>
      <c r="CI52" s="1" t="s">
        <v>150</v>
      </c>
      <c r="CJ52" s="1" t="s">
        <v>150</v>
      </c>
      <c r="CK52" s="1" t="s">
        <v>150</v>
      </c>
      <c r="CL52" s="1" t="s">
        <v>250</v>
      </c>
      <c r="CM52" s="7">
        <v>9.21</v>
      </c>
      <c r="CN52" s="7">
        <v>85.1</v>
      </c>
      <c r="CO52" s="7">
        <f t="shared" si="9"/>
        <v>7.83771</v>
      </c>
      <c r="CP52" s="7">
        <v>9.6</v>
      </c>
      <c r="CQ52" s="7">
        <f t="shared" si="10"/>
        <v>0.75242016</v>
      </c>
      <c r="CR52" s="7">
        <v>5.2</v>
      </c>
      <c r="CS52" s="7">
        <f t="shared" si="11"/>
        <v>0.03912584832</v>
      </c>
      <c r="CT52" s="7">
        <v>0.0</v>
      </c>
      <c r="CU52" s="7">
        <f t="shared" si="12"/>
        <v>0</v>
      </c>
      <c r="CV52" s="7">
        <f t="shared" si="13"/>
        <v>10.41666667</v>
      </c>
      <c r="CW52" s="7">
        <v>4.3</v>
      </c>
      <c r="CX52" s="7">
        <v>131.0</v>
      </c>
      <c r="CY52" s="7" t="str">
        <f t="shared" si="14"/>
        <v>Норма</v>
      </c>
      <c r="CZ52" s="9"/>
      <c r="DA52" s="7">
        <v>237.0</v>
      </c>
      <c r="DB52" s="7">
        <v>136.5</v>
      </c>
      <c r="DC52" s="7">
        <v>9.1</v>
      </c>
      <c r="DD52" s="7">
        <v>82.5</v>
      </c>
      <c r="DE52" s="7"/>
      <c r="DF52" s="7">
        <v>11.8</v>
      </c>
      <c r="DG52" s="7"/>
      <c r="DH52" s="7">
        <v>5.4</v>
      </c>
      <c r="DI52" s="7"/>
      <c r="DJ52" s="7">
        <v>0.1</v>
      </c>
      <c r="DK52" s="7"/>
      <c r="DL52" s="7"/>
      <c r="DM52" s="7">
        <v>4.09</v>
      </c>
      <c r="DN52" s="7">
        <v>121.0</v>
      </c>
      <c r="DO52" s="7" t="str">
        <f t="shared" si="15"/>
        <v>Легкая степень</v>
      </c>
      <c r="DP52" s="9"/>
      <c r="DQ52" s="7">
        <v>166.0</v>
      </c>
      <c r="DR52" s="7">
        <v>18.5</v>
      </c>
      <c r="DS52" s="13">
        <v>609.0</v>
      </c>
      <c r="DT52" s="7">
        <v>29.6</v>
      </c>
      <c r="DU52" s="7">
        <v>11.6</v>
      </c>
      <c r="DV52" s="7">
        <v>0.99</v>
      </c>
      <c r="DW52" s="1" t="s">
        <v>241</v>
      </c>
      <c r="DX52" s="9"/>
      <c r="DY52" s="7">
        <v>25.4</v>
      </c>
      <c r="DZ52" s="7">
        <v>9.6</v>
      </c>
      <c r="EA52" s="7">
        <v>0.82</v>
      </c>
      <c r="EB52" s="7"/>
      <c r="EC52" s="7">
        <v>17.3</v>
      </c>
      <c r="ED52" s="7">
        <v>5.4</v>
      </c>
      <c r="EE52" s="7">
        <v>35.61</v>
      </c>
      <c r="EF52" s="7">
        <v>41.54</v>
      </c>
      <c r="EG52" s="7">
        <v>76.5</v>
      </c>
      <c r="EH52" s="7">
        <v>10.46</v>
      </c>
      <c r="EI52" s="7">
        <v>2.62</v>
      </c>
      <c r="EJ52" s="7">
        <v>107.68</v>
      </c>
      <c r="EK52" s="14">
        <f t="shared" si="16"/>
        <v>42.03442343</v>
      </c>
      <c r="EL52" s="11" t="str">
        <f t="shared" si="17"/>
        <v>C3b</v>
      </c>
      <c r="EM52" s="7">
        <v>137.4</v>
      </c>
      <c r="EN52" s="7">
        <v>4.51</v>
      </c>
      <c r="EO52" s="7">
        <v>44.3</v>
      </c>
      <c r="EP52" s="7">
        <v>20.1</v>
      </c>
      <c r="EQ52" s="7">
        <v>60.2</v>
      </c>
      <c r="ER52" s="7">
        <v>10.6</v>
      </c>
      <c r="ES52" s="7">
        <v>3.8</v>
      </c>
      <c r="ET52" s="7">
        <v>86.0</v>
      </c>
      <c r="EU52" s="11">
        <f t="shared" si="18"/>
        <v>55.16298246</v>
      </c>
      <c r="EV52" s="11" t="str">
        <f t="shared" si="19"/>
        <v>C3a</v>
      </c>
      <c r="EW52" s="7">
        <v>137.7</v>
      </c>
      <c r="EX52" s="7">
        <v>4.46</v>
      </c>
      <c r="EY52" s="9">
        <f t="shared" si="20"/>
        <v>-1.574827984</v>
      </c>
      <c r="EZ52" s="9">
        <f t="shared" si="21"/>
        <v>0.8284707867</v>
      </c>
      <c r="FA52" s="9" t="str">
        <f t="shared" si="22"/>
        <v>Неблагоприятный</v>
      </c>
      <c r="FB52" s="1" t="s">
        <v>256</v>
      </c>
      <c r="FC52" s="1" t="s">
        <v>148</v>
      </c>
    </row>
    <row r="53">
      <c r="A53" s="7">
        <v>52.0</v>
      </c>
      <c r="B53" s="21">
        <v>8.0</v>
      </c>
      <c r="C53" s="25">
        <v>9845.0</v>
      </c>
      <c r="D53" s="1" t="s">
        <v>148</v>
      </c>
      <c r="E53" s="7">
        <v>65.0</v>
      </c>
      <c r="F53" s="1" t="s">
        <v>161</v>
      </c>
      <c r="G53" s="7"/>
      <c r="H53" s="7">
        <v>34.0</v>
      </c>
      <c r="I53" s="1" t="s">
        <v>150</v>
      </c>
      <c r="J53" s="1" t="s">
        <v>150</v>
      </c>
      <c r="K53" s="9"/>
      <c r="L53" s="1" t="s">
        <v>150</v>
      </c>
      <c r="M53" s="1" t="s">
        <v>150</v>
      </c>
      <c r="N53" s="9"/>
      <c r="O53" s="1" t="str">
        <f t="shared" si="1"/>
        <v>да</v>
      </c>
      <c r="P53" s="1" t="s">
        <v>150</v>
      </c>
      <c r="Q53" s="1" t="s">
        <v>150</v>
      </c>
      <c r="R53" s="9"/>
      <c r="S53" s="1" t="s">
        <v>150</v>
      </c>
      <c r="T53" s="9"/>
      <c r="U53" s="9"/>
      <c r="V53" s="9"/>
      <c r="W53" s="9"/>
      <c r="X53" s="9"/>
      <c r="Y53" s="1" t="s">
        <v>150</v>
      </c>
      <c r="Z53" s="9"/>
      <c r="AA53" s="9"/>
      <c r="AB53" s="9"/>
      <c r="AC53" s="9"/>
      <c r="AD53" s="26" t="s">
        <v>257</v>
      </c>
      <c r="AE53" s="1" t="s">
        <v>150</v>
      </c>
      <c r="AF53" s="7">
        <v>0.0</v>
      </c>
      <c r="AG53" s="27" t="s">
        <v>162</v>
      </c>
      <c r="AH53" s="27" t="s">
        <v>152</v>
      </c>
      <c r="AI53" s="1" t="s">
        <v>168</v>
      </c>
      <c r="AJ53" s="7">
        <v>3.0</v>
      </c>
      <c r="AK53" s="1" t="s">
        <v>5</v>
      </c>
      <c r="AL53" s="1" t="s">
        <v>150</v>
      </c>
      <c r="AM53" s="9"/>
      <c r="AN53" s="1">
        <v>15.0</v>
      </c>
      <c r="AO53" s="1" t="str">
        <f t="shared" si="2"/>
        <v>нет</v>
      </c>
      <c r="AP53" s="7">
        <v>160.0</v>
      </c>
      <c r="AQ53" s="7">
        <v>75.0</v>
      </c>
      <c r="AR53" s="9">
        <f t="shared" si="3"/>
        <v>29.296875</v>
      </c>
      <c r="AS53" s="7" t="str">
        <f t="shared" si="4"/>
        <v>Избыточный вес (предожирение)</v>
      </c>
      <c r="AT53" s="7">
        <v>120.0</v>
      </c>
      <c r="AU53" s="7">
        <v>80.0</v>
      </c>
      <c r="AV53" s="3">
        <v>93.0</v>
      </c>
      <c r="AW53" s="7">
        <v>80.0</v>
      </c>
      <c r="AX53" s="7">
        <v>37.5</v>
      </c>
      <c r="AY53" s="7">
        <v>22.0</v>
      </c>
      <c r="AZ53" s="7">
        <v>89.0</v>
      </c>
      <c r="BA53" s="10" t="str">
        <f t="shared" si="5"/>
        <v>да</v>
      </c>
      <c r="BB53" s="7">
        <v>97.0</v>
      </c>
      <c r="BC53" s="11"/>
      <c r="BD53" s="12" t="str">
        <f t="shared" si="6"/>
        <v>#DIV/0!</v>
      </c>
      <c r="BE53" s="12">
        <f t="shared" si="7"/>
        <v>1</v>
      </c>
      <c r="BF53" s="12">
        <f t="shared" si="8"/>
        <v>5</v>
      </c>
      <c r="BG53" s="1" t="s">
        <v>154</v>
      </c>
      <c r="BH53" s="1" t="s">
        <v>163</v>
      </c>
      <c r="BI53" s="1" t="s">
        <v>154</v>
      </c>
      <c r="BJ53" s="1" t="s">
        <v>237</v>
      </c>
      <c r="BK53" s="1" t="s">
        <v>150</v>
      </c>
      <c r="BL53" s="9"/>
      <c r="BM53" s="1" t="s">
        <v>154</v>
      </c>
      <c r="BN53" s="1" t="s">
        <v>155</v>
      </c>
      <c r="BO53" s="1" t="s">
        <v>150</v>
      </c>
      <c r="BP53" s="9"/>
      <c r="BQ53" s="9"/>
      <c r="BR53" s="1" t="s">
        <v>154</v>
      </c>
      <c r="BS53" s="1" t="s">
        <v>170</v>
      </c>
      <c r="BT53" s="28">
        <v>12.0</v>
      </c>
      <c r="BU53" s="1" t="s">
        <v>207</v>
      </c>
      <c r="BV53" s="7">
        <v>16.0</v>
      </c>
      <c r="BW53" s="1" t="s">
        <v>150</v>
      </c>
      <c r="BX53" s="10" t="s">
        <v>154</v>
      </c>
      <c r="BY53" s="1" t="s">
        <v>258</v>
      </c>
      <c r="BZ53" s="29" t="s">
        <v>158</v>
      </c>
      <c r="CA53" s="9"/>
      <c r="CB53" s="1" t="s">
        <v>150</v>
      </c>
      <c r="CC53" s="1" t="s">
        <v>150</v>
      </c>
      <c r="CD53" s="9"/>
      <c r="CE53" s="1" t="s">
        <v>150</v>
      </c>
      <c r="CF53" s="1" t="s">
        <v>150</v>
      </c>
      <c r="CG53" s="1" t="s">
        <v>154</v>
      </c>
      <c r="CH53" s="1" t="s">
        <v>150</v>
      </c>
      <c r="CI53" s="1" t="s">
        <v>150</v>
      </c>
      <c r="CJ53" s="1" t="s">
        <v>150</v>
      </c>
      <c r="CK53" s="1" t="s">
        <v>150</v>
      </c>
      <c r="CL53" s="1" t="s">
        <v>259</v>
      </c>
      <c r="CM53" s="7">
        <v>5.4</v>
      </c>
      <c r="CN53" s="7">
        <v>89.1</v>
      </c>
      <c r="CO53" s="7">
        <f t="shared" si="9"/>
        <v>4.8114</v>
      </c>
      <c r="CP53" s="7">
        <v>6.3</v>
      </c>
      <c r="CQ53" s="7">
        <f t="shared" si="10"/>
        <v>0.3031182</v>
      </c>
      <c r="CR53" s="7">
        <v>4.5</v>
      </c>
      <c r="CS53" s="7">
        <f t="shared" si="11"/>
        <v>0.013640319</v>
      </c>
      <c r="CT53" s="7">
        <v>0.0</v>
      </c>
      <c r="CU53" s="7">
        <f t="shared" si="12"/>
        <v>0</v>
      </c>
      <c r="CV53" s="7">
        <f t="shared" si="13"/>
        <v>15.87301587</v>
      </c>
      <c r="CW53" s="7">
        <v>5.0</v>
      </c>
      <c r="CX53" s="7">
        <v>147.0</v>
      </c>
      <c r="CY53" s="7" t="str">
        <f t="shared" si="14"/>
        <v>Норма</v>
      </c>
      <c r="CZ53" s="7">
        <v>24.0</v>
      </c>
      <c r="DA53" s="7">
        <v>154.0</v>
      </c>
      <c r="DB53" s="7">
        <v>59.0</v>
      </c>
      <c r="DC53" s="7">
        <v>6.7</v>
      </c>
      <c r="DD53" s="7">
        <v>69.7</v>
      </c>
      <c r="DE53" s="7"/>
      <c r="DF53" s="7">
        <v>18.0</v>
      </c>
      <c r="DG53" s="7"/>
      <c r="DH53" s="7">
        <v>10.0</v>
      </c>
      <c r="DI53" s="7"/>
      <c r="DJ53" s="7">
        <v>0.6</v>
      </c>
      <c r="DK53" s="7"/>
      <c r="DL53" s="7"/>
      <c r="DM53" s="7">
        <v>4.23</v>
      </c>
      <c r="DN53" s="7">
        <v>125.0</v>
      </c>
      <c r="DO53" s="7" t="str">
        <f t="shared" si="15"/>
        <v>Легкая степень</v>
      </c>
      <c r="DP53" s="7">
        <v>12.0</v>
      </c>
      <c r="DQ53" s="7">
        <v>187.0</v>
      </c>
      <c r="DR53" s="7">
        <v>0.0</v>
      </c>
      <c r="DS53" s="13">
        <v>640.0</v>
      </c>
      <c r="DT53" s="7">
        <v>24.3</v>
      </c>
      <c r="DU53" s="7">
        <v>16.9</v>
      </c>
      <c r="DV53" s="7">
        <v>1.44</v>
      </c>
      <c r="DW53" s="1" t="s">
        <v>241</v>
      </c>
      <c r="DX53" s="9"/>
      <c r="DY53" s="7">
        <v>16.0</v>
      </c>
      <c r="DZ53" s="7">
        <v>10.6</v>
      </c>
      <c r="EA53" s="7">
        <v>0.91</v>
      </c>
      <c r="EB53" s="7"/>
      <c r="EC53" s="7">
        <v>6.7</v>
      </c>
      <c r="ED53" s="7">
        <v>4.0</v>
      </c>
      <c r="EE53" s="7">
        <v>66.0</v>
      </c>
      <c r="EF53" s="7">
        <v>79.0</v>
      </c>
      <c r="EG53" s="7">
        <v>67.0</v>
      </c>
      <c r="EH53" s="7">
        <v>11.6</v>
      </c>
      <c r="EI53" s="7">
        <v>2.9</v>
      </c>
      <c r="EJ53" s="7">
        <v>79.0</v>
      </c>
      <c r="EK53" s="14">
        <f t="shared" si="16"/>
        <v>67.91824974</v>
      </c>
      <c r="EL53" s="11" t="str">
        <f t="shared" si="17"/>
        <v>C2</v>
      </c>
      <c r="EM53" s="7">
        <v>134.4</v>
      </c>
      <c r="EN53" s="7">
        <v>3.64</v>
      </c>
      <c r="EO53" s="7">
        <v>87.0</v>
      </c>
      <c r="EP53" s="7">
        <v>26.0</v>
      </c>
      <c r="EQ53" s="7">
        <v>64.0</v>
      </c>
      <c r="ER53" s="7">
        <v>11.0</v>
      </c>
      <c r="ES53" s="7">
        <v>3.4</v>
      </c>
      <c r="ET53" s="7">
        <v>61.0</v>
      </c>
      <c r="EU53" s="11">
        <f t="shared" si="18"/>
        <v>91.65504017</v>
      </c>
      <c r="EV53" s="11" t="str">
        <f t="shared" si="19"/>
        <v>C1</v>
      </c>
      <c r="EW53" s="7">
        <v>137.1</v>
      </c>
      <c r="EX53" s="7">
        <v>3.62</v>
      </c>
      <c r="EY53" s="9">
        <f t="shared" si="20"/>
        <v>-0.1627828125</v>
      </c>
      <c r="EZ53" s="9">
        <f t="shared" si="21"/>
        <v>0.5406060769</v>
      </c>
      <c r="FA53" s="9" t="str">
        <f t="shared" si="22"/>
        <v>Неблагоприятный</v>
      </c>
      <c r="FB53" s="1" t="s">
        <v>256</v>
      </c>
      <c r="FC53" s="1" t="s">
        <v>148</v>
      </c>
    </row>
    <row r="54">
      <c r="A54" s="7">
        <v>53.0</v>
      </c>
      <c r="B54" s="21">
        <v>9.0</v>
      </c>
      <c r="C54" s="25">
        <v>9952.0</v>
      </c>
      <c r="D54" s="1" t="s">
        <v>148</v>
      </c>
      <c r="E54" s="7">
        <v>36.0</v>
      </c>
      <c r="F54" s="1" t="s">
        <v>149</v>
      </c>
      <c r="G54" s="7"/>
      <c r="H54" s="7">
        <v>15.0</v>
      </c>
      <c r="I54" s="1" t="s">
        <v>154</v>
      </c>
      <c r="J54" s="1" t="s">
        <v>150</v>
      </c>
      <c r="K54" s="9"/>
      <c r="L54" s="1" t="s">
        <v>150</v>
      </c>
      <c r="M54" s="1" t="s">
        <v>150</v>
      </c>
      <c r="N54" s="9"/>
      <c r="O54" s="1" t="str">
        <f t="shared" si="1"/>
        <v>нет</v>
      </c>
      <c r="P54" s="1" t="s">
        <v>150</v>
      </c>
      <c r="Q54" s="1" t="s">
        <v>150</v>
      </c>
      <c r="R54" s="9"/>
      <c r="S54" s="1" t="s">
        <v>150</v>
      </c>
      <c r="T54" s="9"/>
      <c r="U54" s="9"/>
      <c r="V54" s="9"/>
      <c r="W54" s="9"/>
      <c r="X54" s="9"/>
      <c r="Y54" s="1" t="s">
        <v>150</v>
      </c>
      <c r="Z54" s="9"/>
      <c r="AA54" s="9"/>
      <c r="AB54" s="9"/>
      <c r="AC54" s="9"/>
      <c r="AD54" s="26"/>
      <c r="AE54" s="1" t="s">
        <v>154</v>
      </c>
      <c r="AF54" s="9"/>
      <c r="AG54" s="27" t="s">
        <v>162</v>
      </c>
      <c r="AH54" s="27" t="s">
        <v>152</v>
      </c>
      <c r="AI54" s="1" t="s">
        <v>260</v>
      </c>
      <c r="AJ54" s="7">
        <v>4.0</v>
      </c>
      <c r="AK54" s="1" t="s">
        <v>5</v>
      </c>
      <c r="AL54" s="1" t="s">
        <v>154</v>
      </c>
      <c r="AM54" s="1" t="s">
        <v>261</v>
      </c>
      <c r="AN54" s="1">
        <v>15.0</v>
      </c>
      <c r="AO54" s="1" t="str">
        <f t="shared" si="2"/>
        <v>нет</v>
      </c>
      <c r="AP54" s="7">
        <v>176.0</v>
      </c>
      <c r="AQ54" s="7">
        <v>108.0</v>
      </c>
      <c r="AR54" s="9">
        <f t="shared" si="3"/>
        <v>34.86570248</v>
      </c>
      <c r="AS54" s="7" t="str">
        <f t="shared" si="4"/>
        <v>Ожирение I степени</v>
      </c>
      <c r="AT54" s="7">
        <v>115.0</v>
      </c>
      <c r="AU54" s="7">
        <v>77.0</v>
      </c>
      <c r="AV54" s="3">
        <v>90.0</v>
      </c>
      <c r="AW54" s="7">
        <v>105.0</v>
      </c>
      <c r="AX54" s="7">
        <v>37.3</v>
      </c>
      <c r="AY54" s="7">
        <v>26.0</v>
      </c>
      <c r="AZ54" s="7">
        <v>83.0</v>
      </c>
      <c r="BA54" s="10" t="str">
        <f t="shared" si="5"/>
        <v>да</v>
      </c>
      <c r="BB54" s="7">
        <v>95.0</v>
      </c>
      <c r="BC54" s="11"/>
      <c r="BD54" s="12" t="str">
        <f t="shared" si="6"/>
        <v>#DIV/0!</v>
      </c>
      <c r="BE54" s="12">
        <f t="shared" si="7"/>
        <v>1</v>
      </c>
      <c r="BF54" s="12">
        <f t="shared" si="8"/>
        <v>7</v>
      </c>
      <c r="BG54" s="1" t="s">
        <v>154</v>
      </c>
      <c r="BH54" s="1" t="s">
        <v>262</v>
      </c>
      <c r="BI54" s="1" t="s">
        <v>154</v>
      </c>
      <c r="BJ54" s="1" t="s">
        <v>237</v>
      </c>
      <c r="BK54" s="1" t="s">
        <v>150</v>
      </c>
      <c r="BL54" s="9"/>
      <c r="BM54" s="1" t="s">
        <v>154</v>
      </c>
      <c r="BN54" s="1" t="s">
        <v>155</v>
      </c>
      <c r="BO54" s="1" t="s">
        <v>150</v>
      </c>
      <c r="BP54" s="9"/>
      <c r="BQ54" s="9"/>
      <c r="BR54" s="1" t="s">
        <v>154</v>
      </c>
      <c r="BS54" s="1" t="s">
        <v>170</v>
      </c>
      <c r="BT54" s="28">
        <v>12.0</v>
      </c>
      <c r="BU54" s="1" t="s">
        <v>263</v>
      </c>
      <c r="BV54" s="7">
        <v>8.0</v>
      </c>
      <c r="BW54" s="1" t="s">
        <v>150</v>
      </c>
      <c r="BX54" s="10" t="s">
        <v>154</v>
      </c>
      <c r="BY54" s="1" t="s">
        <v>258</v>
      </c>
      <c r="BZ54" s="29" t="s">
        <v>158</v>
      </c>
      <c r="CA54" s="9"/>
      <c r="CB54" s="1" t="s">
        <v>150</v>
      </c>
      <c r="CC54" s="1" t="s">
        <v>150</v>
      </c>
      <c r="CD54" s="9"/>
      <c r="CE54" s="1" t="s">
        <v>150</v>
      </c>
      <c r="CF54" s="1" t="s">
        <v>150</v>
      </c>
      <c r="CG54" s="1" t="s">
        <v>154</v>
      </c>
      <c r="CH54" s="1" t="s">
        <v>150</v>
      </c>
      <c r="CI54" s="1" t="s">
        <v>150</v>
      </c>
      <c r="CJ54" s="1" t="s">
        <v>150</v>
      </c>
      <c r="CK54" s="1" t="s">
        <v>150</v>
      </c>
      <c r="CL54" s="1" t="s">
        <v>264</v>
      </c>
      <c r="CM54" s="7">
        <v>7.7</v>
      </c>
      <c r="CN54" s="7">
        <v>83.5</v>
      </c>
      <c r="CO54" s="7">
        <f t="shared" si="9"/>
        <v>6.4295</v>
      </c>
      <c r="CP54" s="7">
        <v>6.5</v>
      </c>
      <c r="CQ54" s="7">
        <f t="shared" si="10"/>
        <v>0.4179175</v>
      </c>
      <c r="CR54" s="7">
        <v>9.7</v>
      </c>
      <c r="CS54" s="7">
        <f t="shared" si="11"/>
        <v>0.0405379975</v>
      </c>
      <c r="CT54" s="7">
        <v>0.1</v>
      </c>
      <c r="CU54" s="7">
        <f t="shared" si="12"/>
        <v>0.0000405379975</v>
      </c>
      <c r="CV54" s="7">
        <f t="shared" si="13"/>
        <v>15.38461538</v>
      </c>
      <c r="CW54" s="7">
        <v>5.21</v>
      </c>
      <c r="CX54" s="7">
        <v>147.0</v>
      </c>
      <c r="CY54" s="7" t="str">
        <f t="shared" si="14"/>
        <v>Норма</v>
      </c>
      <c r="CZ54" s="7">
        <v>58.0</v>
      </c>
      <c r="DA54" s="7">
        <v>202.0</v>
      </c>
      <c r="DB54" s="7">
        <v>184.5</v>
      </c>
      <c r="DC54" s="7">
        <v>16.86</v>
      </c>
      <c r="DD54" s="7">
        <v>77.3</v>
      </c>
      <c r="DE54" s="7"/>
      <c r="DF54" s="7">
        <v>14.4</v>
      </c>
      <c r="DG54" s="7"/>
      <c r="DH54" s="7">
        <v>7.9</v>
      </c>
      <c r="DI54" s="7"/>
      <c r="DJ54" s="7">
        <v>0.2</v>
      </c>
      <c r="DK54" s="7"/>
      <c r="DL54" s="7"/>
      <c r="DM54" s="7">
        <v>5.3</v>
      </c>
      <c r="DN54" s="7">
        <v>145.0</v>
      </c>
      <c r="DO54" s="7" t="str">
        <f t="shared" si="15"/>
        <v>Норма</v>
      </c>
      <c r="DP54" s="7">
        <v>19.0</v>
      </c>
      <c r="DQ54" s="7">
        <v>332.0</v>
      </c>
      <c r="DR54" s="7">
        <v>21.0</v>
      </c>
      <c r="DS54" s="13">
        <v>1160.0</v>
      </c>
      <c r="DT54" s="7">
        <v>29.0</v>
      </c>
      <c r="DU54" s="7">
        <v>13.3</v>
      </c>
      <c r="DV54" s="7">
        <v>1.11</v>
      </c>
      <c r="DW54" s="1" t="s">
        <v>241</v>
      </c>
      <c r="DX54" s="9"/>
      <c r="DY54" s="7">
        <v>26.1</v>
      </c>
      <c r="DZ54" s="7">
        <v>9.5</v>
      </c>
      <c r="EA54" s="7">
        <v>0.81</v>
      </c>
      <c r="EB54" s="7"/>
      <c r="EC54" s="7">
        <v>8.44</v>
      </c>
      <c r="ED54" s="7">
        <v>2.98</v>
      </c>
      <c r="EE54" s="7">
        <v>32.26</v>
      </c>
      <c r="EF54" s="7">
        <v>45.5</v>
      </c>
      <c r="EG54" s="7">
        <v>69.4</v>
      </c>
      <c r="EH54" s="7">
        <v>15.56</v>
      </c>
      <c r="EI54" s="7">
        <v>9.1</v>
      </c>
      <c r="EJ54" s="7">
        <v>139.93</v>
      </c>
      <c r="EK54" s="14">
        <f t="shared" si="16"/>
        <v>41.71413421</v>
      </c>
      <c r="EL54" s="11" t="str">
        <f t="shared" si="17"/>
        <v>C3b</v>
      </c>
      <c r="EM54" s="7">
        <v>138.4</v>
      </c>
      <c r="EN54" s="7">
        <v>4.33</v>
      </c>
      <c r="EO54" s="7">
        <v>84.5</v>
      </c>
      <c r="EP54" s="7">
        <v>24.0</v>
      </c>
      <c r="EQ54" s="7">
        <v>67.6</v>
      </c>
      <c r="ER54" s="7">
        <v>14.6</v>
      </c>
      <c r="ES54" s="7">
        <v>5.0</v>
      </c>
      <c r="ET54" s="7">
        <v>76.0</v>
      </c>
      <c r="EU54" s="11">
        <f t="shared" si="18"/>
        <v>87.25409121</v>
      </c>
      <c r="EV54" s="11" t="str">
        <f t="shared" si="19"/>
        <v>C2</v>
      </c>
      <c r="EW54" s="7">
        <v>137.7</v>
      </c>
      <c r="EX54" s="7">
        <v>4.93</v>
      </c>
      <c r="EY54" s="9">
        <f t="shared" si="20"/>
        <v>0.5151139587</v>
      </c>
      <c r="EZ54" s="9">
        <f t="shared" si="21"/>
        <v>0.3739954615</v>
      </c>
      <c r="FA54" s="9" t="str">
        <f t="shared" si="22"/>
        <v>Благоприятный</v>
      </c>
      <c r="FB54" s="1" t="s">
        <v>150</v>
      </c>
      <c r="FC54" s="1" t="s">
        <v>148</v>
      </c>
    </row>
    <row r="55">
      <c r="A55" s="7">
        <v>54.0</v>
      </c>
      <c r="B55" s="21">
        <v>10.0</v>
      </c>
      <c r="C55" s="25">
        <v>4994.0</v>
      </c>
      <c r="D55" s="1" t="s">
        <v>148</v>
      </c>
      <c r="E55" s="7">
        <v>62.0</v>
      </c>
      <c r="F55" s="1" t="s">
        <v>161</v>
      </c>
      <c r="G55" s="7"/>
      <c r="H55" s="7">
        <v>22.0</v>
      </c>
      <c r="I55" s="1" t="s">
        <v>150</v>
      </c>
      <c r="J55" s="1" t="s">
        <v>150</v>
      </c>
      <c r="K55" s="9"/>
      <c r="L55" s="1" t="s">
        <v>150</v>
      </c>
      <c r="M55" s="1" t="s">
        <v>150</v>
      </c>
      <c r="N55" s="9"/>
      <c r="O55" s="1" t="str">
        <f t="shared" si="1"/>
        <v>нет</v>
      </c>
      <c r="P55" s="1" t="s">
        <v>150</v>
      </c>
      <c r="Q55" s="1" t="s">
        <v>154</v>
      </c>
      <c r="R55" s="7">
        <v>3.0</v>
      </c>
      <c r="S55" s="1" t="s">
        <v>154</v>
      </c>
      <c r="T55" s="1" t="s">
        <v>265</v>
      </c>
      <c r="U55" s="9"/>
      <c r="V55" s="9"/>
      <c r="W55" s="7">
        <v>2.0</v>
      </c>
      <c r="X55" s="9"/>
      <c r="Y55" s="1" t="s">
        <v>150</v>
      </c>
      <c r="Z55" s="9"/>
      <c r="AA55" s="9"/>
      <c r="AB55" s="9"/>
      <c r="AC55" s="9"/>
      <c r="AD55" s="26" t="s">
        <v>266</v>
      </c>
      <c r="AE55" s="1" t="s">
        <v>150</v>
      </c>
      <c r="AF55" s="7">
        <v>0.0</v>
      </c>
      <c r="AG55" s="27" t="s">
        <v>162</v>
      </c>
      <c r="AH55" s="27" t="s">
        <v>152</v>
      </c>
      <c r="AI55" s="1" t="s">
        <v>168</v>
      </c>
      <c r="AJ55" s="7">
        <v>3.0</v>
      </c>
      <c r="AK55" s="1" t="s">
        <v>5</v>
      </c>
      <c r="AL55" s="1" t="s">
        <v>150</v>
      </c>
      <c r="AM55" s="9"/>
      <c r="AN55" s="1">
        <v>15.0</v>
      </c>
      <c r="AO55" s="1" t="str">
        <f t="shared" si="2"/>
        <v>нет</v>
      </c>
      <c r="AP55" s="7">
        <v>156.0</v>
      </c>
      <c r="AQ55" s="7">
        <v>91.0</v>
      </c>
      <c r="AR55" s="9">
        <f t="shared" si="3"/>
        <v>37.39316239</v>
      </c>
      <c r="AS55" s="7" t="str">
        <f t="shared" si="4"/>
        <v>Ожирение II степени</v>
      </c>
      <c r="AT55" s="7">
        <v>160.0</v>
      </c>
      <c r="AU55" s="7">
        <v>90.0</v>
      </c>
      <c r="AV55" s="3">
        <v>113.0</v>
      </c>
      <c r="AW55" s="7">
        <v>90.0</v>
      </c>
      <c r="AX55" s="7">
        <v>38.0</v>
      </c>
      <c r="AY55" s="7">
        <v>22.0</v>
      </c>
      <c r="AZ55" s="7">
        <v>81.0</v>
      </c>
      <c r="BA55" s="10" t="str">
        <f t="shared" si="5"/>
        <v>да</v>
      </c>
      <c r="BB55" s="7">
        <v>92.0</v>
      </c>
      <c r="BC55" s="11"/>
      <c r="BD55" s="12" t="str">
        <f t="shared" si="6"/>
        <v>#DIV/0!</v>
      </c>
      <c r="BE55" s="12">
        <f t="shared" si="7"/>
        <v>1</v>
      </c>
      <c r="BF55" s="12">
        <f t="shared" si="8"/>
        <v>5</v>
      </c>
      <c r="BG55" s="1" t="s">
        <v>150</v>
      </c>
      <c r="BH55" s="9"/>
      <c r="BI55" s="1" t="s">
        <v>154</v>
      </c>
      <c r="BJ55" s="1" t="s">
        <v>237</v>
      </c>
      <c r="BK55" s="1" t="s">
        <v>150</v>
      </c>
      <c r="BL55" s="9"/>
      <c r="BM55" s="1" t="s">
        <v>154</v>
      </c>
      <c r="BN55" s="1" t="s">
        <v>155</v>
      </c>
      <c r="BO55" s="9"/>
      <c r="BP55" s="9"/>
      <c r="BQ55" s="9"/>
      <c r="BR55" s="1" t="s">
        <v>154</v>
      </c>
      <c r="BS55" s="1" t="s">
        <v>170</v>
      </c>
      <c r="BT55" s="28">
        <v>24.0</v>
      </c>
      <c r="BU55" s="1" t="s">
        <v>207</v>
      </c>
      <c r="BV55" s="7">
        <v>8.0</v>
      </c>
      <c r="BW55" s="1" t="s">
        <v>150</v>
      </c>
      <c r="BX55" s="10" t="s">
        <v>154</v>
      </c>
      <c r="BY55" s="1" t="s">
        <v>173</v>
      </c>
      <c r="BZ55" s="29" t="s">
        <v>158</v>
      </c>
      <c r="CA55" s="9"/>
      <c r="CB55" s="1" t="s">
        <v>150</v>
      </c>
      <c r="CC55" s="1" t="s">
        <v>150</v>
      </c>
      <c r="CD55" s="9"/>
      <c r="CE55" s="1" t="s">
        <v>267</v>
      </c>
      <c r="CF55" s="1" t="s">
        <v>150</v>
      </c>
      <c r="CG55" s="1" t="s">
        <v>150</v>
      </c>
      <c r="CH55" s="1" t="s">
        <v>154</v>
      </c>
      <c r="CI55" s="1" t="s">
        <v>150</v>
      </c>
      <c r="CJ55" s="1" t="s">
        <v>150</v>
      </c>
      <c r="CK55" s="1" t="s">
        <v>150</v>
      </c>
      <c r="CL55" s="1" t="s">
        <v>268</v>
      </c>
      <c r="CM55" s="7">
        <v>9.2</v>
      </c>
      <c r="CN55" s="7">
        <v>84.0</v>
      </c>
      <c r="CO55" s="7">
        <f t="shared" si="9"/>
        <v>7.728</v>
      </c>
      <c r="CP55" s="7">
        <v>11.7</v>
      </c>
      <c r="CQ55" s="7">
        <f t="shared" si="10"/>
        <v>0.904176</v>
      </c>
      <c r="CR55" s="7">
        <v>4.2</v>
      </c>
      <c r="CS55" s="7">
        <f t="shared" si="11"/>
        <v>0.037975392</v>
      </c>
      <c r="CT55" s="7">
        <v>0.0</v>
      </c>
      <c r="CU55" s="7">
        <f t="shared" si="12"/>
        <v>0</v>
      </c>
      <c r="CV55" s="7">
        <f t="shared" si="13"/>
        <v>8.547008547</v>
      </c>
      <c r="CW55" s="7">
        <v>4.18</v>
      </c>
      <c r="CX55" s="7">
        <v>110.0</v>
      </c>
      <c r="CY55" s="7" t="str">
        <f t="shared" si="14"/>
        <v>Легкая степень</v>
      </c>
      <c r="CZ55" s="9"/>
      <c r="DA55" s="7">
        <v>176.0</v>
      </c>
      <c r="DB55" s="7">
        <v>111.9</v>
      </c>
      <c r="DC55" s="7">
        <v>12.6</v>
      </c>
      <c r="DD55" s="7">
        <v>88.6</v>
      </c>
      <c r="DE55" s="7"/>
      <c r="DF55" s="7">
        <v>7.9</v>
      </c>
      <c r="DG55" s="7"/>
      <c r="DH55" s="7">
        <v>3.6</v>
      </c>
      <c r="DI55" s="7"/>
      <c r="DJ55" s="7">
        <v>0.9</v>
      </c>
      <c r="DK55" s="7"/>
      <c r="DL55" s="7"/>
      <c r="DM55" s="7">
        <v>4.19</v>
      </c>
      <c r="DN55" s="7">
        <v>111.0</v>
      </c>
      <c r="DO55" s="7" t="str">
        <f t="shared" si="15"/>
        <v>Легкая степень</v>
      </c>
      <c r="DP55" s="9"/>
      <c r="DQ55" s="7">
        <v>281.0</v>
      </c>
      <c r="DR55" s="7">
        <v>7.6</v>
      </c>
      <c r="DS55" s="13">
        <v>504.0</v>
      </c>
      <c r="DT55" s="9"/>
      <c r="DU55" s="7">
        <v>13.6</v>
      </c>
      <c r="DV55" s="7">
        <v>1.16</v>
      </c>
      <c r="DW55" s="1" t="s">
        <v>241</v>
      </c>
      <c r="DX55" s="9"/>
      <c r="DY55" s="9"/>
      <c r="DZ55" s="7">
        <v>11.1</v>
      </c>
      <c r="EA55" s="7">
        <v>0.9</v>
      </c>
      <c r="EB55" s="7"/>
      <c r="EC55" s="7">
        <v>7.93</v>
      </c>
      <c r="ED55" s="7">
        <v>6.9</v>
      </c>
      <c r="EE55" s="7">
        <v>79.6</v>
      </c>
      <c r="EF55" s="7">
        <v>23.5</v>
      </c>
      <c r="EG55" s="7">
        <v>82.6</v>
      </c>
      <c r="EH55" s="7">
        <v>7.9</v>
      </c>
      <c r="EI55" s="7">
        <v>4.0</v>
      </c>
      <c r="EJ55" s="7">
        <v>76.0</v>
      </c>
      <c r="EK55" s="14">
        <f t="shared" si="16"/>
        <v>72.68859265</v>
      </c>
      <c r="EL55" s="11" t="str">
        <f t="shared" si="17"/>
        <v>C2</v>
      </c>
      <c r="EM55" s="7">
        <v>134.1</v>
      </c>
      <c r="EN55" s="7">
        <v>4.04</v>
      </c>
      <c r="EO55" s="7">
        <v>42.5</v>
      </c>
      <c r="EP55" s="7">
        <v>7.2</v>
      </c>
      <c r="EQ55" s="7">
        <v>60.5</v>
      </c>
      <c r="ER55" s="7">
        <v>7.1</v>
      </c>
      <c r="ES55" s="7">
        <v>3.4</v>
      </c>
      <c r="ET55" s="7">
        <v>72.0</v>
      </c>
      <c r="EU55" s="11">
        <f t="shared" si="18"/>
        <v>77.59878213</v>
      </c>
      <c r="EV55" s="11" t="str">
        <f t="shared" si="19"/>
        <v>C2</v>
      </c>
      <c r="EW55" s="7">
        <v>135.6</v>
      </c>
      <c r="EX55" s="7">
        <v>4.1</v>
      </c>
      <c r="EY55" s="9">
        <f t="shared" si="20"/>
        <v>1.393693419</v>
      </c>
      <c r="EZ55" s="9">
        <f t="shared" si="21"/>
        <v>0.1988187781</v>
      </c>
      <c r="FA55" s="9" t="str">
        <f t="shared" si="22"/>
        <v>Благоприятный</v>
      </c>
      <c r="FB55" s="1" t="s">
        <v>150</v>
      </c>
      <c r="FC55" s="1" t="s">
        <v>148</v>
      </c>
    </row>
    <row r="56">
      <c r="A56" s="7">
        <v>55.0</v>
      </c>
      <c r="B56" s="21">
        <v>11.0</v>
      </c>
      <c r="C56" s="25">
        <v>5378.0</v>
      </c>
      <c r="D56" s="1" t="s">
        <v>148</v>
      </c>
      <c r="E56" s="7">
        <v>37.0</v>
      </c>
      <c r="F56" s="1" t="s">
        <v>149</v>
      </c>
      <c r="G56" s="7"/>
      <c r="H56" s="7">
        <v>18.0</v>
      </c>
      <c r="I56" s="1" t="s">
        <v>150</v>
      </c>
      <c r="J56" s="1" t="s">
        <v>150</v>
      </c>
      <c r="K56" s="9"/>
      <c r="L56" s="1" t="s">
        <v>150</v>
      </c>
      <c r="M56" s="1" t="s">
        <v>150</v>
      </c>
      <c r="N56" s="9"/>
      <c r="O56" s="1" t="str">
        <f t="shared" si="1"/>
        <v>нет</v>
      </c>
      <c r="P56" s="1" t="s">
        <v>150</v>
      </c>
      <c r="Q56" s="1" t="s">
        <v>150</v>
      </c>
      <c r="R56" s="9"/>
      <c r="S56" s="1" t="s">
        <v>150</v>
      </c>
      <c r="T56" s="9"/>
      <c r="U56" s="9"/>
      <c r="V56" s="9"/>
      <c r="W56" s="9"/>
      <c r="X56" s="9"/>
      <c r="Y56" s="1" t="s">
        <v>150</v>
      </c>
      <c r="Z56" s="9"/>
      <c r="AA56" s="9"/>
      <c r="AB56" s="9"/>
      <c r="AC56" s="9"/>
      <c r="AD56" s="26"/>
      <c r="AE56" s="1" t="s">
        <v>150</v>
      </c>
      <c r="AF56" s="7">
        <v>0.0</v>
      </c>
      <c r="AG56" s="27" t="s">
        <v>162</v>
      </c>
      <c r="AH56" s="27" t="s">
        <v>152</v>
      </c>
      <c r="AI56" s="1" t="s">
        <v>168</v>
      </c>
      <c r="AJ56" s="7">
        <v>1.0</v>
      </c>
      <c r="AK56" s="1" t="s">
        <v>5</v>
      </c>
      <c r="AL56" s="1" t="s">
        <v>150</v>
      </c>
      <c r="AM56" s="9"/>
      <c r="AN56" s="1">
        <v>15.0</v>
      </c>
      <c r="AO56" s="1" t="str">
        <f t="shared" si="2"/>
        <v>нет</v>
      </c>
      <c r="AP56" s="7">
        <v>174.0</v>
      </c>
      <c r="AQ56" s="7">
        <v>90.0</v>
      </c>
      <c r="AR56" s="9">
        <f t="shared" si="3"/>
        <v>29.72651605</v>
      </c>
      <c r="AS56" s="7" t="str">
        <f t="shared" si="4"/>
        <v>Избыточный вес (предожирение)</v>
      </c>
      <c r="AT56" s="7">
        <v>130.0</v>
      </c>
      <c r="AU56" s="7">
        <v>91.0</v>
      </c>
      <c r="AV56" s="3">
        <v>104.0</v>
      </c>
      <c r="AW56" s="7">
        <v>98.0</v>
      </c>
      <c r="AX56" s="7">
        <v>38.6</v>
      </c>
      <c r="AY56" s="7">
        <v>22.0</v>
      </c>
      <c r="AZ56" s="7">
        <v>94.0</v>
      </c>
      <c r="BA56" s="10" t="str">
        <f t="shared" si="5"/>
        <v>да</v>
      </c>
      <c r="BB56" s="7">
        <v>96.0</v>
      </c>
      <c r="BC56" s="11"/>
      <c r="BD56" s="12" t="str">
        <f t="shared" si="6"/>
        <v>#DIV/0!</v>
      </c>
      <c r="BE56" s="12">
        <f t="shared" si="7"/>
        <v>1</v>
      </c>
      <c r="BF56" s="12">
        <f t="shared" si="8"/>
        <v>5</v>
      </c>
      <c r="BG56" s="1" t="s">
        <v>150</v>
      </c>
      <c r="BH56" s="9"/>
      <c r="BI56" s="1" t="s">
        <v>154</v>
      </c>
      <c r="BJ56" s="1" t="s">
        <v>237</v>
      </c>
      <c r="BK56" s="1" t="s">
        <v>150</v>
      </c>
      <c r="BL56" s="9"/>
      <c r="BM56" s="1" t="s">
        <v>154</v>
      </c>
      <c r="BN56" s="1" t="s">
        <v>155</v>
      </c>
      <c r="BO56" s="9"/>
      <c r="BP56" s="9"/>
      <c r="BQ56" s="9"/>
      <c r="BR56" s="1" t="s">
        <v>154</v>
      </c>
      <c r="BS56" s="1" t="s">
        <v>170</v>
      </c>
      <c r="BT56" s="30"/>
      <c r="BU56" s="1" t="s">
        <v>207</v>
      </c>
      <c r="BV56" s="7">
        <v>8.0</v>
      </c>
      <c r="BW56" s="1" t="s">
        <v>150</v>
      </c>
      <c r="BX56" s="10" t="s">
        <v>154</v>
      </c>
      <c r="BY56" s="1" t="s">
        <v>269</v>
      </c>
      <c r="BZ56" s="29" t="s">
        <v>158</v>
      </c>
      <c r="CA56" s="9"/>
      <c r="CB56" s="1" t="s">
        <v>150</v>
      </c>
      <c r="CC56" s="1" t="s">
        <v>150</v>
      </c>
      <c r="CD56" s="9"/>
      <c r="CE56" s="1" t="s">
        <v>150</v>
      </c>
      <c r="CF56" s="1" t="s">
        <v>150</v>
      </c>
      <c r="CG56" s="1" t="s">
        <v>150</v>
      </c>
      <c r="CH56" s="1" t="s">
        <v>150</v>
      </c>
      <c r="CI56" s="1" t="s">
        <v>150</v>
      </c>
      <c r="CJ56" s="1" t="s">
        <v>150</v>
      </c>
      <c r="CK56" s="1" t="s">
        <v>150</v>
      </c>
      <c r="CL56" s="1" t="s">
        <v>270</v>
      </c>
      <c r="CM56" s="7">
        <v>3.4</v>
      </c>
      <c r="CN56" s="7">
        <v>63.8</v>
      </c>
      <c r="CO56" s="7">
        <f t="shared" si="9"/>
        <v>2.1692</v>
      </c>
      <c r="CP56" s="7">
        <v>23.5</v>
      </c>
      <c r="CQ56" s="7">
        <f t="shared" si="10"/>
        <v>0.509762</v>
      </c>
      <c r="CR56" s="7">
        <v>12.6</v>
      </c>
      <c r="CS56" s="7">
        <f t="shared" si="11"/>
        <v>0.064230012</v>
      </c>
      <c r="CT56" s="7">
        <v>0.0</v>
      </c>
      <c r="CU56" s="7">
        <f t="shared" si="12"/>
        <v>0</v>
      </c>
      <c r="CV56" s="7">
        <f t="shared" si="13"/>
        <v>4.255319149</v>
      </c>
      <c r="CW56" s="7">
        <v>5.38</v>
      </c>
      <c r="CX56" s="7">
        <v>157.0</v>
      </c>
      <c r="CY56" s="7" t="str">
        <f t="shared" si="14"/>
        <v>Норма</v>
      </c>
      <c r="CZ56" s="7">
        <v>10.0</v>
      </c>
      <c r="DA56" s="7">
        <v>121.0</v>
      </c>
      <c r="DB56" s="7">
        <v>40.2</v>
      </c>
      <c r="DC56" s="7">
        <v>6.9</v>
      </c>
      <c r="DD56" s="7">
        <v>48.0</v>
      </c>
      <c r="DE56" s="7"/>
      <c r="DF56" s="7">
        <v>40.9</v>
      </c>
      <c r="DG56" s="7"/>
      <c r="DH56" s="7">
        <v>9.9</v>
      </c>
      <c r="DI56" s="7"/>
      <c r="DJ56" s="7">
        <v>0.9</v>
      </c>
      <c r="DK56" s="7"/>
      <c r="DL56" s="7"/>
      <c r="DM56" s="7">
        <v>5.19</v>
      </c>
      <c r="DN56" s="7">
        <v>148.0</v>
      </c>
      <c r="DO56" s="7" t="str">
        <f t="shared" si="15"/>
        <v>Норма</v>
      </c>
      <c r="DP56" s="7">
        <v>9.0</v>
      </c>
      <c r="DQ56" s="7">
        <v>300.0</v>
      </c>
      <c r="DR56" s="7">
        <v>8.7</v>
      </c>
      <c r="DS56" s="13">
        <v>612.2</v>
      </c>
      <c r="DT56" s="9"/>
      <c r="DU56" s="7">
        <v>13.5</v>
      </c>
      <c r="DV56" s="7">
        <v>1.15</v>
      </c>
      <c r="DW56" s="1" t="s">
        <v>241</v>
      </c>
      <c r="DX56" s="9"/>
      <c r="DY56" s="9"/>
      <c r="DZ56" s="7">
        <v>12.0</v>
      </c>
      <c r="EA56" s="7">
        <v>1.0</v>
      </c>
      <c r="EB56" s="7"/>
      <c r="EC56" s="7">
        <v>5.48</v>
      </c>
      <c r="ED56" s="7">
        <v>3.79</v>
      </c>
      <c r="EE56" s="7">
        <v>62.6</v>
      </c>
      <c r="EF56" s="7">
        <v>90.6</v>
      </c>
      <c r="EG56" s="7">
        <v>77.0</v>
      </c>
      <c r="EH56" s="7">
        <v>10.4</v>
      </c>
      <c r="EI56" s="7">
        <v>5.7</v>
      </c>
      <c r="EJ56" s="7">
        <v>100.0</v>
      </c>
      <c r="EK56" s="14">
        <f t="shared" si="16"/>
        <v>62.17827668</v>
      </c>
      <c r="EL56" s="11" t="str">
        <f t="shared" si="17"/>
        <v>C2</v>
      </c>
      <c r="EM56" s="7">
        <v>136.7</v>
      </c>
      <c r="EN56" s="7">
        <v>4.84</v>
      </c>
      <c r="EO56" s="7">
        <v>135.0</v>
      </c>
      <c r="EP56" s="7">
        <v>65.4</v>
      </c>
      <c r="EQ56" s="7">
        <v>59.0</v>
      </c>
      <c r="ER56" s="7">
        <v>14.5</v>
      </c>
      <c r="ES56" s="7">
        <v>4.7</v>
      </c>
      <c r="ET56" s="7">
        <v>93.0</v>
      </c>
      <c r="EU56" s="11">
        <f t="shared" si="18"/>
        <v>67.88015046</v>
      </c>
      <c r="EV56" s="11" t="str">
        <f t="shared" si="19"/>
        <v>C2</v>
      </c>
      <c r="EW56" s="7">
        <v>136.6</v>
      </c>
      <c r="EX56" s="7">
        <v>4.17</v>
      </c>
      <c r="EY56" s="9">
        <f t="shared" si="20"/>
        <v>0.9184943639</v>
      </c>
      <c r="EZ56" s="9">
        <f t="shared" si="21"/>
        <v>0.2852647773</v>
      </c>
      <c r="FA56" s="9" t="str">
        <f t="shared" si="22"/>
        <v>Благоприятный</v>
      </c>
      <c r="FB56" s="1" t="s">
        <v>150</v>
      </c>
      <c r="FC56" s="1" t="s">
        <v>148</v>
      </c>
    </row>
    <row r="57">
      <c r="A57" s="7">
        <v>56.0</v>
      </c>
      <c r="B57" s="21">
        <v>12.0</v>
      </c>
      <c r="C57" s="25">
        <v>9025.0</v>
      </c>
      <c r="D57" s="1" t="s">
        <v>148</v>
      </c>
      <c r="E57" s="7">
        <v>66.0</v>
      </c>
      <c r="F57" s="1" t="s">
        <v>161</v>
      </c>
      <c r="G57" s="7"/>
      <c r="H57" s="7">
        <v>63.0</v>
      </c>
      <c r="I57" s="1" t="s">
        <v>150</v>
      </c>
      <c r="J57" s="1" t="s">
        <v>150</v>
      </c>
      <c r="K57" s="9"/>
      <c r="L57" s="1" t="s">
        <v>150</v>
      </c>
      <c r="M57" s="1" t="s">
        <v>154</v>
      </c>
      <c r="N57" s="1" t="s">
        <v>192</v>
      </c>
      <c r="O57" s="1" t="str">
        <f t="shared" si="1"/>
        <v>нет</v>
      </c>
      <c r="P57" s="1" t="s">
        <v>154</v>
      </c>
      <c r="Q57" s="1" t="s">
        <v>154</v>
      </c>
      <c r="R57" s="7">
        <v>2.0</v>
      </c>
      <c r="S57" s="1" t="s">
        <v>150</v>
      </c>
      <c r="T57" s="9"/>
      <c r="U57" s="9"/>
      <c r="V57" s="9"/>
      <c r="W57" s="9"/>
      <c r="X57" s="1" t="s">
        <v>154</v>
      </c>
      <c r="Y57" s="1" t="s">
        <v>150</v>
      </c>
      <c r="Z57" s="9"/>
      <c r="AA57" s="9"/>
      <c r="AB57" s="9"/>
      <c r="AC57" s="9"/>
      <c r="AD57" s="26" t="s">
        <v>271</v>
      </c>
      <c r="AE57" s="1" t="s">
        <v>150</v>
      </c>
      <c r="AF57" s="7">
        <v>0.0</v>
      </c>
      <c r="AG57" s="27" t="s">
        <v>162</v>
      </c>
      <c r="AH57" s="27" t="s">
        <v>152</v>
      </c>
      <c r="AI57" s="1" t="s">
        <v>168</v>
      </c>
      <c r="AJ57" s="7">
        <v>2.0</v>
      </c>
      <c r="AK57" s="1" t="s">
        <v>5</v>
      </c>
      <c r="AL57" s="1" t="s">
        <v>150</v>
      </c>
      <c r="AM57" s="9"/>
      <c r="AN57" s="1">
        <v>15.0</v>
      </c>
      <c r="AO57" s="1" t="str">
        <f t="shared" si="2"/>
        <v>нет</v>
      </c>
      <c r="AP57" s="7">
        <v>164.0</v>
      </c>
      <c r="AQ57" s="7">
        <v>90.0</v>
      </c>
      <c r="AR57" s="9">
        <f t="shared" si="3"/>
        <v>33.46222487</v>
      </c>
      <c r="AS57" s="7" t="str">
        <f t="shared" si="4"/>
        <v>Ожирение I степени</v>
      </c>
      <c r="AT57" s="7">
        <v>140.0</v>
      </c>
      <c r="AU57" s="7">
        <v>70.0</v>
      </c>
      <c r="AV57" s="3">
        <v>93.0</v>
      </c>
      <c r="AW57" s="7">
        <v>91.0</v>
      </c>
      <c r="AX57" s="7">
        <v>37.5</v>
      </c>
      <c r="AY57" s="7">
        <v>23.0</v>
      </c>
      <c r="AZ57" s="7">
        <v>87.0</v>
      </c>
      <c r="BA57" s="10" t="str">
        <f t="shared" si="5"/>
        <v>да</v>
      </c>
      <c r="BB57" s="7">
        <v>94.0</v>
      </c>
      <c r="BC57" s="11"/>
      <c r="BD57" s="12" t="str">
        <f t="shared" si="6"/>
        <v>#DIV/0!</v>
      </c>
      <c r="BE57" s="12">
        <f t="shared" si="7"/>
        <v>1</v>
      </c>
      <c r="BF57" s="12">
        <f t="shared" si="8"/>
        <v>6</v>
      </c>
      <c r="BG57" s="1" t="s">
        <v>154</v>
      </c>
      <c r="BH57" s="1" t="s">
        <v>169</v>
      </c>
      <c r="BI57" s="1" t="s">
        <v>154</v>
      </c>
      <c r="BJ57" s="1" t="s">
        <v>237</v>
      </c>
      <c r="BK57" s="1" t="s">
        <v>154</v>
      </c>
      <c r="BL57" s="1" t="s">
        <v>189</v>
      </c>
      <c r="BM57" s="1" t="s">
        <v>154</v>
      </c>
      <c r="BN57" s="1" t="s">
        <v>155</v>
      </c>
      <c r="BO57" s="1" t="s">
        <v>154</v>
      </c>
      <c r="BP57" s="1" t="s">
        <v>157</v>
      </c>
      <c r="BQ57" s="9"/>
      <c r="BR57" s="1" t="s">
        <v>154</v>
      </c>
      <c r="BS57" s="1" t="s">
        <v>170</v>
      </c>
      <c r="BT57" s="28">
        <v>12.0</v>
      </c>
      <c r="BU57" s="1" t="s">
        <v>207</v>
      </c>
      <c r="BV57" s="7">
        <v>8.0</v>
      </c>
      <c r="BW57" s="1" t="s">
        <v>150</v>
      </c>
      <c r="BX57" s="10" t="s">
        <v>154</v>
      </c>
      <c r="BY57" s="1" t="s">
        <v>239</v>
      </c>
      <c r="BZ57" s="29" t="s">
        <v>158</v>
      </c>
      <c r="CA57" s="1" t="s">
        <v>272</v>
      </c>
      <c r="CB57" s="1" t="s">
        <v>150</v>
      </c>
      <c r="CC57" s="1" t="s">
        <v>150</v>
      </c>
      <c r="CD57" s="1" t="s">
        <v>247</v>
      </c>
      <c r="CE57" s="1" t="s">
        <v>150</v>
      </c>
      <c r="CF57" s="1" t="s">
        <v>150</v>
      </c>
      <c r="CG57" s="1" t="s">
        <v>154</v>
      </c>
      <c r="CH57" s="1" t="s">
        <v>150</v>
      </c>
      <c r="CI57" s="1" t="s">
        <v>150</v>
      </c>
      <c r="CJ57" s="1" t="s">
        <v>150</v>
      </c>
      <c r="CK57" s="1" t="s">
        <v>150</v>
      </c>
      <c r="CL57" s="1" t="s">
        <v>273</v>
      </c>
      <c r="CM57" s="7">
        <v>5.3</v>
      </c>
      <c r="CN57" s="7">
        <v>70.4</v>
      </c>
      <c r="CO57" s="7">
        <f t="shared" si="9"/>
        <v>3.7312</v>
      </c>
      <c r="CP57" s="7">
        <v>23.3</v>
      </c>
      <c r="CQ57" s="7">
        <f t="shared" si="10"/>
        <v>0.8693696</v>
      </c>
      <c r="CR57" s="7">
        <v>6.1</v>
      </c>
      <c r="CS57" s="7">
        <f t="shared" si="11"/>
        <v>0.0530315456</v>
      </c>
      <c r="CT57" s="7">
        <v>0.0</v>
      </c>
      <c r="CU57" s="7">
        <f t="shared" si="12"/>
        <v>0</v>
      </c>
      <c r="CV57" s="7">
        <f t="shared" si="13"/>
        <v>4.291845494</v>
      </c>
      <c r="CW57" s="7">
        <v>4.78</v>
      </c>
      <c r="CX57" s="7">
        <v>145.0</v>
      </c>
      <c r="CY57" s="7" t="str">
        <f t="shared" si="14"/>
        <v>Норма</v>
      </c>
      <c r="CZ57" s="7">
        <v>24.0</v>
      </c>
      <c r="DA57" s="7">
        <v>130.0</v>
      </c>
      <c r="DB57" s="7">
        <v>59.2</v>
      </c>
      <c r="DC57" s="7">
        <v>11.72</v>
      </c>
      <c r="DD57" s="7">
        <v>61.3</v>
      </c>
      <c r="DE57" s="7"/>
      <c r="DF57" s="7">
        <v>32.8</v>
      </c>
      <c r="DG57" s="7"/>
      <c r="DH57" s="7">
        <v>4.7</v>
      </c>
      <c r="DI57" s="7"/>
      <c r="DJ57" s="7">
        <v>0.9</v>
      </c>
      <c r="DK57" s="7"/>
      <c r="DL57" s="7"/>
      <c r="DM57" s="7">
        <v>3.73</v>
      </c>
      <c r="DN57" s="7">
        <v>110.0</v>
      </c>
      <c r="DO57" s="7" t="str">
        <f t="shared" si="15"/>
        <v>Легкая степень</v>
      </c>
      <c r="DP57" s="7">
        <v>34.0</v>
      </c>
      <c r="DQ57" s="7">
        <v>295.0</v>
      </c>
      <c r="DR57" s="7">
        <v>17.9</v>
      </c>
      <c r="DS57" s="13">
        <v>576.0</v>
      </c>
      <c r="DT57" s="9"/>
      <c r="DU57" s="7">
        <v>13.5</v>
      </c>
      <c r="DV57" s="7">
        <v>1.15</v>
      </c>
      <c r="DW57" s="1" t="s">
        <v>241</v>
      </c>
      <c r="DX57" s="9"/>
      <c r="DY57" s="9"/>
      <c r="DZ57" s="7">
        <v>12.0</v>
      </c>
      <c r="EA57" s="7">
        <v>1.026</v>
      </c>
      <c r="EB57" s="7"/>
      <c r="EC57" s="7">
        <v>9.14</v>
      </c>
      <c r="ED57" s="7">
        <v>8.34</v>
      </c>
      <c r="EE57" s="7">
        <v>36.4</v>
      </c>
      <c r="EF57" s="7">
        <v>55.2</v>
      </c>
      <c r="EG57" s="7">
        <v>66.2</v>
      </c>
      <c r="EH57" s="7">
        <v>7.9</v>
      </c>
      <c r="EI57" s="7">
        <v>3.3</v>
      </c>
      <c r="EJ57" s="7">
        <v>94.0</v>
      </c>
      <c r="EK57" s="14">
        <f t="shared" si="16"/>
        <v>54.65819837</v>
      </c>
      <c r="EL57" s="11" t="str">
        <f t="shared" si="17"/>
        <v>C3a</v>
      </c>
      <c r="EM57" s="9"/>
      <c r="EN57" s="9"/>
      <c r="EO57" s="7">
        <v>22.1</v>
      </c>
      <c r="EP57" s="7">
        <v>9.7</v>
      </c>
      <c r="EQ57" s="7">
        <v>52.6</v>
      </c>
      <c r="ER57" s="7">
        <v>7.9</v>
      </c>
      <c r="ES57" s="7">
        <v>2.8</v>
      </c>
      <c r="ET57" s="7">
        <v>80.0</v>
      </c>
      <c r="EU57" s="11">
        <f t="shared" si="18"/>
        <v>66.42492813</v>
      </c>
      <c r="EV57" s="11" t="str">
        <f t="shared" si="19"/>
        <v>C2</v>
      </c>
      <c r="EW57" s="9"/>
      <c r="EX57" s="9"/>
      <c r="EY57" s="9">
        <f t="shared" si="20"/>
        <v>-0.9317114218</v>
      </c>
      <c r="EZ57" s="9">
        <f t="shared" si="21"/>
        <v>0.7174223668</v>
      </c>
      <c r="FA57" s="9" t="str">
        <f t="shared" si="22"/>
        <v>Неблагоприятный</v>
      </c>
      <c r="FB57" s="1" t="s">
        <v>256</v>
      </c>
      <c r="FC57" s="1" t="s">
        <v>148</v>
      </c>
    </row>
    <row r="58">
      <c r="A58" s="7">
        <v>57.0</v>
      </c>
      <c r="B58" s="21">
        <v>13.0</v>
      </c>
      <c r="C58" s="25">
        <v>8543.0</v>
      </c>
      <c r="D58" s="1" t="s">
        <v>148</v>
      </c>
      <c r="E58" s="7">
        <v>62.0</v>
      </c>
      <c r="F58" s="1" t="s">
        <v>161</v>
      </c>
      <c r="G58" s="7"/>
      <c r="H58" s="7">
        <v>42.0</v>
      </c>
      <c r="I58" s="1" t="s">
        <v>150</v>
      </c>
      <c r="J58" s="1" t="s">
        <v>150</v>
      </c>
      <c r="K58" s="9"/>
      <c r="L58" s="1" t="s">
        <v>150</v>
      </c>
      <c r="M58" s="1" t="s">
        <v>154</v>
      </c>
      <c r="N58" s="1" t="s">
        <v>192</v>
      </c>
      <c r="O58" s="1" t="str">
        <f t="shared" si="1"/>
        <v>нет</v>
      </c>
      <c r="P58" s="1" t="s">
        <v>154</v>
      </c>
      <c r="Q58" s="1" t="s">
        <v>150</v>
      </c>
      <c r="R58" s="9"/>
      <c r="S58" s="1" t="s">
        <v>150</v>
      </c>
      <c r="T58" s="9"/>
      <c r="U58" s="9"/>
      <c r="V58" s="9"/>
      <c r="W58" s="9"/>
      <c r="X58" s="9"/>
      <c r="Y58" s="1" t="s">
        <v>150</v>
      </c>
      <c r="Z58" s="9"/>
      <c r="AA58" s="9"/>
      <c r="AB58" s="9"/>
      <c r="AC58" s="9"/>
      <c r="AD58" s="26" t="s">
        <v>274</v>
      </c>
      <c r="AE58" s="1" t="s">
        <v>150</v>
      </c>
      <c r="AF58" s="7">
        <v>0.0</v>
      </c>
      <c r="AG58" s="27" t="s">
        <v>162</v>
      </c>
      <c r="AH58" s="27" t="s">
        <v>152</v>
      </c>
      <c r="AI58" s="1" t="s">
        <v>168</v>
      </c>
      <c r="AJ58" s="7">
        <v>3.0</v>
      </c>
      <c r="AK58" s="1" t="s">
        <v>5</v>
      </c>
      <c r="AL58" s="1" t="s">
        <v>150</v>
      </c>
      <c r="AM58" s="9"/>
      <c r="AN58" s="1">
        <v>15.0</v>
      </c>
      <c r="AO58" s="1" t="str">
        <f t="shared" si="2"/>
        <v>нет</v>
      </c>
      <c r="AP58" s="7">
        <v>179.0</v>
      </c>
      <c r="AQ58" s="7">
        <v>100.0</v>
      </c>
      <c r="AR58" s="9">
        <f t="shared" si="3"/>
        <v>31.21001217</v>
      </c>
      <c r="AS58" s="7" t="str">
        <f t="shared" si="4"/>
        <v>Ожирение I степени</v>
      </c>
      <c r="AT58" s="7">
        <v>135.0</v>
      </c>
      <c r="AU58" s="7">
        <v>80.0</v>
      </c>
      <c r="AV58" s="3">
        <v>98.0</v>
      </c>
      <c r="AW58" s="7">
        <v>106.0</v>
      </c>
      <c r="AX58" s="7">
        <v>37.0</v>
      </c>
      <c r="AY58" s="7">
        <v>25.0</v>
      </c>
      <c r="AZ58" s="7">
        <v>70.0</v>
      </c>
      <c r="BA58" s="10" t="str">
        <f t="shared" si="5"/>
        <v>да</v>
      </c>
      <c r="BB58" s="7">
        <v>80.0</v>
      </c>
      <c r="BC58" s="11"/>
      <c r="BD58" s="12" t="str">
        <f t="shared" si="6"/>
        <v>#DIV/0!</v>
      </c>
      <c r="BE58" s="12">
        <f t="shared" si="7"/>
        <v>1</v>
      </c>
      <c r="BF58" s="12">
        <f t="shared" si="8"/>
        <v>7</v>
      </c>
      <c r="BG58" s="1" t="s">
        <v>150</v>
      </c>
      <c r="BH58" s="9"/>
      <c r="BI58" s="1" t="s">
        <v>154</v>
      </c>
      <c r="BJ58" s="1" t="s">
        <v>237</v>
      </c>
      <c r="BK58" s="1" t="s">
        <v>150</v>
      </c>
      <c r="BL58" s="9"/>
      <c r="BM58" s="1" t="s">
        <v>154</v>
      </c>
      <c r="BN58" s="1" t="s">
        <v>155</v>
      </c>
      <c r="BO58" s="9"/>
      <c r="BP58" s="9"/>
      <c r="BQ58" s="9"/>
      <c r="BR58" s="1" t="s">
        <v>154</v>
      </c>
      <c r="BS58" s="1" t="s">
        <v>170</v>
      </c>
      <c r="BT58" s="28">
        <v>12.0</v>
      </c>
      <c r="BU58" s="1" t="s">
        <v>207</v>
      </c>
      <c r="BV58" s="7">
        <v>8.0</v>
      </c>
      <c r="BW58" s="1" t="s">
        <v>150</v>
      </c>
      <c r="BX58" s="10" t="s">
        <v>154</v>
      </c>
      <c r="BY58" s="1" t="s">
        <v>275</v>
      </c>
      <c r="BZ58" s="29" t="s">
        <v>158</v>
      </c>
      <c r="CA58" s="1" t="s">
        <v>167</v>
      </c>
      <c r="CB58" s="1" t="s">
        <v>150</v>
      </c>
      <c r="CC58" s="1" t="s">
        <v>150</v>
      </c>
      <c r="CD58" s="9"/>
      <c r="CE58" s="1" t="s">
        <v>267</v>
      </c>
      <c r="CF58" s="1" t="s">
        <v>150</v>
      </c>
      <c r="CG58" s="1" t="s">
        <v>150</v>
      </c>
      <c r="CH58" s="1" t="s">
        <v>150</v>
      </c>
      <c r="CI58" s="1" t="s">
        <v>150</v>
      </c>
      <c r="CJ58" s="1" t="s">
        <v>150</v>
      </c>
      <c r="CK58" s="1" t="s">
        <v>150</v>
      </c>
      <c r="CL58" s="1" t="s">
        <v>276</v>
      </c>
      <c r="CM58" s="7">
        <v>6.4</v>
      </c>
      <c r="CN58" s="7">
        <v>63.0</v>
      </c>
      <c r="CO58" s="7">
        <f t="shared" si="9"/>
        <v>4.032</v>
      </c>
      <c r="CP58" s="7">
        <v>27.0</v>
      </c>
      <c r="CQ58" s="7">
        <f t="shared" si="10"/>
        <v>1.08864</v>
      </c>
      <c r="CR58" s="7">
        <v>8.5</v>
      </c>
      <c r="CS58" s="7">
        <f t="shared" si="11"/>
        <v>0.0925344</v>
      </c>
      <c r="CT58" s="7">
        <v>0.6</v>
      </c>
      <c r="CU58" s="7">
        <f t="shared" si="12"/>
        <v>0.0005552064</v>
      </c>
      <c r="CV58" s="7">
        <f t="shared" si="13"/>
        <v>3.703703704</v>
      </c>
      <c r="CW58" s="7">
        <v>4.08</v>
      </c>
      <c r="CX58" s="7">
        <v>120.0</v>
      </c>
      <c r="CY58" s="7" t="str">
        <f t="shared" si="14"/>
        <v>Легкая степень</v>
      </c>
      <c r="CZ58" s="7">
        <v>10.0</v>
      </c>
      <c r="DA58" s="7">
        <v>181.0</v>
      </c>
      <c r="DB58" s="7">
        <v>8.8</v>
      </c>
      <c r="DC58" s="7">
        <v>24.3</v>
      </c>
      <c r="DD58" s="7">
        <v>65.0</v>
      </c>
      <c r="DE58" s="7"/>
      <c r="DF58" s="7">
        <v>24.3</v>
      </c>
      <c r="DG58" s="7"/>
      <c r="DH58" s="7">
        <v>9.3</v>
      </c>
      <c r="DI58" s="7"/>
      <c r="DJ58" s="7">
        <v>0.8</v>
      </c>
      <c r="DK58" s="7"/>
      <c r="DL58" s="7"/>
      <c r="DM58" s="7">
        <v>4.14</v>
      </c>
      <c r="DN58" s="7">
        <v>122.0</v>
      </c>
      <c r="DO58" s="7" t="str">
        <f t="shared" si="15"/>
        <v>Легкая степень</v>
      </c>
      <c r="DP58" s="7">
        <v>8.0</v>
      </c>
      <c r="DQ58" s="7">
        <v>207.0</v>
      </c>
      <c r="DR58" s="7">
        <v>11.9</v>
      </c>
      <c r="DS58" s="13">
        <v>346.3</v>
      </c>
      <c r="DT58" s="9"/>
      <c r="DU58" s="7">
        <v>11.7</v>
      </c>
      <c r="DV58" s="7">
        <v>1.0</v>
      </c>
      <c r="DW58" s="1" t="s">
        <v>241</v>
      </c>
      <c r="DX58" s="9"/>
      <c r="DY58" s="9"/>
      <c r="DZ58" s="7">
        <v>11.3</v>
      </c>
      <c r="EA58" s="7">
        <v>0.97</v>
      </c>
      <c r="EB58" s="7"/>
      <c r="EC58" s="7">
        <v>4.31</v>
      </c>
      <c r="ED58" s="7">
        <v>5.32</v>
      </c>
      <c r="EE58" s="7">
        <v>65.2</v>
      </c>
      <c r="EF58" s="7">
        <v>28.2</v>
      </c>
      <c r="EG58" s="7">
        <v>54.8</v>
      </c>
      <c r="EH58" s="7">
        <v>8.6</v>
      </c>
      <c r="EI58" s="7">
        <v>3.6</v>
      </c>
      <c r="EJ58" s="7">
        <v>69.0</v>
      </c>
      <c r="EK58" s="14">
        <f t="shared" si="16"/>
        <v>81.6961034</v>
      </c>
      <c r="EL58" s="11" t="str">
        <f t="shared" si="17"/>
        <v>C2</v>
      </c>
      <c r="EM58" s="7">
        <v>139.4</v>
      </c>
      <c r="EN58" s="7">
        <v>3.61</v>
      </c>
      <c r="EO58" s="7">
        <v>57.4</v>
      </c>
      <c r="EP58" s="7">
        <v>19.9</v>
      </c>
      <c r="EQ58" s="7">
        <v>61.8</v>
      </c>
      <c r="ER58" s="7">
        <v>10.9</v>
      </c>
      <c r="ES58" s="7">
        <v>3.6</v>
      </c>
      <c r="ET58" s="7">
        <v>62.0</v>
      </c>
      <c r="EU58" s="11">
        <f t="shared" si="18"/>
        <v>93.10762666</v>
      </c>
      <c r="EV58" s="11" t="str">
        <f t="shared" si="19"/>
        <v>C1</v>
      </c>
      <c r="EW58" s="7">
        <v>136.2</v>
      </c>
      <c r="EX58" s="7">
        <v>5.01</v>
      </c>
      <c r="EY58" s="9">
        <f t="shared" si="20"/>
        <v>0.8276435698</v>
      </c>
      <c r="EZ58" s="9">
        <f t="shared" si="21"/>
        <v>0.3041435554</v>
      </c>
      <c r="FA58" s="9" t="str">
        <f t="shared" si="22"/>
        <v>Благоприятный</v>
      </c>
      <c r="FB58" s="1" t="s">
        <v>150</v>
      </c>
      <c r="FC58" s="1" t="s">
        <v>148</v>
      </c>
    </row>
    <row r="59">
      <c r="A59" s="7">
        <v>58.0</v>
      </c>
      <c r="B59" s="21">
        <v>14.0</v>
      </c>
      <c r="C59" s="25">
        <v>9885.0</v>
      </c>
      <c r="D59" s="1" t="s">
        <v>148</v>
      </c>
      <c r="E59" s="7">
        <v>73.0</v>
      </c>
      <c r="F59" s="1" t="s">
        <v>161</v>
      </c>
      <c r="G59" s="7"/>
      <c r="H59" s="7">
        <v>12.0</v>
      </c>
      <c r="I59" s="1" t="s">
        <v>154</v>
      </c>
      <c r="J59" s="1" t="s">
        <v>150</v>
      </c>
      <c r="K59" s="9"/>
      <c r="L59" s="1" t="s">
        <v>150</v>
      </c>
      <c r="M59" s="1" t="s">
        <v>150</v>
      </c>
      <c r="N59" s="9"/>
      <c r="O59" s="1" t="str">
        <f t="shared" si="1"/>
        <v>нет</v>
      </c>
      <c r="P59" s="1" t="s">
        <v>150</v>
      </c>
      <c r="Q59" s="1" t="s">
        <v>150</v>
      </c>
      <c r="R59" s="9"/>
      <c r="S59" s="1" t="s">
        <v>150</v>
      </c>
      <c r="T59" s="9"/>
      <c r="U59" s="9"/>
      <c r="V59" s="9"/>
      <c r="W59" s="9"/>
      <c r="X59" s="9"/>
      <c r="Y59" s="1" t="s">
        <v>150</v>
      </c>
      <c r="Z59" s="9"/>
      <c r="AA59" s="9"/>
      <c r="AB59" s="9"/>
      <c r="AC59" s="9"/>
      <c r="AD59" s="26" t="s">
        <v>277</v>
      </c>
      <c r="AE59" s="1" t="s">
        <v>150</v>
      </c>
      <c r="AF59" s="7">
        <v>0.0</v>
      </c>
      <c r="AG59" s="27" t="s">
        <v>162</v>
      </c>
      <c r="AH59" s="27" t="s">
        <v>152</v>
      </c>
      <c r="AI59" s="1" t="s">
        <v>153</v>
      </c>
      <c r="AJ59" s="7">
        <v>2.0</v>
      </c>
      <c r="AK59" s="1" t="s">
        <v>5</v>
      </c>
      <c r="AL59" s="1" t="s">
        <v>154</v>
      </c>
      <c r="AM59" s="1" t="s">
        <v>278</v>
      </c>
      <c r="AN59" s="1">
        <v>15.0</v>
      </c>
      <c r="AO59" s="1" t="str">
        <f t="shared" si="2"/>
        <v>нет</v>
      </c>
      <c r="AP59" s="7">
        <v>152.0</v>
      </c>
      <c r="AQ59" s="7">
        <v>95.0</v>
      </c>
      <c r="AR59" s="9">
        <f t="shared" si="3"/>
        <v>41.11842105</v>
      </c>
      <c r="AS59" s="7" t="str">
        <f t="shared" si="4"/>
        <v>Ожирение III степени (морбидное)</v>
      </c>
      <c r="AT59" s="7">
        <v>120.0</v>
      </c>
      <c r="AU59" s="7">
        <v>80.0</v>
      </c>
      <c r="AV59" s="3">
        <v>93.0</v>
      </c>
      <c r="AW59" s="7">
        <v>100.0</v>
      </c>
      <c r="AX59" s="7">
        <v>38.1</v>
      </c>
      <c r="AY59" s="7">
        <v>24.0</v>
      </c>
      <c r="AZ59" s="7">
        <v>89.0</v>
      </c>
      <c r="BA59" s="10" t="str">
        <f t="shared" si="5"/>
        <v>да</v>
      </c>
      <c r="BB59" s="7">
        <v>92.0</v>
      </c>
      <c r="BC59" s="11"/>
      <c r="BD59" s="12" t="str">
        <f t="shared" si="6"/>
        <v>#DIV/0!</v>
      </c>
      <c r="BE59" s="12">
        <f t="shared" si="7"/>
        <v>1</v>
      </c>
      <c r="BF59" s="12">
        <f t="shared" si="8"/>
        <v>7</v>
      </c>
      <c r="BG59" s="1" t="s">
        <v>150</v>
      </c>
      <c r="BH59" s="9"/>
      <c r="BI59" s="1" t="s">
        <v>154</v>
      </c>
      <c r="BJ59" s="1" t="s">
        <v>237</v>
      </c>
      <c r="BK59" s="1" t="s">
        <v>150</v>
      </c>
      <c r="BL59" s="9"/>
      <c r="BM59" s="1" t="s">
        <v>154</v>
      </c>
      <c r="BN59" s="1" t="s">
        <v>155</v>
      </c>
      <c r="BO59" s="1" t="s">
        <v>150</v>
      </c>
      <c r="BP59" s="9"/>
      <c r="BQ59" s="9"/>
      <c r="BR59" s="1" t="s">
        <v>154</v>
      </c>
      <c r="BS59" s="1" t="s">
        <v>170</v>
      </c>
      <c r="BT59" s="15">
        <v>12.0</v>
      </c>
      <c r="BU59" s="1" t="s">
        <v>157</v>
      </c>
      <c r="BV59" s="7">
        <v>20.0</v>
      </c>
      <c r="BW59" s="1" t="s">
        <v>150</v>
      </c>
      <c r="BX59" s="10" t="s">
        <v>154</v>
      </c>
      <c r="BY59" s="1" t="s">
        <v>258</v>
      </c>
      <c r="BZ59" s="29" t="s">
        <v>158</v>
      </c>
      <c r="CA59" s="9"/>
      <c r="CB59" s="1" t="s">
        <v>150</v>
      </c>
      <c r="CC59" s="1" t="s">
        <v>197</v>
      </c>
      <c r="CD59" s="9"/>
      <c r="CE59" s="1" t="s">
        <v>150</v>
      </c>
      <c r="CF59" s="1" t="s">
        <v>240</v>
      </c>
      <c r="CG59" s="1" t="s">
        <v>150</v>
      </c>
      <c r="CH59" s="1" t="s">
        <v>150</v>
      </c>
      <c r="CI59" s="1" t="s">
        <v>150</v>
      </c>
      <c r="CJ59" s="1" t="s">
        <v>150</v>
      </c>
      <c r="CK59" s="1" t="s">
        <v>150</v>
      </c>
      <c r="CL59" s="1" t="s">
        <v>279</v>
      </c>
      <c r="CM59" s="7">
        <v>14.9</v>
      </c>
      <c r="CN59" s="7">
        <v>83.0</v>
      </c>
      <c r="CO59" s="7">
        <f t="shared" si="9"/>
        <v>12.367</v>
      </c>
      <c r="CP59" s="7">
        <v>9.0</v>
      </c>
      <c r="CQ59" s="7">
        <f t="shared" si="10"/>
        <v>1.11303</v>
      </c>
      <c r="CR59" s="7">
        <v>7.3</v>
      </c>
      <c r="CS59" s="7">
        <f t="shared" si="11"/>
        <v>0.08125119</v>
      </c>
      <c r="CT59" s="7">
        <v>1.0</v>
      </c>
      <c r="CU59" s="7">
        <f t="shared" si="12"/>
        <v>0.0008125119</v>
      </c>
      <c r="CV59" s="7">
        <f t="shared" si="13"/>
        <v>11.11111111</v>
      </c>
      <c r="CW59" s="7">
        <v>4.54</v>
      </c>
      <c r="CX59" s="7">
        <v>115.0</v>
      </c>
      <c r="CY59" s="7" t="str">
        <f t="shared" si="14"/>
        <v>Легкая степень</v>
      </c>
      <c r="CZ59" s="9"/>
      <c r="DA59" s="7">
        <v>697.0</v>
      </c>
      <c r="DB59" s="7">
        <v>106.7</v>
      </c>
      <c r="DC59" s="7">
        <v>15.9</v>
      </c>
      <c r="DD59" s="7">
        <v>77.0</v>
      </c>
      <c r="DE59" s="7"/>
      <c r="DF59" s="7">
        <v>13.0</v>
      </c>
      <c r="DG59" s="7"/>
      <c r="DH59" s="7">
        <v>8.8</v>
      </c>
      <c r="DI59" s="7"/>
      <c r="DJ59" s="7">
        <v>0.4</v>
      </c>
      <c r="DK59" s="7"/>
      <c r="DL59" s="7"/>
      <c r="DM59" s="7">
        <v>5.52</v>
      </c>
      <c r="DN59" s="7">
        <v>138.0</v>
      </c>
      <c r="DO59" s="7" t="str">
        <f t="shared" si="15"/>
        <v>Норма</v>
      </c>
      <c r="DP59" s="9"/>
      <c r="DQ59" s="7">
        <v>107.0</v>
      </c>
      <c r="DR59" s="7">
        <v>9.1</v>
      </c>
      <c r="DS59" s="13">
        <v>920.0</v>
      </c>
      <c r="DT59" s="7">
        <v>28.3</v>
      </c>
      <c r="DU59" s="7">
        <v>14.7</v>
      </c>
      <c r="DV59" s="7">
        <v>1.0</v>
      </c>
      <c r="DW59" s="1" t="s">
        <v>241</v>
      </c>
      <c r="DX59" s="9"/>
      <c r="DY59" s="7">
        <v>22.1</v>
      </c>
      <c r="DZ59" s="7">
        <v>10.9</v>
      </c>
      <c r="EA59" s="7">
        <v>0.93</v>
      </c>
      <c r="EB59" s="7"/>
      <c r="EC59" s="7">
        <v>5.93</v>
      </c>
      <c r="ED59" s="7">
        <v>4.93</v>
      </c>
      <c r="EE59" s="7">
        <v>25.3</v>
      </c>
      <c r="EF59" s="7">
        <v>22.0</v>
      </c>
      <c r="EG59" s="7">
        <v>73.4</v>
      </c>
      <c r="EH59" s="7">
        <v>13.0</v>
      </c>
      <c r="EI59" s="7">
        <v>6.0</v>
      </c>
      <c r="EJ59" s="7">
        <v>79.0</v>
      </c>
      <c r="EK59" s="14">
        <f t="shared" si="16"/>
        <v>64.20671837</v>
      </c>
      <c r="EL59" s="11" t="str">
        <f t="shared" si="17"/>
        <v>C2</v>
      </c>
      <c r="EM59" s="7">
        <v>137.2</v>
      </c>
      <c r="EN59" s="7">
        <v>3.97</v>
      </c>
      <c r="EO59" s="7">
        <v>62.9</v>
      </c>
      <c r="EP59" s="7">
        <v>13.1</v>
      </c>
      <c r="EQ59" s="7">
        <v>73.1</v>
      </c>
      <c r="ER59" s="7">
        <v>12.1</v>
      </c>
      <c r="ES59" s="7">
        <v>4.6</v>
      </c>
      <c r="ET59" s="7">
        <v>94.0</v>
      </c>
      <c r="EU59" s="11">
        <f t="shared" si="18"/>
        <v>52.03553833</v>
      </c>
      <c r="EV59" s="11" t="str">
        <f t="shared" si="19"/>
        <v>C3a</v>
      </c>
      <c r="EW59" s="7">
        <v>137.2</v>
      </c>
      <c r="EX59" s="7">
        <v>3.74</v>
      </c>
      <c r="EY59" s="9">
        <f t="shared" si="20"/>
        <v>-1.686494474</v>
      </c>
      <c r="EZ59" s="9">
        <f t="shared" si="21"/>
        <v>0.8437625926</v>
      </c>
      <c r="FA59" s="9" t="str">
        <f t="shared" si="22"/>
        <v>Неблагоприятный</v>
      </c>
      <c r="FB59" s="1" t="s">
        <v>256</v>
      </c>
      <c r="FC59" s="1" t="s">
        <v>148</v>
      </c>
    </row>
    <row r="60">
      <c r="A60" s="7">
        <v>59.0</v>
      </c>
      <c r="B60" s="21">
        <v>15.0</v>
      </c>
      <c r="C60" s="25">
        <v>9297.0</v>
      </c>
      <c r="D60" s="1" t="s">
        <v>148</v>
      </c>
      <c r="E60" s="7">
        <v>37.0</v>
      </c>
      <c r="F60" s="1" t="s">
        <v>149</v>
      </c>
      <c r="G60" s="7"/>
      <c r="H60" s="7">
        <v>20.0</v>
      </c>
      <c r="I60" s="1" t="s">
        <v>150</v>
      </c>
      <c r="J60" s="1" t="s">
        <v>150</v>
      </c>
      <c r="K60" s="9"/>
      <c r="L60" s="1" t="s">
        <v>150</v>
      </c>
      <c r="M60" s="1" t="s">
        <v>150</v>
      </c>
      <c r="N60" s="9"/>
      <c r="O60" s="1" t="str">
        <f t="shared" si="1"/>
        <v>нет</v>
      </c>
      <c r="P60" s="1" t="s">
        <v>150</v>
      </c>
      <c r="Q60" s="1" t="s">
        <v>150</v>
      </c>
      <c r="R60" s="9"/>
      <c r="S60" s="1" t="s">
        <v>150</v>
      </c>
      <c r="T60" s="9"/>
      <c r="U60" s="9"/>
      <c r="V60" s="9"/>
      <c r="W60" s="9"/>
      <c r="X60" s="9"/>
      <c r="Y60" s="1" t="s">
        <v>150</v>
      </c>
      <c r="Z60" s="9"/>
      <c r="AA60" s="9"/>
      <c r="AB60" s="9"/>
      <c r="AC60" s="9"/>
      <c r="AD60" s="26"/>
      <c r="AE60" s="1" t="s">
        <v>150</v>
      </c>
      <c r="AF60" s="7">
        <v>0.0</v>
      </c>
      <c r="AG60" s="27" t="s">
        <v>162</v>
      </c>
      <c r="AH60" s="27" t="s">
        <v>152</v>
      </c>
      <c r="AI60" s="1" t="s">
        <v>168</v>
      </c>
      <c r="AJ60" s="7">
        <v>2.0</v>
      </c>
      <c r="AK60" s="1" t="s">
        <v>5</v>
      </c>
      <c r="AL60" s="1" t="s">
        <v>150</v>
      </c>
      <c r="AM60" s="9"/>
      <c r="AN60" s="1">
        <v>15.0</v>
      </c>
      <c r="AO60" s="1" t="str">
        <f t="shared" si="2"/>
        <v>нет</v>
      </c>
      <c r="AP60" s="7">
        <v>172.0</v>
      </c>
      <c r="AQ60" s="7">
        <v>90.0</v>
      </c>
      <c r="AR60" s="9">
        <f t="shared" si="3"/>
        <v>30.42184965</v>
      </c>
      <c r="AS60" s="7" t="str">
        <f t="shared" si="4"/>
        <v>Ожирение I степени</v>
      </c>
      <c r="AT60" s="7">
        <v>120.0</v>
      </c>
      <c r="AU60" s="7">
        <v>80.0</v>
      </c>
      <c r="AV60" s="3">
        <v>93.0</v>
      </c>
      <c r="AW60" s="7">
        <v>90.0</v>
      </c>
      <c r="AX60" s="7">
        <v>36.7</v>
      </c>
      <c r="AY60" s="7">
        <v>18.0</v>
      </c>
      <c r="AZ60" s="7">
        <v>95.0</v>
      </c>
      <c r="BA60" s="10" t="str">
        <f t="shared" si="5"/>
        <v>да</v>
      </c>
      <c r="BB60" s="9"/>
      <c r="BC60" s="11"/>
      <c r="BD60" s="12" t="str">
        <f t="shared" si="6"/>
        <v>#DIV/0!</v>
      </c>
      <c r="BE60" s="12">
        <f t="shared" si="7"/>
        <v>0</v>
      </c>
      <c r="BF60" s="12">
        <f t="shared" si="8"/>
        <v>1</v>
      </c>
      <c r="BG60" s="1" t="s">
        <v>154</v>
      </c>
      <c r="BH60" s="1" t="s">
        <v>280</v>
      </c>
      <c r="BI60" s="1" t="s">
        <v>154</v>
      </c>
      <c r="BJ60" s="1" t="s">
        <v>237</v>
      </c>
      <c r="BK60" s="1" t="s">
        <v>154</v>
      </c>
      <c r="BL60" s="1" t="s">
        <v>189</v>
      </c>
      <c r="BM60" s="1" t="s">
        <v>154</v>
      </c>
      <c r="BN60" s="1" t="s">
        <v>155</v>
      </c>
      <c r="BO60" s="1" t="s">
        <v>150</v>
      </c>
      <c r="BP60" s="9"/>
      <c r="BQ60" s="9"/>
      <c r="BR60" s="1" t="s">
        <v>154</v>
      </c>
      <c r="BS60" s="1" t="s">
        <v>170</v>
      </c>
      <c r="BT60" s="30"/>
      <c r="BU60" s="1" t="s">
        <v>207</v>
      </c>
      <c r="BV60" s="7">
        <v>16.0</v>
      </c>
      <c r="BW60" s="1" t="s">
        <v>150</v>
      </c>
      <c r="BX60" s="10" t="s">
        <v>154</v>
      </c>
      <c r="BY60" s="1" t="s">
        <v>281</v>
      </c>
      <c r="BZ60" s="29" t="s">
        <v>158</v>
      </c>
      <c r="CA60" s="9"/>
      <c r="CB60" s="1" t="s">
        <v>150</v>
      </c>
      <c r="CC60" s="1" t="s">
        <v>150</v>
      </c>
      <c r="CD60" s="9"/>
      <c r="CE60" s="1" t="s">
        <v>150</v>
      </c>
      <c r="CF60" s="1" t="s">
        <v>150</v>
      </c>
      <c r="CG60" s="1" t="s">
        <v>154</v>
      </c>
      <c r="CH60" s="1" t="s">
        <v>150</v>
      </c>
      <c r="CI60" s="1" t="s">
        <v>150</v>
      </c>
      <c r="CJ60" s="1" t="s">
        <v>150</v>
      </c>
      <c r="CK60" s="1" t="s">
        <v>150</v>
      </c>
      <c r="CL60" s="1" t="s">
        <v>273</v>
      </c>
      <c r="CM60" s="7">
        <v>10.1</v>
      </c>
      <c r="CN60" s="7">
        <v>82.7</v>
      </c>
      <c r="CO60" s="7">
        <f t="shared" si="9"/>
        <v>8.3527</v>
      </c>
      <c r="CP60" s="7">
        <v>10.1</v>
      </c>
      <c r="CQ60" s="7">
        <f t="shared" si="10"/>
        <v>0.8436227</v>
      </c>
      <c r="CR60" s="7">
        <v>6.7</v>
      </c>
      <c r="CS60" s="7">
        <f t="shared" si="11"/>
        <v>0.0565227209</v>
      </c>
      <c r="CT60" s="7">
        <v>0.0</v>
      </c>
      <c r="CU60" s="7">
        <f t="shared" si="12"/>
        <v>0</v>
      </c>
      <c r="CV60" s="7">
        <f t="shared" si="13"/>
        <v>9.900990099</v>
      </c>
      <c r="CW60" s="7">
        <v>5.02</v>
      </c>
      <c r="CX60" s="7">
        <v>150.0</v>
      </c>
      <c r="CY60" s="7" t="str">
        <f t="shared" si="14"/>
        <v>Норма</v>
      </c>
      <c r="CZ60" s="7">
        <v>28.0</v>
      </c>
      <c r="DA60" s="7">
        <v>132.0</v>
      </c>
      <c r="DB60" s="7">
        <v>87.0</v>
      </c>
      <c r="DC60" s="7">
        <v>21.8</v>
      </c>
      <c r="DD60" s="7">
        <v>68.8</v>
      </c>
      <c r="DE60" s="7"/>
      <c r="DF60" s="7">
        <v>21.8</v>
      </c>
      <c r="DG60" s="7"/>
      <c r="DH60" s="7">
        <v>7.2</v>
      </c>
      <c r="DI60" s="7"/>
      <c r="DJ60" s="7">
        <v>1.0</v>
      </c>
      <c r="DK60" s="7"/>
      <c r="DL60" s="7"/>
      <c r="DM60" s="7">
        <v>4.57</v>
      </c>
      <c r="DN60" s="7">
        <v>136.0</v>
      </c>
      <c r="DO60" s="7" t="str">
        <f t="shared" si="15"/>
        <v>Норма</v>
      </c>
      <c r="DP60" s="7">
        <v>0.0</v>
      </c>
      <c r="DQ60" s="7">
        <v>254.0</v>
      </c>
      <c r="DR60" s="7">
        <v>16.0</v>
      </c>
      <c r="DS60" s="13">
        <v>600.0</v>
      </c>
      <c r="DT60" s="7">
        <v>37.7</v>
      </c>
      <c r="DU60" s="7">
        <v>14.0</v>
      </c>
      <c r="DV60" s="7">
        <v>1.19</v>
      </c>
      <c r="DW60" s="1" t="s">
        <v>241</v>
      </c>
      <c r="DX60" s="9"/>
      <c r="DY60" s="7">
        <v>28.8</v>
      </c>
      <c r="DZ60" s="7">
        <v>10.2</v>
      </c>
      <c r="EA60" s="7">
        <v>0.87</v>
      </c>
      <c r="EB60" s="7"/>
      <c r="EC60" s="7">
        <v>5.84</v>
      </c>
      <c r="ED60" s="7">
        <v>3.5</v>
      </c>
      <c r="EE60" s="7">
        <v>34.0</v>
      </c>
      <c r="EF60" s="7">
        <v>34.0</v>
      </c>
      <c r="EG60" s="7">
        <v>75.0</v>
      </c>
      <c r="EH60" s="7">
        <v>11.9</v>
      </c>
      <c r="EI60" s="7">
        <v>3.12</v>
      </c>
      <c r="EJ60" s="7">
        <v>102.0</v>
      </c>
      <c r="EK60" s="14">
        <f t="shared" si="16"/>
        <v>60.70732176</v>
      </c>
      <c r="EL60" s="11" t="str">
        <f t="shared" si="17"/>
        <v>C2</v>
      </c>
      <c r="EM60" s="7">
        <v>141.0</v>
      </c>
      <c r="EN60" s="7">
        <v>4.33</v>
      </c>
      <c r="EO60" s="7">
        <v>409.0</v>
      </c>
      <c r="EP60" s="7">
        <v>201.0</v>
      </c>
      <c r="EQ60" s="7">
        <v>63.0</v>
      </c>
      <c r="ER60" s="7">
        <v>9.4</v>
      </c>
      <c r="ES60" s="7">
        <v>4.1</v>
      </c>
      <c r="ET60" s="7">
        <v>95.0</v>
      </c>
      <c r="EU60" s="11">
        <f t="shared" si="18"/>
        <v>66.1562443</v>
      </c>
      <c r="EV60" s="11" t="str">
        <f t="shared" si="19"/>
        <v>C2</v>
      </c>
      <c r="EW60" s="9"/>
      <c r="EX60" s="9"/>
      <c r="EY60" s="9">
        <f t="shared" si="20"/>
        <v>3.792132666</v>
      </c>
      <c r="EZ60" s="9">
        <f t="shared" si="21"/>
        <v>0.02205028628</v>
      </c>
      <c r="FA60" s="9" t="str">
        <f t="shared" si="22"/>
        <v>Благоприятный</v>
      </c>
      <c r="FB60" s="1" t="s">
        <v>150</v>
      </c>
      <c r="FC60" s="1" t="s">
        <v>148</v>
      </c>
    </row>
    <row r="61">
      <c r="A61" s="7">
        <v>60.0</v>
      </c>
      <c r="B61" s="21">
        <v>16.0</v>
      </c>
      <c r="C61" s="25">
        <v>8231.0</v>
      </c>
      <c r="D61" s="1" t="s">
        <v>148</v>
      </c>
      <c r="E61" s="7">
        <v>42.0</v>
      </c>
      <c r="F61" s="1" t="s">
        <v>149</v>
      </c>
      <c r="G61" s="7"/>
      <c r="H61" s="7">
        <v>15.0</v>
      </c>
      <c r="I61" s="1" t="s">
        <v>150</v>
      </c>
      <c r="J61" s="1" t="s">
        <v>150</v>
      </c>
      <c r="K61" s="9"/>
      <c r="L61" s="1" t="s">
        <v>150</v>
      </c>
      <c r="M61" s="1" t="s">
        <v>154</v>
      </c>
      <c r="N61" s="1" t="s">
        <v>192</v>
      </c>
      <c r="O61" s="1" t="str">
        <f t="shared" si="1"/>
        <v>нет</v>
      </c>
      <c r="P61" s="1" t="s">
        <v>154</v>
      </c>
      <c r="Q61" s="1" t="s">
        <v>154</v>
      </c>
      <c r="R61" s="7">
        <v>2.0</v>
      </c>
      <c r="S61" s="1" t="s">
        <v>150</v>
      </c>
      <c r="T61" s="9"/>
      <c r="U61" s="9"/>
      <c r="V61" s="9"/>
      <c r="W61" s="9"/>
      <c r="X61" s="9"/>
      <c r="Y61" s="1" t="s">
        <v>150</v>
      </c>
      <c r="Z61" s="9"/>
      <c r="AA61" s="9"/>
      <c r="AB61" s="9"/>
      <c r="AC61" s="9"/>
      <c r="AD61" s="26" t="s">
        <v>282</v>
      </c>
      <c r="AE61" s="1" t="s">
        <v>150</v>
      </c>
      <c r="AF61" s="7">
        <v>0.0</v>
      </c>
      <c r="AG61" s="27" t="s">
        <v>162</v>
      </c>
      <c r="AH61" s="27" t="s">
        <v>152</v>
      </c>
      <c r="AI61" s="1" t="s">
        <v>168</v>
      </c>
      <c r="AJ61" s="7">
        <v>3.0</v>
      </c>
      <c r="AK61" s="1" t="s">
        <v>5</v>
      </c>
      <c r="AL61" s="1" t="s">
        <v>150</v>
      </c>
      <c r="AM61" s="9"/>
      <c r="AN61" s="1">
        <v>15.0</v>
      </c>
      <c r="AO61" s="1" t="str">
        <f t="shared" si="2"/>
        <v>нет</v>
      </c>
      <c r="AP61" s="7">
        <v>172.0</v>
      </c>
      <c r="AQ61" s="7">
        <v>95.0</v>
      </c>
      <c r="AR61" s="9">
        <f t="shared" si="3"/>
        <v>32.11195241</v>
      </c>
      <c r="AS61" s="7" t="str">
        <f t="shared" si="4"/>
        <v>Ожирение I степени</v>
      </c>
      <c r="AT61" s="7">
        <v>120.0</v>
      </c>
      <c r="AU61" s="7">
        <v>80.0</v>
      </c>
      <c r="AV61" s="3">
        <v>93.0</v>
      </c>
      <c r="AW61" s="7">
        <v>106.0</v>
      </c>
      <c r="AX61" s="7">
        <v>37.5</v>
      </c>
      <c r="AY61" s="7">
        <v>26.0</v>
      </c>
      <c r="AZ61" s="7">
        <v>77.0</v>
      </c>
      <c r="BA61" s="10" t="str">
        <f t="shared" si="5"/>
        <v>да</v>
      </c>
      <c r="BB61" s="7">
        <v>88.0</v>
      </c>
      <c r="BC61" s="11"/>
      <c r="BD61" s="12" t="str">
        <f t="shared" si="6"/>
        <v>#DIV/0!</v>
      </c>
      <c r="BE61" s="12">
        <f t="shared" si="7"/>
        <v>1</v>
      </c>
      <c r="BF61" s="12">
        <f t="shared" si="8"/>
        <v>7</v>
      </c>
      <c r="BG61" s="1" t="s">
        <v>150</v>
      </c>
      <c r="BH61" s="9"/>
      <c r="BI61" s="1" t="s">
        <v>154</v>
      </c>
      <c r="BJ61" s="1" t="s">
        <v>237</v>
      </c>
      <c r="BK61" s="1" t="s">
        <v>150</v>
      </c>
      <c r="BL61" s="9"/>
      <c r="BM61" s="1" t="s">
        <v>154</v>
      </c>
      <c r="BN61" s="1" t="s">
        <v>155</v>
      </c>
      <c r="BO61" s="1" t="s">
        <v>154</v>
      </c>
      <c r="BP61" s="1" t="s">
        <v>157</v>
      </c>
      <c r="BQ61" s="7">
        <v>16.0</v>
      </c>
      <c r="BR61" s="1" t="s">
        <v>154</v>
      </c>
      <c r="BS61" s="1" t="s">
        <v>170</v>
      </c>
      <c r="BT61" s="28">
        <v>12.0</v>
      </c>
      <c r="BU61" s="1" t="s">
        <v>157</v>
      </c>
      <c r="BV61" s="7">
        <v>16.0</v>
      </c>
      <c r="BW61" s="1" t="s">
        <v>154</v>
      </c>
      <c r="BX61" s="10" t="s">
        <v>154</v>
      </c>
      <c r="BY61" s="1" t="s">
        <v>173</v>
      </c>
      <c r="BZ61" s="29" t="s">
        <v>158</v>
      </c>
      <c r="CA61" s="1" t="s">
        <v>176</v>
      </c>
      <c r="CB61" s="1" t="s">
        <v>150</v>
      </c>
      <c r="CC61" s="1" t="s">
        <v>150</v>
      </c>
      <c r="CD61" s="9"/>
      <c r="CE61" s="1" t="s">
        <v>150</v>
      </c>
      <c r="CF61" s="1" t="s">
        <v>150</v>
      </c>
      <c r="CG61" s="1" t="s">
        <v>150</v>
      </c>
      <c r="CH61" s="1" t="s">
        <v>154</v>
      </c>
      <c r="CI61" s="1" t="s">
        <v>150</v>
      </c>
      <c r="CJ61" s="1" t="s">
        <v>150</v>
      </c>
      <c r="CK61" s="1" t="s">
        <v>150</v>
      </c>
      <c r="CL61" s="9"/>
      <c r="CM61" s="7">
        <v>7.9</v>
      </c>
      <c r="CN61" s="7">
        <v>81.8</v>
      </c>
      <c r="CO61" s="7">
        <f t="shared" si="9"/>
        <v>6.4622</v>
      </c>
      <c r="CP61" s="7">
        <v>9.6</v>
      </c>
      <c r="CQ61" s="7">
        <f t="shared" si="10"/>
        <v>0.6203712</v>
      </c>
      <c r="CR61" s="7">
        <v>8.2</v>
      </c>
      <c r="CS61" s="7">
        <f t="shared" si="11"/>
        <v>0.0508704384</v>
      </c>
      <c r="CT61" s="7">
        <v>0.2</v>
      </c>
      <c r="CU61" s="7">
        <f t="shared" si="12"/>
        <v>0.0001017408768</v>
      </c>
      <c r="CV61" s="7">
        <f t="shared" si="13"/>
        <v>10.41666667</v>
      </c>
      <c r="CW61" s="7">
        <v>5.49</v>
      </c>
      <c r="CX61" s="7">
        <v>145.0</v>
      </c>
      <c r="CY61" s="7" t="str">
        <f t="shared" si="14"/>
        <v>Норма</v>
      </c>
      <c r="CZ61" s="7">
        <v>46.0</v>
      </c>
      <c r="DA61" s="7">
        <v>228.0</v>
      </c>
      <c r="DB61" s="7">
        <v>40.3</v>
      </c>
      <c r="DC61" s="7">
        <v>21.0</v>
      </c>
      <c r="DD61" s="7">
        <v>78.2</v>
      </c>
      <c r="DE61" s="7"/>
      <c r="DF61" s="7">
        <v>11.3</v>
      </c>
      <c r="DG61" s="7"/>
      <c r="DH61" s="7">
        <v>10.1</v>
      </c>
      <c r="DI61" s="7"/>
      <c r="DJ61" s="7">
        <v>0.3</v>
      </c>
      <c r="DK61" s="7"/>
      <c r="DL61" s="7"/>
      <c r="DM61" s="7">
        <v>6.02</v>
      </c>
      <c r="DN61" s="7">
        <v>157.0</v>
      </c>
      <c r="DO61" s="7" t="str">
        <f t="shared" si="15"/>
        <v>Норма</v>
      </c>
      <c r="DP61" s="7">
        <v>10.0</v>
      </c>
      <c r="DQ61" s="7">
        <v>394.0</v>
      </c>
      <c r="DR61" s="7">
        <v>0.0</v>
      </c>
      <c r="DS61" s="13">
        <v>569.0</v>
      </c>
      <c r="DT61" s="7">
        <v>28.3</v>
      </c>
      <c r="DU61" s="7">
        <v>11.8</v>
      </c>
      <c r="DV61" s="7">
        <v>1.2</v>
      </c>
      <c r="DW61" s="1" t="s">
        <v>241</v>
      </c>
      <c r="DX61" s="9"/>
      <c r="DY61" s="7">
        <v>29.7</v>
      </c>
      <c r="DZ61" s="7">
        <v>10.1</v>
      </c>
      <c r="EA61" s="7">
        <v>0.86</v>
      </c>
      <c r="EB61" s="7"/>
      <c r="EC61" s="7">
        <v>10.24</v>
      </c>
      <c r="ED61" s="7">
        <v>8.82</v>
      </c>
      <c r="EE61" s="7">
        <v>57.06</v>
      </c>
      <c r="EF61" s="7">
        <v>42.25</v>
      </c>
      <c r="EG61" s="7">
        <v>67.2</v>
      </c>
      <c r="EH61" s="7">
        <v>8.26</v>
      </c>
      <c r="EI61" s="7">
        <v>1.64</v>
      </c>
      <c r="EJ61" s="7">
        <v>98.33</v>
      </c>
      <c r="EK61" s="14">
        <f t="shared" si="16"/>
        <v>61.26712514</v>
      </c>
      <c r="EL61" s="11" t="str">
        <f t="shared" si="17"/>
        <v>C2</v>
      </c>
      <c r="EM61" s="9"/>
      <c r="EN61" s="9"/>
      <c r="EO61" s="7">
        <v>229.0</v>
      </c>
      <c r="EP61" s="7">
        <v>57.9</v>
      </c>
      <c r="EQ61" s="7">
        <v>64.6</v>
      </c>
      <c r="ER61" s="7">
        <v>12.3</v>
      </c>
      <c r="ES61" s="7">
        <v>4.3</v>
      </c>
      <c r="ET61" s="7">
        <v>90.0</v>
      </c>
      <c r="EU61" s="11">
        <f t="shared" si="18"/>
        <v>68.187651</v>
      </c>
      <c r="EV61" s="11" t="str">
        <f t="shared" si="19"/>
        <v>C2</v>
      </c>
      <c r="EW61" s="7">
        <v>136.7</v>
      </c>
      <c r="EX61" s="7">
        <v>5.5</v>
      </c>
      <c r="EY61" s="9">
        <f t="shared" si="20"/>
        <v>1.187174592</v>
      </c>
      <c r="EZ61" s="9">
        <f t="shared" si="21"/>
        <v>0.2337646385</v>
      </c>
      <c r="FA61" s="9" t="str">
        <f t="shared" si="22"/>
        <v>Благоприятный</v>
      </c>
      <c r="FB61" s="1" t="s">
        <v>150</v>
      </c>
      <c r="FC61" s="1" t="s">
        <v>148</v>
      </c>
    </row>
    <row r="62">
      <c r="A62" s="7">
        <v>61.0</v>
      </c>
      <c r="B62" s="21">
        <v>17.0</v>
      </c>
      <c r="C62" s="25">
        <v>9072.0</v>
      </c>
      <c r="D62" s="1" t="s">
        <v>148</v>
      </c>
      <c r="E62" s="7">
        <v>39.0</v>
      </c>
      <c r="F62" s="1" t="s">
        <v>161</v>
      </c>
      <c r="G62" s="7"/>
      <c r="H62" s="7">
        <v>14.0</v>
      </c>
      <c r="I62" s="1" t="s">
        <v>150</v>
      </c>
      <c r="J62" s="1" t="s">
        <v>150</v>
      </c>
      <c r="K62" s="9"/>
      <c r="L62" s="1" t="s">
        <v>150</v>
      </c>
      <c r="M62" s="1" t="s">
        <v>154</v>
      </c>
      <c r="N62" s="1" t="s">
        <v>192</v>
      </c>
      <c r="O62" s="1" t="str">
        <f t="shared" si="1"/>
        <v>нет</v>
      </c>
      <c r="P62" s="1" t="s">
        <v>150</v>
      </c>
      <c r="Q62" s="1" t="s">
        <v>150</v>
      </c>
      <c r="R62" s="9"/>
      <c r="S62" s="1" t="s">
        <v>150</v>
      </c>
      <c r="T62" s="9"/>
      <c r="U62" s="9"/>
      <c r="V62" s="9"/>
      <c r="W62" s="9"/>
      <c r="X62" s="1" t="s">
        <v>154</v>
      </c>
      <c r="Y62" s="1" t="s">
        <v>150</v>
      </c>
      <c r="Z62" s="9"/>
      <c r="AA62" s="9"/>
      <c r="AB62" s="9"/>
      <c r="AC62" s="9"/>
      <c r="AD62" s="26"/>
      <c r="AE62" s="1" t="s">
        <v>150</v>
      </c>
      <c r="AF62" s="7">
        <v>0.0</v>
      </c>
      <c r="AG62" s="27" t="s">
        <v>162</v>
      </c>
      <c r="AH62" s="27" t="s">
        <v>152</v>
      </c>
      <c r="AI62" s="1" t="s">
        <v>168</v>
      </c>
      <c r="AJ62" s="7">
        <v>2.0</v>
      </c>
      <c r="AK62" s="1" t="s">
        <v>5</v>
      </c>
      <c r="AL62" s="1" t="s">
        <v>150</v>
      </c>
      <c r="AM62" s="9"/>
      <c r="AN62" s="1">
        <v>15.0</v>
      </c>
      <c r="AO62" s="1" t="str">
        <f t="shared" si="2"/>
        <v>нет</v>
      </c>
      <c r="AP62" s="7">
        <v>166.0</v>
      </c>
      <c r="AQ62" s="7">
        <v>78.0</v>
      </c>
      <c r="AR62" s="9">
        <f t="shared" si="3"/>
        <v>28.30599506</v>
      </c>
      <c r="AS62" s="7" t="str">
        <f t="shared" si="4"/>
        <v>Избыточный вес (предожирение)</v>
      </c>
      <c r="AT62" s="7">
        <v>133.0</v>
      </c>
      <c r="AU62" s="7">
        <v>80.0</v>
      </c>
      <c r="AV62" s="3">
        <v>98.0</v>
      </c>
      <c r="AW62" s="7">
        <v>115.0</v>
      </c>
      <c r="AX62" s="7">
        <v>37.8</v>
      </c>
      <c r="AY62" s="7">
        <v>19.0</v>
      </c>
      <c r="AZ62" s="7">
        <v>86.0</v>
      </c>
      <c r="BA62" s="10" t="str">
        <f t="shared" si="5"/>
        <v>да</v>
      </c>
      <c r="BB62" s="7">
        <v>95.0</v>
      </c>
      <c r="BC62" s="11"/>
      <c r="BD62" s="12" t="str">
        <f t="shared" si="6"/>
        <v>#DIV/0!</v>
      </c>
      <c r="BE62" s="12">
        <f t="shared" si="7"/>
        <v>0</v>
      </c>
      <c r="BF62" s="12">
        <f t="shared" si="8"/>
        <v>5</v>
      </c>
      <c r="BG62" s="15" t="s">
        <v>150</v>
      </c>
      <c r="BH62" s="9"/>
      <c r="BI62" s="1" t="s">
        <v>154</v>
      </c>
      <c r="BJ62" s="1" t="s">
        <v>237</v>
      </c>
      <c r="BK62" s="1" t="s">
        <v>150</v>
      </c>
      <c r="BL62" s="9"/>
      <c r="BM62" s="1" t="s">
        <v>154</v>
      </c>
      <c r="BN62" s="1" t="s">
        <v>155</v>
      </c>
      <c r="BO62" s="1" t="s">
        <v>150</v>
      </c>
      <c r="BP62" s="9"/>
      <c r="BQ62" s="9"/>
      <c r="BR62" s="1" t="s">
        <v>154</v>
      </c>
      <c r="BS62" s="1" t="s">
        <v>170</v>
      </c>
      <c r="BT62" s="15">
        <v>12.0</v>
      </c>
      <c r="BU62" s="1" t="s">
        <v>283</v>
      </c>
      <c r="BV62" s="7">
        <v>12.0</v>
      </c>
      <c r="BW62" s="1" t="s">
        <v>154</v>
      </c>
      <c r="BX62" s="10" t="s">
        <v>154</v>
      </c>
      <c r="BY62" s="1" t="s">
        <v>173</v>
      </c>
      <c r="BZ62" s="29" t="s">
        <v>284</v>
      </c>
      <c r="CA62" s="9"/>
      <c r="CB62" s="1" t="s">
        <v>150</v>
      </c>
      <c r="CC62" s="1" t="s">
        <v>150</v>
      </c>
      <c r="CD62" s="9"/>
      <c r="CE62" s="1" t="s">
        <v>150</v>
      </c>
      <c r="CF62" s="1" t="s">
        <v>150</v>
      </c>
      <c r="CG62" s="1" t="s">
        <v>150</v>
      </c>
      <c r="CH62" s="1" t="s">
        <v>150</v>
      </c>
      <c r="CI62" s="1" t="s">
        <v>150</v>
      </c>
      <c r="CJ62" s="1" t="s">
        <v>150</v>
      </c>
      <c r="CK62" s="1" t="s">
        <v>150</v>
      </c>
      <c r="CL62" s="9"/>
      <c r="CM62" s="7">
        <v>10.5</v>
      </c>
      <c r="CN62" s="7">
        <v>89.4</v>
      </c>
      <c r="CO62" s="7">
        <f t="shared" si="9"/>
        <v>9.387</v>
      </c>
      <c r="CP62" s="7">
        <v>5.4</v>
      </c>
      <c r="CQ62" s="7">
        <f t="shared" si="10"/>
        <v>0.506898</v>
      </c>
      <c r="CR62" s="7">
        <v>4.9</v>
      </c>
      <c r="CS62" s="7">
        <f t="shared" si="11"/>
        <v>0.024838002</v>
      </c>
      <c r="CT62" s="7">
        <v>0.1</v>
      </c>
      <c r="CU62" s="7">
        <f t="shared" si="12"/>
        <v>0.000024838002</v>
      </c>
      <c r="CV62" s="7">
        <f t="shared" si="13"/>
        <v>18.51851852</v>
      </c>
      <c r="CW62" s="7">
        <v>4.71</v>
      </c>
      <c r="CX62" s="7">
        <v>135.0</v>
      </c>
      <c r="CY62" s="7" t="str">
        <f t="shared" si="14"/>
        <v>Норма</v>
      </c>
      <c r="CZ62" s="9"/>
      <c r="DA62" s="7">
        <v>229.0</v>
      </c>
      <c r="DB62" s="7">
        <v>102.8</v>
      </c>
      <c r="DC62" s="7">
        <v>7.3</v>
      </c>
      <c r="DD62" s="7">
        <v>87.6</v>
      </c>
      <c r="DE62" s="7"/>
      <c r="DF62" s="7">
        <v>4.7</v>
      </c>
      <c r="DG62" s="7"/>
      <c r="DH62" s="7">
        <v>7.3</v>
      </c>
      <c r="DI62" s="7"/>
      <c r="DJ62" s="7">
        <v>0.4</v>
      </c>
      <c r="DK62" s="7"/>
      <c r="DL62" s="7"/>
      <c r="DM62" s="7">
        <v>4.44</v>
      </c>
      <c r="DN62" s="7">
        <v>127.0</v>
      </c>
      <c r="DO62" s="7" t="str">
        <f t="shared" si="15"/>
        <v>Легкая степень</v>
      </c>
      <c r="DP62" s="9"/>
      <c r="DQ62" s="7">
        <v>295.0</v>
      </c>
      <c r="DR62" s="7">
        <v>16.7</v>
      </c>
      <c r="DS62" s="13">
        <v>689.0</v>
      </c>
      <c r="DT62" s="7">
        <v>31.8</v>
      </c>
      <c r="DU62" s="7">
        <v>13.0</v>
      </c>
      <c r="DV62" s="7">
        <v>1.13</v>
      </c>
      <c r="DW62" s="1" t="s">
        <v>241</v>
      </c>
      <c r="DX62" s="9"/>
      <c r="DY62" s="9"/>
      <c r="DZ62" s="7">
        <v>11.6</v>
      </c>
      <c r="EA62" s="7">
        <v>0.99</v>
      </c>
      <c r="EB62" s="7"/>
      <c r="EC62" s="7">
        <v>8.84</v>
      </c>
      <c r="ED62" s="7">
        <v>9.63</v>
      </c>
      <c r="EE62" s="7">
        <v>55.6</v>
      </c>
      <c r="EF62" s="7">
        <v>33.93</v>
      </c>
      <c r="EG62" s="7">
        <v>64.3</v>
      </c>
      <c r="EH62" s="7">
        <v>8.23</v>
      </c>
      <c r="EI62" s="9"/>
      <c r="EJ62" s="7">
        <v>69.1</v>
      </c>
      <c r="EK62" s="14">
        <f t="shared" si="16"/>
        <v>95.85355373</v>
      </c>
      <c r="EL62" s="11" t="str">
        <f t="shared" si="17"/>
        <v>C1</v>
      </c>
      <c r="EM62" s="9"/>
      <c r="EN62" s="9"/>
      <c r="EO62" s="7">
        <v>76.9</v>
      </c>
      <c r="EP62" s="7">
        <v>28.2</v>
      </c>
      <c r="EQ62" s="7">
        <v>59.4</v>
      </c>
      <c r="ER62" s="7">
        <v>10.2</v>
      </c>
      <c r="ES62" s="9"/>
      <c r="ET62" s="7">
        <v>74.0</v>
      </c>
      <c r="EU62" s="11">
        <f t="shared" si="18"/>
        <v>88.23401238</v>
      </c>
      <c r="EV62" s="11" t="str">
        <f t="shared" si="19"/>
        <v>C2</v>
      </c>
      <c r="EW62" s="9"/>
      <c r="EX62" s="9"/>
      <c r="EY62" s="9">
        <f t="shared" si="20"/>
        <v>2.86212658</v>
      </c>
      <c r="EZ62" s="9">
        <f t="shared" si="21"/>
        <v>0.05405785336</v>
      </c>
      <c r="FA62" s="9" t="str">
        <f t="shared" si="22"/>
        <v>Благоприятный</v>
      </c>
      <c r="FB62" s="1" t="s">
        <v>150</v>
      </c>
      <c r="FC62" s="1" t="s">
        <v>148</v>
      </c>
    </row>
    <row r="63">
      <c r="A63" s="7">
        <v>62.0</v>
      </c>
      <c r="B63" s="21">
        <v>19.0</v>
      </c>
      <c r="C63" s="25">
        <v>5201.0</v>
      </c>
      <c r="D63" s="1" t="s">
        <v>148</v>
      </c>
      <c r="E63" s="7">
        <v>46.0</v>
      </c>
      <c r="F63" s="1" t="s">
        <v>149</v>
      </c>
      <c r="G63" s="7"/>
      <c r="H63" s="7">
        <v>24.0</v>
      </c>
      <c r="I63" s="1" t="s">
        <v>150</v>
      </c>
      <c r="J63" s="1" t="s">
        <v>150</v>
      </c>
      <c r="K63" s="9"/>
      <c r="L63" s="1" t="s">
        <v>150</v>
      </c>
      <c r="M63" s="1" t="s">
        <v>150</v>
      </c>
      <c r="N63" s="9"/>
      <c r="O63" s="1" t="str">
        <f t="shared" si="1"/>
        <v>нет</v>
      </c>
      <c r="P63" s="1" t="s">
        <v>150</v>
      </c>
      <c r="Q63" s="1" t="s">
        <v>150</v>
      </c>
      <c r="R63" s="9"/>
      <c r="S63" s="1" t="s">
        <v>150</v>
      </c>
      <c r="T63" s="9"/>
      <c r="U63" s="9"/>
      <c r="V63" s="9"/>
      <c r="W63" s="9"/>
      <c r="X63" s="9"/>
      <c r="Y63" s="1" t="s">
        <v>150</v>
      </c>
      <c r="Z63" s="9"/>
      <c r="AA63" s="9"/>
      <c r="AB63" s="9"/>
      <c r="AC63" s="9"/>
      <c r="AD63" s="26"/>
      <c r="AE63" s="1" t="s">
        <v>150</v>
      </c>
      <c r="AF63" s="7">
        <v>0.0</v>
      </c>
      <c r="AG63" s="27" t="s">
        <v>162</v>
      </c>
      <c r="AH63" s="27" t="s">
        <v>152</v>
      </c>
      <c r="AI63" s="1" t="s">
        <v>153</v>
      </c>
      <c r="AJ63" s="7">
        <v>2.0</v>
      </c>
      <c r="AK63" s="1" t="s">
        <v>5</v>
      </c>
      <c r="AL63" s="1" t="s">
        <v>150</v>
      </c>
      <c r="AM63" s="9"/>
      <c r="AN63" s="1">
        <v>15.0</v>
      </c>
      <c r="AO63" s="1" t="str">
        <f t="shared" si="2"/>
        <v>нет</v>
      </c>
      <c r="AP63" s="7">
        <v>176.0</v>
      </c>
      <c r="AQ63" s="7">
        <v>86.0</v>
      </c>
      <c r="AR63" s="9">
        <f t="shared" si="3"/>
        <v>27.76342975</v>
      </c>
      <c r="AS63" s="7" t="str">
        <f t="shared" si="4"/>
        <v>Избыточный вес (предожирение)</v>
      </c>
      <c r="AT63" s="7">
        <v>117.0</v>
      </c>
      <c r="AU63" s="7">
        <v>86.0</v>
      </c>
      <c r="AV63" s="3">
        <v>96.0</v>
      </c>
      <c r="AW63" s="7">
        <v>100.0</v>
      </c>
      <c r="AX63" s="7">
        <v>37.7</v>
      </c>
      <c r="AY63" s="7">
        <v>20.0</v>
      </c>
      <c r="AZ63" s="7">
        <v>96.0</v>
      </c>
      <c r="BA63" s="10" t="str">
        <f t="shared" si="5"/>
        <v>нет</v>
      </c>
      <c r="BB63" s="9"/>
      <c r="BC63" s="11"/>
      <c r="BD63" s="12" t="str">
        <f t="shared" si="6"/>
        <v>#DIV/0!</v>
      </c>
      <c r="BE63" s="12">
        <f t="shared" si="7"/>
        <v>0</v>
      </c>
      <c r="BF63" s="12">
        <f t="shared" si="8"/>
        <v>1</v>
      </c>
      <c r="BG63" s="15" t="s">
        <v>150</v>
      </c>
      <c r="BH63" s="9"/>
      <c r="BI63" s="1" t="s">
        <v>154</v>
      </c>
      <c r="BJ63" s="1" t="s">
        <v>237</v>
      </c>
      <c r="BK63" s="1" t="s">
        <v>150</v>
      </c>
      <c r="BL63" s="9"/>
      <c r="BM63" s="1" t="s">
        <v>154</v>
      </c>
      <c r="BN63" s="1" t="s">
        <v>155</v>
      </c>
      <c r="BO63" s="1" t="s">
        <v>150</v>
      </c>
      <c r="BP63" s="9"/>
      <c r="BQ63" s="9"/>
      <c r="BR63" s="1" t="s">
        <v>154</v>
      </c>
      <c r="BS63" s="1" t="s">
        <v>170</v>
      </c>
      <c r="BT63" s="30"/>
      <c r="BU63" s="1" t="s">
        <v>207</v>
      </c>
      <c r="BV63" s="7">
        <v>16.0</v>
      </c>
      <c r="BW63" s="1" t="s">
        <v>150</v>
      </c>
      <c r="BX63" s="10" t="s">
        <v>154</v>
      </c>
      <c r="BY63" s="1" t="s">
        <v>275</v>
      </c>
      <c r="BZ63" s="29" t="s">
        <v>158</v>
      </c>
      <c r="CA63" s="9"/>
      <c r="CB63" s="1" t="s">
        <v>150</v>
      </c>
      <c r="CC63" s="1" t="s">
        <v>150</v>
      </c>
      <c r="CD63" s="9"/>
      <c r="CE63" s="1" t="s">
        <v>150</v>
      </c>
      <c r="CF63" s="1" t="s">
        <v>150</v>
      </c>
      <c r="CG63" s="1" t="s">
        <v>150</v>
      </c>
      <c r="CH63" s="1" t="s">
        <v>150</v>
      </c>
      <c r="CI63" s="1" t="s">
        <v>150</v>
      </c>
      <c r="CJ63" s="1" t="s">
        <v>150</v>
      </c>
      <c r="CK63" s="1" t="s">
        <v>150</v>
      </c>
      <c r="CL63" s="9"/>
      <c r="CM63" s="7">
        <v>6.8</v>
      </c>
      <c r="CN63" s="7">
        <v>89.1</v>
      </c>
      <c r="CO63" s="7">
        <f t="shared" si="9"/>
        <v>6.0588</v>
      </c>
      <c r="CP63" s="7">
        <v>7.9</v>
      </c>
      <c r="CQ63" s="7">
        <f t="shared" si="10"/>
        <v>0.4786452</v>
      </c>
      <c r="CR63" s="7">
        <v>2.9</v>
      </c>
      <c r="CS63" s="7">
        <f t="shared" si="11"/>
        <v>0.0138807108</v>
      </c>
      <c r="CT63" s="7">
        <v>0.0</v>
      </c>
      <c r="CU63" s="7">
        <f t="shared" si="12"/>
        <v>0</v>
      </c>
      <c r="CV63" s="7">
        <f t="shared" si="13"/>
        <v>12.65822785</v>
      </c>
      <c r="CW63" s="7">
        <v>4.7</v>
      </c>
      <c r="CX63" s="7">
        <v>144.0</v>
      </c>
      <c r="CY63" s="7" t="str">
        <f t="shared" si="14"/>
        <v>Норма</v>
      </c>
      <c r="CZ63" s="7">
        <v>18.0</v>
      </c>
      <c r="DA63" s="7">
        <v>198.0</v>
      </c>
      <c r="DB63" s="7">
        <v>41.3</v>
      </c>
      <c r="DC63" s="7">
        <v>12.9</v>
      </c>
      <c r="DD63" s="7">
        <v>77.7</v>
      </c>
      <c r="DE63" s="7"/>
      <c r="DF63" s="7">
        <v>12.4</v>
      </c>
      <c r="DG63" s="7"/>
      <c r="DH63" s="7">
        <v>8.4</v>
      </c>
      <c r="DI63" s="7"/>
      <c r="DJ63" s="7">
        <v>0.2</v>
      </c>
      <c r="DK63" s="7"/>
      <c r="DL63" s="7"/>
      <c r="DM63" s="7">
        <v>4.73</v>
      </c>
      <c r="DN63" s="7">
        <v>143.0</v>
      </c>
      <c r="DO63" s="7" t="str">
        <f t="shared" si="15"/>
        <v>Норма</v>
      </c>
      <c r="DP63" s="7">
        <v>5.0</v>
      </c>
      <c r="DQ63" s="7">
        <v>155.0</v>
      </c>
      <c r="DR63" s="7">
        <v>0.0</v>
      </c>
      <c r="DS63" s="13">
        <v>594.0</v>
      </c>
      <c r="DT63" s="9"/>
      <c r="DU63" s="7">
        <v>12.1</v>
      </c>
      <c r="DV63" s="7">
        <v>1.03</v>
      </c>
      <c r="DW63" s="1" t="s">
        <v>241</v>
      </c>
      <c r="DX63" s="9"/>
      <c r="DY63" s="9"/>
      <c r="DZ63" s="7">
        <v>10.5</v>
      </c>
      <c r="EA63" s="7">
        <v>0.9</v>
      </c>
      <c r="EB63" s="7"/>
      <c r="EC63" s="7">
        <v>7.2</v>
      </c>
      <c r="ED63" s="7">
        <v>3.95</v>
      </c>
      <c r="EE63" s="7">
        <v>121.1</v>
      </c>
      <c r="EF63" s="7">
        <v>60.4</v>
      </c>
      <c r="EG63" s="7">
        <v>79.0</v>
      </c>
      <c r="EH63" s="7">
        <v>7.3</v>
      </c>
      <c r="EI63" s="7">
        <v>3.1</v>
      </c>
      <c r="EJ63" s="7">
        <v>89.0</v>
      </c>
      <c r="EK63" s="14">
        <f t="shared" si="16"/>
        <v>67.20001957</v>
      </c>
      <c r="EL63" s="11" t="str">
        <f t="shared" si="17"/>
        <v>C2</v>
      </c>
      <c r="EM63" s="7">
        <v>131.7</v>
      </c>
      <c r="EN63" s="7">
        <v>4.57</v>
      </c>
      <c r="EO63" s="7">
        <v>141.9</v>
      </c>
      <c r="EP63" s="7">
        <v>34.3</v>
      </c>
      <c r="EQ63" s="7">
        <v>66.8</v>
      </c>
      <c r="ER63" s="7">
        <v>13.0</v>
      </c>
      <c r="ES63" s="7">
        <v>3.2</v>
      </c>
      <c r="ET63" s="7">
        <v>90.0</v>
      </c>
      <c r="EU63" s="11">
        <f t="shared" si="18"/>
        <v>66.29835055</v>
      </c>
      <c r="EV63" s="11" t="str">
        <f t="shared" si="19"/>
        <v>C2</v>
      </c>
      <c r="EW63" s="9"/>
      <c r="EX63" s="9"/>
      <c r="EY63" s="9">
        <f t="shared" si="20"/>
        <v>4.659617004</v>
      </c>
      <c r="EZ63" s="9">
        <f t="shared" si="21"/>
        <v>0.009381247466</v>
      </c>
      <c r="FA63" s="9" t="str">
        <f t="shared" si="22"/>
        <v>Благоприятный</v>
      </c>
      <c r="FB63" s="1" t="s">
        <v>150</v>
      </c>
      <c r="FC63" s="1" t="s">
        <v>148</v>
      </c>
    </row>
    <row r="64">
      <c r="A64" s="7">
        <v>63.0</v>
      </c>
      <c r="B64" s="21">
        <v>20.0</v>
      </c>
      <c r="C64" s="25">
        <v>4450.0</v>
      </c>
      <c r="D64" s="1" t="s">
        <v>148</v>
      </c>
      <c r="E64" s="7">
        <v>45.0</v>
      </c>
      <c r="F64" s="1" t="s">
        <v>161</v>
      </c>
      <c r="G64" s="7"/>
      <c r="H64" s="7">
        <v>16.0</v>
      </c>
      <c r="I64" s="1" t="s">
        <v>150</v>
      </c>
      <c r="J64" s="1" t="s">
        <v>150</v>
      </c>
      <c r="K64" s="9"/>
      <c r="L64" s="1" t="s">
        <v>150</v>
      </c>
      <c r="M64" s="1" t="s">
        <v>154</v>
      </c>
      <c r="N64" s="1" t="s">
        <v>192</v>
      </c>
      <c r="O64" s="1" t="str">
        <f t="shared" si="1"/>
        <v>да</v>
      </c>
      <c r="P64" s="1" t="s">
        <v>154</v>
      </c>
      <c r="Q64" s="1" t="s">
        <v>154</v>
      </c>
      <c r="R64" s="7">
        <v>2.0</v>
      </c>
      <c r="S64" s="1" t="s">
        <v>150</v>
      </c>
      <c r="T64" s="9"/>
      <c r="U64" s="9"/>
      <c r="V64" s="9"/>
      <c r="W64" s="9"/>
      <c r="X64" s="9"/>
      <c r="Y64" s="1" t="s">
        <v>150</v>
      </c>
      <c r="Z64" s="9"/>
      <c r="AA64" s="9"/>
      <c r="AB64" s="9"/>
      <c r="AC64" s="9"/>
      <c r="AD64" s="26"/>
      <c r="AE64" s="1" t="s">
        <v>150</v>
      </c>
      <c r="AF64" s="7">
        <v>0.0</v>
      </c>
      <c r="AG64" s="27" t="s">
        <v>162</v>
      </c>
      <c r="AH64" s="27" t="s">
        <v>152</v>
      </c>
      <c r="AI64" s="1" t="s">
        <v>153</v>
      </c>
      <c r="AJ64" s="7">
        <v>2.0</v>
      </c>
      <c r="AK64" s="1" t="s">
        <v>5</v>
      </c>
      <c r="AL64" s="1" t="s">
        <v>150</v>
      </c>
      <c r="AM64" s="9"/>
      <c r="AN64" s="1">
        <v>15.0</v>
      </c>
      <c r="AO64" s="1" t="str">
        <f t="shared" si="2"/>
        <v>нет</v>
      </c>
      <c r="AP64" s="7">
        <v>168.0</v>
      </c>
      <c r="AQ64" s="7">
        <v>80.0</v>
      </c>
      <c r="AR64" s="9">
        <f t="shared" si="3"/>
        <v>28.3446712</v>
      </c>
      <c r="AS64" s="7" t="str">
        <f t="shared" si="4"/>
        <v>Избыточный вес (предожирение)</v>
      </c>
      <c r="AT64" s="7">
        <v>144.0</v>
      </c>
      <c r="AU64" s="7">
        <v>95.0</v>
      </c>
      <c r="AV64" s="3">
        <v>111.0</v>
      </c>
      <c r="AW64" s="7">
        <v>115.0</v>
      </c>
      <c r="AX64" s="7">
        <v>38.0</v>
      </c>
      <c r="AY64" s="7">
        <v>24.0</v>
      </c>
      <c r="AZ64" s="7">
        <v>85.0</v>
      </c>
      <c r="BA64" s="10" t="str">
        <f t="shared" si="5"/>
        <v>да</v>
      </c>
      <c r="BB64" s="7">
        <v>94.0</v>
      </c>
      <c r="BC64" s="11"/>
      <c r="BD64" s="12" t="str">
        <f t="shared" si="6"/>
        <v>#DIV/0!</v>
      </c>
      <c r="BE64" s="12">
        <f t="shared" si="7"/>
        <v>1</v>
      </c>
      <c r="BF64" s="12">
        <f t="shared" si="8"/>
        <v>7</v>
      </c>
      <c r="BG64" s="15" t="s">
        <v>154</v>
      </c>
      <c r="BH64" s="15" t="s">
        <v>175</v>
      </c>
      <c r="BI64" s="15" t="s">
        <v>154</v>
      </c>
      <c r="BJ64" s="15" t="s">
        <v>285</v>
      </c>
      <c r="BK64" s="15" t="s">
        <v>150</v>
      </c>
      <c r="BL64" s="9"/>
      <c r="BM64" s="15" t="s">
        <v>154</v>
      </c>
      <c r="BN64" s="15" t="s">
        <v>155</v>
      </c>
      <c r="BO64" s="15" t="s">
        <v>150</v>
      </c>
      <c r="BP64" s="9"/>
      <c r="BQ64" s="9"/>
      <c r="BR64" s="15" t="s">
        <v>154</v>
      </c>
      <c r="BS64" s="15" t="s">
        <v>170</v>
      </c>
      <c r="BT64" s="30"/>
      <c r="BU64" s="1" t="s">
        <v>207</v>
      </c>
      <c r="BV64" s="7">
        <v>16.0</v>
      </c>
      <c r="BW64" s="1" t="s">
        <v>150</v>
      </c>
      <c r="BX64" s="10" t="s">
        <v>154</v>
      </c>
      <c r="BY64" s="1" t="s">
        <v>239</v>
      </c>
      <c r="BZ64" s="31"/>
      <c r="CA64" s="1" t="s">
        <v>176</v>
      </c>
      <c r="CB64" s="1" t="s">
        <v>150</v>
      </c>
      <c r="CC64" s="1" t="s">
        <v>150</v>
      </c>
      <c r="CD64" s="9"/>
      <c r="CE64" s="1" t="s">
        <v>150</v>
      </c>
      <c r="CF64" s="1" t="s">
        <v>150</v>
      </c>
      <c r="CG64" s="1" t="s">
        <v>150</v>
      </c>
      <c r="CH64" s="1" t="s">
        <v>150</v>
      </c>
      <c r="CI64" s="1" t="s">
        <v>150</v>
      </c>
      <c r="CJ64" s="1" t="s">
        <v>150</v>
      </c>
      <c r="CK64" s="1" t="s">
        <v>150</v>
      </c>
      <c r="CL64" s="1" t="s">
        <v>190</v>
      </c>
      <c r="CM64" s="7">
        <v>11.7</v>
      </c>
      <c r="CN64" s="7">
        <v>80.4</v>
      </c>
      <c r="CO64" s="7">
        <f t="shared" si="9"/>
        <v>9.4068</v>
      </c>
      <c r="CP64" s="7">
        <v>14.0</v>
      </c>
      <c r="CQ64" s="7">
        <f t="shared" si="10"/>
        <v>1.316952</v>
      </c>
      <c r="CR64" s="7"/>
      <c r="CS64" s="7">
        <f t="shared" si="11"/>
        <v>0</v>
      </c>
      <c r="CT64" s="7">
        <v>0.1</v>
      </c>
      <c r="CU64" s="7">
        <f t="shared" si="12"/>
        <v>0</v>
      </c>
      <c r="CV64" s="7">
        <f t="shared" si="13"/>
        <v>7.142857143</v>
      </c>
      <c r="CW64" s="7">
        <v>4.22</v>
      </c>
      <c r="CX64" s="7">
        <v>113.0</v>
      </c>
      <c r="CY64" s="7" t="str">
        <f t="shared" si="14"/>
        <v>Легкая степень</v>
      </c>
      <c r="CZ64" s="9"/>
      <c r="DA64" s="7">
        <v>570.0</v>
      </c>
      <c r="DB64" s="9"/>
      <c r="DC64" s="7">
        <v>8.7</v>
      </c>
      <c r="DD64" s="7">
        <v>49.3</v>
      </c>
      <c r="DE64" s="7"/>
      <c r="DF64" s="7">
        <v>40.9</v>
      </c>
      <c r="DG64" s="7"/>
      <c r="DH64" s="7"/>
      <c r="DI64" s="7"/>
      <c r="DJ64" s="7">
        <v>0.8</v>
      </c>
      <c r="DK64" s="7"/>
      <c r="DL64" s="7"/>
      <c r="DM64" s="7">
        <v>4.6</v>
      </c>
      <c r="DN64" s="7">
        <v>125.0</v>
      </c>
      <c r="DO64" s="7" t="str">
        <f t="shared" si="15"/>
        <v>Легкая степень</v>
      </c>
      <c r="DP64" s="9"/>
      <c r="DQ64" s="7">
        <v>212.0</v>
      </c>
      <c r="DR64" s="9"/>
      <c r="DS64" s="23"/>
      <c r="DT64" s="9"/>
      <c r="DU64" s="7">
        <v>13.4</v>
      </c>
      <c r="DV64" s="7">
        <v>1.15</v>
      </c>
      <c r="DW64" s="1" t="s">
        <v>241</v>
      </c>
      <c r="DX64" s="9"/>
      <c r="DY64" s="9"/>
      <c r="DZ64" s="7">
        <v>10.1</v>
      </c>
      <c r="EA64" s="7">
        <v>0.86</v>
      </c>
      <c r="EB64" s="7"/>
      <c r="EC64" s="7">
        <v>6.1</v>
      </c>
      <c r="ED64" s="7">
        <v>4.44</v>
      </c>
      <c r="EE64" s="7">
        <v>35.4</v>
      </c>
      <c r="EF64" s="7">
        <v>18.9</v>
      </c>
      <c r="EG64" s="7">
        <v>66.3</v>
      </c>
      <c r="EH64" s="7">
        <v>8.3</v>
      </c>
      <c r="EI64" s="7">
        <v>2.8</v>
      </c>
      <c r="EJ64" s="7">
        <v>74.0</v>
      </c>
      <c r="EK64" s="14">
        <f t="shared" si="16"/>
        <v>84.59243375</v>
      </c>
      <c r="EL64" s="11" t="str">
        <f t="shared" si="17"/>
        <v>C2</v>
      </c>
      <c r="EM64" s="7">
        <v>139.7</v>
      </c>
      <c r="EN64" s="7">
        <v>4.04</v>
      </c>
      <c r="EO64" s="7">
        <v>148.5</v>
      </c>
      <c r="EP64" s="7">
        <v>45.6</v>
      </c>
      <c r="EQ64" s="7">
        <v>62.2</v>
      </c>
      <c r="ER64" s="7">
        <v>11.2</v>
      </c>
      <c r="ES64" s="7">
        <v>3.7</v>
      </c>
      <c r="ET64" s="7">
        <v>60.0</v>
      </c>
      <c r="EU64" s="11">
        <f t="shared" si="18"/>
        <v>106.0554855</v>
      </c>
      <c r="EV64" s="11" t="str">
        <f t="shared" si="19"/>
        <v>C1</v>
      </c>
      <c r="EW64" s="7">
        <v>132.8</v>
      </c>
      <c r="EX64" s="7">
        <v>3.95</v>
      </c>
      <c r="EY64" s="9">
        <f t="shared" si="20"/>
        <v>1.795691134</v>
      </c>
      <c r="EZ64" s="9">
        <f t="shared" si="21"/>
        <v>0.1423763902</v>
      </c>
      <c r="FA64" s="9" t="str">
        <f t="shared" si="22"/>
        <v>Благоприятный</v>
      </c>
      <c r="FB64" s="1" t="s">
        <v>150</v>
      </c>
      <c r="FC64" s="1" t="s">
        <v>148</v>
      </c>
    </row>
    <row r="65">
      <c r="A65" s="7">
        <v>64.0</v>
      </c>
      <c r="B65" s="21">
        <v>21.0</v>
      </c>
      <c r="C65" s="25">
        <v>6870.0</v>
      </c>
      <c r="D65" s="1" t="s">
        <v>148</v>
      </c>
      <c r="E65" s="7">
        <v>43.0</v>
      </c>
      <c r="F65" s="1" t="s">
        <v>149</v>
      </c>
      <c r="G65" s="7"/>
      <c r="H65" s="7">
        <v>14.0</v>
      </c>
      <c r="I65" s="1" t="s">
        <v>150</v>
      </c>
      <c r="J65" s="1" t="s">
        <v>150</v>
      </c>
      <c r="K65" s="9"/>
      <c r="L65" s="1" t="s">
        <v>150</v>
      </c>
      <c r="M65" s="1" t="s">
        <v>150</v>
      </c>
      <c r="N65" s="9"/>
      <c r="O65" s="1" t="str">
        <f t="shared" si="1"/>
        <v>нет</v>
      </c>
      <c r="P65" s="1" t="s">
        <v>150</v>
      </c>
      <c r="Q65" s="1" t="s">
        <v>154</v>
      </c>
      <c r="R65" s="7">
        <v>2.0</v>
      </c>
      <c r="S65" s="1" t="s">
        <v>150</v>
      </c>
      <c r="T65" s="9"/>
      <c r="U65" s="9"/>
      <c r="V65" s="9"/>
      <c r="W65" s="9"/>
      <c r="X65" s="9"/>
      <c r="Y65" s="1" t="s">
        <v>150</v>
      </c>
      <c r="Z65" s="9"/>
      <c r="AA65" s="9"/>
      <c r="AB65" s="9"/>
      <c r="AC65" s="9"/>
      <c r="AD65" s="26" t="s">
        <v>286</v>
      </c>
      <c r="AE65" s="1" t="s">
        <v>150</v>
      </c>
      <c r="AF65" s="7">
        <v>0.0</v>
      </c>
      <c r="AG65" s="27" t="s">
        <v>162</v>
      </c>
      <c r="AH65" s="27" t="s">
        <v>152</v>
      </c>
      <c r="AI65" s="1" t="s">
        <v>168</v>
      </c>
      <c r="AJ65" s="7">
        <v>2.0</v>
      </c>
      <c r="AK65" s="1" t="s">
        <v>5</v>
      </c>
      <c r="AL65" s="1" t="s">
        <v>150</v>
      </c>
      <c r="AM65" s="9"/>
      <c r="AN65" s="1">
        <v>15.0</v>
      </c>
      <c r="AO65" s="1" t="str">
        <f t="shared" si="2"/>
        <v>нет</v>
      </c>
      <c r="AP65" s="7">
        <v>187.0</v>
      </c>
      <c r="AQ65" s="7">
        <v>135.0</v>
      </c>
      <c r="AR65" s="9">
        <f t="shared" si="3"/>
        <v>38.60562212</v>
      </c>
      <c r="AS65" s="7" t="str">
        <f t="shared" si="4"/>
        <v>Ожирение II степени</v>
      </c>
      <c r="AT65" s="7">
        <v>158.0</v>
      </c>
      <c r="AU65" s="7">
        <v>94.0</v>
      </c>
      <c r="AV65" s="3">
        <v>115.0</v>
      </c>
      <c r="AW65" s="7">
        <v>99.0</v>
      </c>
      <c r="AX65" s="7">
        <v>38.0</v>
      </c>
      <c r="AY65" s="7">
        <v>21.0</v>
      </c>
      <c r="AZ65" s="7">
        <v>90.0</v>
      </c>
      <c r="BA65" s="10" t="str">
        <f t="shared" si="5"/>
        <v>да</v>
      </c>
      <c r="BB65" s="9"/>
      <c r="BC65" s="11"/>
      <c r="BD65" s="12" t="str">
        <f t="shared" si="6"/>
        <v>#DIV/0!</v>
      </c>
      <c r="BE65" s="12">
        <f t="shared" si="7"/>
        <v>0</v>
      </c>
      <c r="BF65" s="12">
        <f t="shared" si="8"/>
        <v>6</v>
      </c>
      <c r="BG65" s="15" t="s">
        <v>154</v>
      </c>
      <c r="BH65" s="15" t="s">
        <v>262</v>
      </c>
      <c r="BI65" s="1" t="s">
        <v>154</v>
      </c>
      <c r="BJ65" s="1" t="s">
        <v>175</v>
      </c>
      <c r="BK65" s="1" t="s">
        <v>150</v>
      </c>
      <c r="BL65" s="9"/>
      <c r="BM65" s="1" t="s">
        <v>154</v>
      </c>
      <c r="BN65" s="1" t="s">
        <v>155</v>
      </c>
      <c r="BO65" s="1" t="s">
        <v>154</v>
      </c>
      <c r="BP65" s="1" t="s">
        <v>157</v>
      </c>
      <c r="BQ65" s="9"/>
      <c r="BR65" s="1" t="s">
        <v>154</v>
      </c>
      <c r="BS65" s="1" t="s">
        <v>170</v>
      </c>
      <c r="BT65" s="28">
        <v>24.0</v>
      </c>
      <c r="BU65" s="1" t="s">
        <v>157</v>
      </c>
      <c r="BV65" s="7">
        <v>16.0</v>
      </c>
      <c r="BW65" s="1" t="s">
        <v>150</v>
      </c>
      <c r="BX65" s="10" t="s">
        <v>154</v>
      </c>
      <c r="BY65" s="1" t="s">
        <v>269</v>
      </c>
      <c r="BZ65" s="29" t="s">
        <v>158</v>
      </c>
      <c r="CA65" s="9"/>
      <c r="CB65" s="1" t="s">
        <v>150</v>
      </c>
      <c r="CC65" s="1" t="s">
        <v>150</v>
      </c>
      <c r="CD65" s="9"/>
      <c r="CE65" s="1" t="s">
        <v>150</v>
      </c>
      <c r="CF65" s="1" t="s">
        <v>150</v>
      </c>
      <c r="CG65" s="1" t="s">
        <v>150</v>
      </c>
      <c r="CH65" s="1" t="s">
        <v>150</v>
      </c>
      <c r="CI65" s="1" t="s">
        <v>150</v>
      </c>
      <c r="CJ65" s="1" t="s">
        <v>150</v>
      </c>
      <c r="CK65" s="1" t="s">
        <v>150</v>
      </c>
      <c r="CL65" s="9"/>
      <c r="CM65" s="7">
        <v>9.2</v>
      </c>
      <c r="CN65" s="7">
        <v>82.6</v>
      </c>
      <c r="CO65" s="7">
        <f t="shared" si="9"/>
        <v>7.5992</v>
      </c>
      <c r="CP65" s="7">
        <v>6.5</v>
      </c>
      <c r="CQ65" s="7">
        <f t="shared" si="10"/>
        <v>0.493948</v>
      </c>
      <c r="CR65" s="7">
        <v>10.7</v>
      </c>
      <c r="CS65" s="7">
        <f t="shared" si="11"/>
        <v>0.052852436</v>
      </c>
      <c r="CT65" s="7">
        <v>0.0</v>
      </c>
      <c r="CU65" s="7">
        <f t="shared" si="12"/>
        <v>0</v>
      </c>
      <c r="CV65" s="7">
        <f t="shared" si="13"/>
        <v>15.38461538</v>
      </c>
      <c r="CW65" s="7">
        <v>4.63</v>
      </c>
      <c r="CX65" s="7">
        <v>137.0</v>
      </c>
      <c r="CY65" s="7" t="str">
        <f t="shared" si="14"/>
        <v>Норма</v>
      </c>
      <c r="CZ65" s="9"/>
      <c r="DA65" s="7">
        <v>256.0</v>
      </c>
      <c r="DB65" s="7">
        <v>83.3</v>
      </c>
      <c r="DC65" s="7">
        <v>10.6</v>
      </c>
      <c r="DD65" s="7">
        <v>94.9</v>
      </c>
      <c r="DE65" s="7"/>
      <c r="DF65" s="7">
        <v>3.1</v>
      </c>
      <c r="DG65" s="7"/>
      <c r="DH65" s="7">
        <v>5.1</v>
      </c>
      <c r="DI65" s="7"/>
      <c r="DJ65" s="7">
        <v>0.0</v>
      </c>
      <c r="DK65" s="7"/>
      <c r="DL65" s="7"/>
      <c r="DM65" s="7">
        <v>4.05</v>
      </c>
      <c r="DN65" s="7">
        <v>120.0</v>
      </c>
      <c r="DO65" s="7" t="str">
        <f t="shared" si="15"/>
        <v>Легкая степень</v>
      </c>
      <c r="DP65" s="9"/>
      <c r="DQ65" s="7">
        <v>258.0</v>
      </c>
      <c r="DR65" s="7">
        <v>100.9</v>
      </c>
      <c r="DS65" s="13">
        <v>660.0</v>
      </c>
      <c r="DT65" s="9"/>
      <c r="DU65" s="7">
        <v>14.1</v>
      </c>
      <c r="DV65" s="7">
        <v>1.205</v>
      </c>
      <c r="DW65" s="1" t="s">
        <v>241</v>
      </c>
      <c r="DX65" s="9"/>
      <c r="DY65" s="7">
        <v>26.8</v>
      </c>
      <c r="DZ65" s="7">
        <v>10.3</v>
      </c>
      <c r="EA65" s="7">
        <v>0.88</v>
      </c>
      <c r="EB65" s="7"/>
      <c r="EC65" s="7">
        <v>5.38</v>
      </c>
      <c r="ED65" s="7">
        <v>8.09</v>
      </c>
      <c r="EE65" s="7">
        <v>45.5</v>
      </c>
      <c r="EF65" s="7">
        <v>47.7</v>
      </c>
      <c r="EG65" s="7">
        <v>80.0</v>
      </c>
      <c r="EH65" s="7">
        <v>8.8</v>
      </c>
      <c r="EI65" s="7">
        <v>3.9</v>
      </c>
      <c r="EJ65" s="7">
        <v>107.0</v>
      </c>
      <c r="EK65" s="14">
        <f t="shared" si="16"/>
        <v>54.92994761</v>
      </c>
      <c r="EL65" s="11" t="str">
        <f t="shared" si="17"/>
        <v>C3a</v>
      </c>
      <c r="EM65" s="7">
        <v>133.8</v>
      </c>
      <c r="EN65" s="7">
        <v>3.96</v>
      </c>
      <c r="EO65" s="7">
        <v>53.5</v>
      </c>
      <c r="EP65" s="7">
        <v>13.4</v>
      </c>
      <c r="EQ65" s="7">
        <v>59.6</v>
      </c>
      <c r="ER65" s="7">
        <v>7.7</v>
      </c>
      <c r="ES65" s="7">
        <v>3.2</v>
      </c>
      <c r="ET65" s="7">
        <v>90.0</v>
      </c>
      <c r="EU65" s="11">
        <f t="shared" si="18"/>
        <v>67.71033744</v>
      </c>
      <c r="EV65" s="11" t="str">
        <f t="shared" si="19"/>
        <v>C2</v>
      </c>
      <c r="EW65" s="7">
        <v>137.0</v>
      </c>
      <c r="EX65" s="7">
        <v>3.84</v>
      </c>
      <c r="EY65" s="9">
        <f t="shared" si="20"/>
        <v>0.2900294006</v>
      </c>
      <c r="EZ65" s="9">
        <f t="shared" si="21"/>
        <v>0.4279966693</v>
      </c>
      <c r="FA65" s="9" t="str">
        <f t="shared" si="22"/>
        <v>Благоприятный</v>
      </c>
      <c r="FB65" s="1" t="s">
        <v>150</v>
      </c>
      <c r="FC65" s="1" t="s">
        <v>148</v>
      </c>
    </row>
    <row r="66">
      <c r="A66" s="7">
        <v>65.0</v>
      </c>
      <c r="B66" s="21">
        <v>23.0</v>
      </c>
      <c r="C66" s="25">
        <v>6164.0</v>
      </c>
      <c r="D66" s="1" t="s">
        <v>148</v>
      </c>
      <c r="E66" s="7">
        <v>53.0</v>
      </c>
      <c r="F66" s="1" t="s">
        <v>161</v>
      </c>
      <c r="G66" s="7"/>
      <c r="H66" s="7">
        <v>24.0</v>
      </c>
      <c r="I66" s="1" t="s">
        <v>150</v>
      </c>
      <c r="J66" s="1" t="s">
        <v>150</v>
      </c>
      <c r="K66" s="9"/>
      <c r="L66" s="1" t="s">
        <v>150</v>
      </c>
      <c r="M66" s="1" t="s">
        <v>150</v>
      </c>
      <c r="N66" s="9"/>
      <c r="O66" s="1" t="str">
        <f t="shared" si="1"/>
        <v>нет</v>
      </c>
      <c r="P66" s="1" t="s">
        <v>150</v>
      </c>
      <c r="Q66" s="1" t="s">
        <v>150</v>
      </c>
      <c r="R66" s="9"/>
      <c r="S66" s="1" t="s">
        <v>150</v>
      </c>
      <c r="T66" s="9"/>
      <c r="U66" s="9"/>
      <c r="V66" s="9"/>
      <c r="W66" s="9"/>
      <c r="X66" s="9"/>
      <c r="Y66" s="1" t="s">
        <v>150</v>
      </c>
      <c r="Z66" s="9"/>
      <c r="AA66" s="9"/>
      <c r="AB66" s="9"/>
      <c r="AC66" s="9"/>
      <c r="AD66" s="26" t="s">
        <v>287</v>
      </c>
      <c r="AE66" s="1" t="s">
        <v>150</v>
      </c>
      <c r="AF66" s="7">
        <v>0.0</v>
      </c>
      <c r="AG66" s="27" t="s">
        <v>162</v>
      </c>
      <c r="AH66" s="27" t="s">
        <v>152</v>
      </c>
      <c r="AI66" s="1" t="s">
        <v>168</v>
      </c>
      <c r="AJ66" s="7">
        <v>3.0</v>
      </c>
      <c r="AK66" s="1" t="s">
        <v>5</v>
      </c>
      <c r="AL66" s="1" t="s">
        <v>150</v>
      </c>
      <c r="AM66" s="9"/>
      <c r="AN66" s="1">
        <v>15.0</v>
      </c>
      <c r="AO66" s="1" t="str">
        <f t="shared" si="2"/>
        <v>нет</v>
      </c>
      <c r="AP66" s="7">
        <v>166.0</v>
      </c>
      <c r="AQ66" s="7">
        <v>67.0</v>
      </c>
      <c r="AR66" s="9">
        <f t="shared" si="3"/>
        <v>24.31412397</v>
      </c>
      <c r="AS66" s="7" t="str">
        <f t="shared" si="4"/>
        <v>Нормальный вес</v>
      </c>
      <c r="AT66" s="7">
        <v>123.0</v>
      </c>
      <c r="AU66" s="7">
        <v>81.0</v>
      </c>
      <c r="AV66" s="3">
        <v>95.0</v>
      </c>
      <c r="AW66" s="7">
        <v>107.0</v>
      </c>
      <c r="AX66" s="7">
        <v>37.7</v>
      </c>
      <c r="AY66" s="7">
        <v>20.0</v>
      </c>
      <c r="AZ66" s="7">
        <v>96.0</v>
      </c>
      <c r="BA66" s="10" t="str">
        <f t="shared" si="5"/>
        <v>нет</v>
      </c>
      <c r="BB66" s="9"/>
      <c r="BC66" s="11"/>
      <c r="BD66" s="12" t="str">
        <f t="shared" si="6"/>
        <v>#DIV/0!</v>
      </c>
      <c r="BE66" s="12">
        <f t="shared" si="7"/>
        <v>0</v>
      </c>
      <c r="BF66" s="12">
        <f t="shared" si="8"/>
        <v>1</v>
      </c>
      <c r="BG66" s="15" t="s">
        <v>154</v>
      </c>
      <c r="BH66" s="15" t="s">
        <v>198</v>
      </c>
      <c r="BI66" s="15" t="s">
        <v>154</v>
      </c>
      <c r="BJ66" s="15" t="s">
        <v>175</v>
      </c>
      <c r="BK66" s="15" t="s">
        <v>150</v>
      </c>
      <c r="BL66" s="9"/>
      <c r="BM66" s="15" t="s">
        <v>154</v>
      </c>
      <c r="BN66" s="15" t="s">
        <v>155</v>
      </c>
      <c r="BO66" s="15" t="s">
        <v>154</v>
      </c>
      <c r="BP66" s="15" t="s">
        <v>283</v>
      </c>
      <c r="BQ66" s="9"/>
      <c r="BR66" s="15" t="s">
        <v>154</v>
      </c>
      <c r="BS66" s="15" t="s">
        <v>170</v>
      </c>
      <c r="BT66" s="28">
        <v>12.0</v>
      </c>
      <c r="BU66" s="15" t="s">
        <v>207</v>
      </c>
      <c r="BV66" s="7">
        <v>16.0</v>
      </c>
      <c r="BW66" s="15" t="s">
        <v>150</v>
      </c>
      <c r="BX66" s="10" t="s">
        <v>154</v>
      </c>
      <c r="BY66" s="1" t="s">
        <v>269</v>
      </c>
      <c r="BZ66" s="29" t="s">
        <v>158</v>
      </c>
      <c r="CA66" s="9"/>
      <c r="CB66" s="1" t="s">
        <v>150</v>
      </c>
      <c r="CC66" s="1" t="s">
        <v>150</v>
      </c>
      <c r="CD66" s="9"/>
      <c r="CE66" s="1" t="s">
        <v>150</v>
      </c>
      <c r="CF66" s="1" t="s">
        <v>150</v>
      </c>
      <c r="CG66" s="1" t="s">
        <v>150</v>
      </c>
      <c r="CH66" s="1" t="s">
        <v>150</v>
      </c>
      <c r="CI66" s="1" t="s">
        <v>150</v>
      </c>
      <c r="CJ66" s="1" t="s">
        <v>150</v>
      </c>
      <c r="CK66" s="1" t="s">
        <v>150</v>
      </c>
      <c r="CL66" s="9"/>
      <c r="CM66" s="7">
        <v>5.0</v>
      </c>
      <c r="CN66" s="7">
        <v>85.4</v>
      </c>
      <c r="CO66" s="7">
        <f t="shared" si="9"/>
        <v>4.27</v>
      </c>
      <c r="CP66" s="7">
        <v>8.5</v>
      </c>
      <c r="CQ66" s="7">
        <f t="shared" si="10"/>
        <v>0.36295</v>
      </c>
      <c r="CR66" s="7">
        <v>7.0</v>
      </c>
      <c r="CS66" s="7">
        <f t="shared" si="11"/>
        <v>0.0254065</v>
      </c>
      <c r="CT66" s="7">
        <v>0.0</v>
      </c>
      <c r="CU66" s="7">
        <f t="shared" si="12"/>
        <v>0</v>
      </c>
      <c r="CV66" s="7">
        <f t="shared" si="13"/>
        <v>11.76470588</v>
      </c>
      <c r="CW66" s="7">
        <v>4.83</v>
      </c>
      <c r="CX66" s="7">
        <v>118.0</v>
      </c>
      <c r="CY66" s="7" t="str">
        <f t="shared" si="14"/>
        <v>Легкая степень</v>
      </c>
      <c r="CZ66" s="9"/>
      <c r="DA66" s="7">
        <v>196.0</v>
      </c>
      <c r="DB66" s="7">
        <v>79.9</v>
      </c>
      <c r="DC66" s="7">
        <v>10.5</v>
      </c>
      <c r="DD66" s="7">
        <v>91.1</v>
      </c>
      <c r="DE66" s="7"/>
      <c r="DF66" s="7">
        <v>4.2</v>
      </c>
      <c r="DG66" s="7"/>
      <c r="DH66" s="7">
        <v>4.6</v>
      </c>
      <c r="DI66" s="7"/>
      <c r="DJ66" s="7">
        <v>0.1</v>
      </c>
      <c r="DK66" s="7"/>
      <c r="DL66" s="7"/>
      <c r="DM66" s="7">
        <v>4.73</v>
      </c>
      <c r="DN66" s="7">
        <v>123.0</v>
      </c>
      <c r="DO66" s="7" t="str">
        <f t="shared" si="15"/>
        <v>Легкая степень</v>
      </c>
      <c r="DP66" s="9"/>
      <c r="DQ66" s="7">
        <v>138.0</v>
      </c>
      <c r="DR66" s="7">
        <v>5.9</v>
      </c>
      <c r="DS66" s="13">
        <v>510.0</v>
      </c>
      <c r="DT66" s="7">
        <v>30.8</v>
      </c>
      <c r="DU66" s="7">
        <v>14.1</v>
      </c>
      <c r="DV66" s="7">
        <v>1.205</v>
      </c>
      <c r="DW66" s="1" t="s">
        <v>241</v>
      </c>
      <c r="DX66" s="9"/>
      <c r="DY66" s="7">
        <v>32.0</v>
      </c>
      <c r="DZ66" s="7">
        <v>11.7</v>
      </c>
      <c r="EA66" s="7">
        <v>1.0</v>
      </c>
      <c r="EB66" s="7"/>
      <c r="EC66" s="7">
        <v>5.8</v>
      </c>
      <c r="ED66" s="7">
        <v>4.71</v>
      </c>
      <c r="EE66" s="7">
        <v>11.4</v>
      </c>
      <c r="EF66" s="7">
        <v>29.1</v>
      </c>
      <c r="EG66" s="7">
        <v>70.8</v>
      </c>
      <c r="EH66" s="7">
        <v>6.21</v>
      </c>
      <c r="EI66" s="7">
        <v>1.3</v>
      </c>
      <c r="EJ66" s="7">
        <v>72.6</v>
      </c>
      <c r="EK66" s="14">
        <f t="shared" si="16"/>
        <v>81.83786343</v>
      </c>
      <c r="EL66" s="11" t="str">
        <f t="shared" si="17"/>
        <v>C2</v>
      </c>
      <c r="EM66" s="9"/>
      <c r="EN66" s="9"/>
      <c r="EO66" s="7">
        <v>23.9</v>
      </c>
      <c r="EP66" s="7">
        <v>29.1</v>
      </c>
      <c r="EQ66" s="7">
        <v>66.9</v>
      </c>
      <c r="ER66" s="7">
        <v>15.2</v>
      </c>
      <c r="ES66" s="7">
        <v>3.9</v>
      </c>
      <c r="ET66" s="7">
        <v>67.0</v>
      </c>
      <c r="EU66" s="11">
        <f t="shared" si="18"/>
        <v>90.17833667</v>
      </c>
      <c r="EV66" s="11" t="str">
        <f t="shared" si="19"/>
        <v>C1</v>
      </c>
      <c r="EW66" s="9"/>
      <c r="EX66" s="9"/>
      <c r="EY66" s="9">
        <f t="shared" si="20"/>
        <v>3.226020434</v>
      </c>
      <c r="EZ66" s="9">
        <f t="shared" si="21"/>
        <v>0.03819818428</v>
      </c>
      <c r="FA66" s="9" t="str">
        <f t="shared" si="22"/>
        <v>Благоприятный</v>
      </c>
      <c r="FB66" s="1" t="s">
        <v>150</v>
      </c>
      <c r="FC66" s="1" t="s">
        <v>148</v>
      </c>
    </row>
    <row r="67">
      <c r="A67" s="7">
        <v>66.0</v>
      </c>
      <c r="B67" s="21">
        <v>24.0</v>
      </c>
      <c r="C67" s="25">
        <v>4996.0</v>
      </c>
      <c r="D67" s="1" t="s">
        <v>148</v>
      </c>
      <c r="E67" s="7">
        <v>62.0</v>
      </c>
      <c r="F67" s="1" t="s">
        <v>149</v>
      </c>
      <c r="G67" s="7"/>
      <c r="H67" s="7">
        <v>49.0</v>
      </c>
      <c r="I67" s="1" t="s">
        <v>150</v>
      </c>
      <c r="J67" s="1" t="s">
        <v>150</v>
      </c>
      <c r="K67" s="9"/>
      <c r="L67" s="1" t="s">
        <v>150</v>
      </c>
      <c r="M67" s="1" t="s">
        <v>150</v>
      </c>
      <c r="N67" s="9"/>
      <c r="O67" s="1" t="str">
        <f t="shared" si="1"/>
        <v>нет</v>
      </c>
      <c r="P67" s="1" t="s">
        <v>150</v>
      </c>
      <c r="Q67" s="1" t="s">
        <v>154</v>
      </c>
      <c r="R67" s="7">
        <v>3.0</v>
      </c>
      <c r="S67" s="1" t="s">
        <v>150</v>
      </c>
      <c r="T67" s="9"/>
      <c r="U67" s="9"/>
      <c r="V67" s="9"/>
      <c r="W67" s="9"/>
      <c r="X67" s="9"/>
      <c r="Y67" s="1" t="s">
        <v>154</v>
      </c>
      <c r="Z67" s="7">
        <v>2.0</v>
      </c>
      <c r="AA67" s="9"/>
      <c r="AB67" s="9"/>
      <c r="AC67" s="9"/>
      <c r="AD67" s="26"/>
      <c r="AE67" s="1" t="s">
        <v>150</v>
      </c>
      <c r="AF67" s="7">
        <v>0.0</v>
      </c>
      <c r="AG67" s="27" t="s">
        <v>162</v>
      </c>
      <c r="AH67" s="27" t="s">
        <v>152</v>
      </c>
      <c r="AI67" s="1" t="s">
        <v>168</v>
      </c>
      <c r="AJ67" s="7">
        <v>1.0</v>
      </c>
      <c r="AK67" s="1" t="s">
        <v>5</v>
      </c>
      <c r="AL67" s="1" t="s">
        <v>150</v>
      </c>
      <c r="AM67" s="9"/>
      <c r="AN67" s="1">
        <v>15.0</v>
      </c>
      <c r="AO67" s="1" t="str">
        <f t="shared" si="2"/>
        <v>нет</v>
      </c>
      <c r="AP67" s="7">
        <v>167.0</v>
      </c>
      <c r="AQ67" s="7">
        <v>80.0</v>
      </c>
      <c r="AR67" s="9">
        <f t="shared" si="3"/>
        <v>28.68514468</v>
      </c>
      <c r="AS67" s="7" t="str">
        <f t="shared" si="4"/>
        <v>Избыточный вес (предожирение)</v>
      </c>
      <c r="AT67" s="7">
        <v>120.0</v>
      </c>
      <c r="AU67" s="7">
        <v>80.0</v>
      </c>
      <c r="AV67" s="3">
        <v>93.0</v>
      </c>
      <c r="AW67" s="7">
        <v>88.0</v>
      </c>
      <c r="AX67" s="7">
        <v>38.0</v>
      </c>
      <c r="AY67" s="7">
        <v>22.0</v>
      </c>
      <c r="AZ67" s="7">
        <v>89.0</v>
      </c>
      <c r="BA67" s="10" t="str">
        <f t="shared" si="5"/>
        <v>да</v>
      </c>
      <c r="BB67" s="9"/>
      <c r="BC67" s="11"/>
      <c r="BD67" s="12" t="str">
        <f t="shared" si="6"/>
        <v>#DIV/0!</v>
      </c>
      <c r="BE67" s="12">
        <f t="shared" si="7"/>
        <v>1</v>
      </c>
      <c r="BF67" s="12">
        <f t="shared" si="8"/>
        <v>5</v>
      </c>
      <c r="BG67" s="1" t="s">
        <v>150</v>
      </c>
      <c r="BH67" s="9"/>
      <c r="BI67" s="1" t="s">
        <v>154</v>
      </c>
      <c r="BJ67" s="1" t="s">
        <v>288</v>
      </c>
      <c r="BK67" s="1" t="s">
        <v>150</v>
      </c>
      <c r="BL67" s="9"/>
      <c r="BM67" s="1" t="s">
        <v>154</v>
      </c>
      <c r="BN67" s="1" t="s">
        <v>155</v>
      </c>
      <c r="BO67" s="9"/>
      <c r="BP67" s="9"/>
      <c r="BQ67" s="9"/>
      <c r="BR67" s="1" t="s">
        <v>154</v>
      </c>
      <c r="BS67" s="1" t="s">
        <v>289</v>
      </c>
      <c r="BT67" s="30"/>
      <c r="BU67" s="1" t="s">
        <v>207</v>
      </c>
      <c r="BV67" s="7">
        <v>16.0</v>
      </c>
      <c r="BW67" s="1" t="s">
        <v>150</v>
      </c>
      <c r="BX67" s="10" t="s">
        <v>154</v>
      </c>
      <c r="BY67" s="1" t="s">
        <v>275</v>
      </c>
      <c r="BZ67" s="29" t="s">
        <v>158</v>
      </c>
      <c r="CA67" s="9"/>
      <c r="CB67" s="1" t="s">
        <v>150</v>
      </c>
      <c r="CC67" s="1" t="s">
        <v>150</v>
      </c>
      <c r="CD67" s="1" t="s">
        <v>212</v>
      </c>
      <c r="CE67" s="1" t="s">
        <v>150</v>
      </c>
      <c r="CF67" s="1" t="s">
        <v>150</v>
      </c>
      <c r="CG67" s="1" t="s">
        <v>150</v>
      </c>
      <c r="CH67" s="1" t="s">
        <v>150</v>
      </c>
      <c r="CI67" s="1" t="s">
        <v>150</v>
      </c>
      <c r="CJ67" s="1" t="s">
        <v>150</v>
      </c>
      <c r="CK67" s="1" t="s">
        <v>150</v>
      </c>
      <c r="CL67" s="9"/>
      <c r="CM67" s="7">
        <v>20.8</v>
      </c>
      <c r="CN67" s="7">
        <v>90.5</v>
      </c>
      <c r="CO67" s="7">
        <f t="shared" si="9"/>
        <v>18.824</v>
      </c>
      <c r="CP67" s="7">
        <v>7.2</v>
      </c>
      <c r="CQ67" s="7">
        <f t="shared" si="10"/>
        <v>1.355328</v>
      </c>
      <c r="CR67" s="7">
        <v>2.1</v>
      </c>
      <c r="CS67" s="7">
        <f t="shared" si="11"/>
        <v>0.028461888</v>
      </c>
      <c r="CT67" s="7">
        <v>0.1</v>
      </c>
      <c r="CU67" s="7">
        <f t="shared" si="12"/>
        <v>0.000028461888</v>
      </c>
      <c r="CV67" s="7">
        <f t="shared" si="13"/>
        <v>13.88888889</v>
      </c>
      <c r="CW67" s="7">
        <v>2.88</v>
      </c>
      <c r="CX67" s="7">
        <v>72.0</v>
      </c>
      <c r="CY67" s="7" t="str">
        <f t="shared" si="14"/>
        <v>Тяжелая степень</v>
      </c>
      <c r="CZ67" s="7">
        <v>8.0</v>
      </c>
      <c r="DA67" s="7">
        <v>285.0</v>
      </c>
      <c r="DB67" s="7">
        <v>104.4</v>
      </c>
      <c r="DC67" s="7">
        <v>15.3</v>
      </c>
      <c r="DD67" s="7">
        <v>83.1</v>
      </c>
      <c r="DE67" s="7"/>
      <c r="DF67" s="7">
        <v>11.4</v>
      </c>
      <c r="DG67" s="7"/>
      <c r="DH67" s="7">
        <v>5.2</v>
      </c>
      <c r="DI67" s="7"/>
      <c r="DJ67" s="7">
        <v>0.8</v>
      </c>
      <c r="DK67" s="7"/>
      <c r="DL67" s="7"/>
      <c r="DM67" s="7">
        <v>3.74</v>
      </c>
      <c r="DN67" s="7">
        <v>118.0</v>
      </c>
      <c r="DO67" s="7" t="str">
        <f t="shared" si="15"/>
        <v>Легкая степень</v>
      </c>
      <c r="DP67" s="7">
        <v>15.0</v>
      </c>
      <c r="DQ67" s="7">
        <v>338.0</v>
      </c>
      <c r="DR67" s="7">
        <v>0.0</v>
      </c>
      <c r="DS67" s="13">
        <v>700.0</v>
      </c>
      <c r="DT67" s="9"/>
      <c r="DU67" s="7">
        <v>17.3</v>
      </c>
      <c r="DV67" s="7">
        <v>1.48</v>
      </c>
      <c r="DW67" s="1" t="s">
        <v>241</v>
      </c>
      <c r="DX67" s="9"/>
      <c r="DY67" s="9"/>
      <c r="DZ67" s="7">
        <v>10.3</v>
      </c>
      <c r="EA67" s="7">
        <v>0.88</v>
      </c>
      <c r="EB67" s="7"/>
      <c r="EC67" s="7">
        <v>5.57</v>
      </c>
      <c r="ED67" s="7">
        <v>4.69</v>
      </c>
      <c r="EE67" s="7">
        <v>45.8</v>
      </c>
      <c r="EF67" s="7">
        <v>100.6</v>
      </c>
      <c r="EG67" s="7">
        <v>62.1</v>
      </c>
      <c r="EH67" s="7">
        <v>16.2</v>
      </c>
      <c r="EI67" s="7">
        <v>6.3</v>
      </c>
      <c r="EJ67" s="7">
        <v>87.0</v>
      </c>
      <c r="EK67" s="14">
        <f t="shared" si="16"/>
        <v>61.72926658</v>
      </c>
      <c r="EL67" s="11" t="str">
        <f t="shared" si="17"/>
        <v>C2</v>
      </c>
      <c r="EM67" s="7">
        <v>129.8</v>
      </c>
      <c r="EN67" s="7">
        <v>2.91</v>
      </c>
      <c r="EO67" s="7">
        <v>32.8</v>
      </c>
      <c r="EP67" s="7">
        <v>12.9</v>
      </c>
      <c r="EQ67" s="7">
        <v>57.7</v>
      </c>
      <c r="ER67" s="7">
        <v>12.0</v>
      </c>
      <c r="ES67" s="7">
        <v>4.5</v>
      </c>
      <c r="ET67" s="7">
        <v>51.0</v>
      </c>
      <c r="EU67" s="11">
        <f t="shared" si="18"/>
        <v>99.28680474</v>
      </c>
      <c r="EV67" s="11" t="str">
        <f t="shared" si="19"/>
        <v>C1</v>
      </c>
      <c r="EW67" s="7">
        <v>137.0</v>
      </c>
      <c r="EX67" s="7">
        <v>3.7</v>
      </c>
      <c r="EY67" s="9">
        <f t="shared" si="20"/>
        <v>-1.1727645</v>
      </c>
      <c r="EZ67" s="9">
        <f t="shared" si="21"/>
        <v>0.7636443485</v>
      </c>
      <c r="FA67" s="9" t="str">
        <f t="shared" si="22"/>
        <v>Неблагоприятный</v>
      </c>
      <c r="FB67" s="1" t="s">
        <v>256</v>
      </c>
      <c r="FC67" s="1" t="s">
        <v>148</v>
      </c>
    </row>
    <row r="68">
      <c r="A68" s="7">
        <v>67.0</v>
      </c>
      <c r="B68" s="21">
        <v>25.0</v>
      </c>
      <c r="C68" s="25">
        <v>6614.0</v>
      </c>
      <c r="D68" s="1" t="s">
        <v>148</v>
      </c>
      <c r="E68" s="7">
        <v>31.0</v>
      </c>
      <c r="F68" s="1" t="s">
        <v>149</v>
      </c>
      <c r="G68" s="7"/>
      <c r="H68" s="7">
        <v>15.0</v>
      </c>
      <c r="I68" s="1" t="s">
        <v>150</v>
      </c>
      <c r="J68" s="1" t="s">
        <v>150</v>
      </c>
      <c r="K68" s="9"/>
      <c r="L68" s="1" t="s">
        <v>150</v>
      </c>
      <c r="M68" s="1" t="s">
        <v>150</v>
      </c>
      <c r="N68" s="9"/>
      <c r="O68" s="1" t="str">
        <f t="shared" si="1"/>
        <v>да</v>
      </c>
      <c r="P68" s="1" t="s">
        <v>150</v>
      </c>
      <c r="Q68" s="1" t="s">
        <v>150</v>
      </c>
      <c r="R68" s="9"/>
      <c r="S68" s="1" t="s">
        <v>150</v>
      </c>
      <c r="T68" s="9"/>
      <c r="U68" s="9"/>
      <c r="V68" s="9"/>
      <c r="W68" s="9"/>
      <c r="X68" s="9"/>
      <c r="Y68" s="1" t="s">
        <v>150</v>
      </c>
      <c r="Z68" s="9"/>
      <c r="AA68" s="9"/>
      <c r="AB68" s="9"/>
      <c r="AC68" s="9"/>
      <c r="AD68" s="26"/>
      <c r="AE68" s="1" t="s">
        <v>150</v>
      </c>
      <c r="AF68" s="7">
        <v>0.0</v>
      </c>
      <c r="AG68" s="27" t="s">
        <v>162</v>
      </c>
      <c r="AH68" s="27" t="s">
        <v>152</v>
      </c>
      <c r="AI68" s="1" t="s">
        <v>168</v>
      </c>
      <c r="AJ68" s="7">
        <v>2.0</v>
      </c>
      <c r="AK68" s="1" t="s">
        <v>5</v>
      </c>
      <c r="AL68" s="1" t="s">
        <v>150</v>
      </c>
      <c r="AM68" s="9"/>
      <c r="AN68" s="1">
        <v>15.0</v>
      </c>
      <c r="AO68" s="1" t="str">
        <f t="shared" si="2"/>
        <v>нет</v>
      </c>
      <c r="AP68" s="7">
        <v>175.0</v>
      </c>
      <c r="AQ68" s="7">
        <v>106.0</v>
      </c>
      <c r="AR68" s="9">
        <f t="shared" si="3"/>
        <v>34.6122449</v>
      </c>
      <c r="AS68" s="7" t="str">
        <f t="shared" si="4"/>
        <v>Ожирение I степени</v>
      </c>
      <c r="AT68" s="7">
        <v>140.0</v>
      </c>
      <c r="AU68" s="7">
        <v>80.0</v>
      </c>
      <c r="AV68" s="3">
        <v>100.0</v>
      </c>
      <c r="AW68" s="7">
        <v>86.0</v>
      </c>
      <c r="AX68" s="7">
        <v>38.5</v>
      </c>
      <c r="AY68" s="7">
        <v>24.0</v>
      </c>
      <c r="AZ68" s="7">
        <v>82.0</v>
      </c>
      <c r="BA68" s="10" t="str">
        <f t="shared" si="5"/>
        <v>да</v>
      </c>
      <c r="BB68" s="7">
        <v>93.0</v>
      </c>
      <c r="BC68" s="11"/>
      <c r="BD68" s="12" t="str">
        <f t="shared" si="6"/>
        <v>#DIV/0!</v>
      </c>
      <c r="BE68" s="12">
        <f t="shared" si="7"/>
        <v>1</v>
      </c>
      <c r="BF68" s="12">
        <f t="shared" si="8"/>
        <v>6</v>
      </c>
      <c r="BG68" s="1" t="s">
        <v>150</v>
      </c>
      <c r="BH68" s="9"/>
      <c r="BI68" s="15" t="s">
        <v>154</v>
      </c>
      <c r="BJ68" s="15" t="s">
        <v>175</v>
      </c>
      <c r="BK68" s="15" t="s">
        <v>150</v>
      </c>
      <c r="BL68" s="9"/>
      <c r="BM68" s="15" t="s">
        <v>154</v>
      </c>
      <c r="BN68" s="15" t="s">
        <v>155</v>
      </c>
      <c r="BO68" s="9"/>
      <c r="BP68" s="9"/>
      <c r="BQ68" s="9"/>
      <c r="BR68" s="15" t="s">
        <v>154</v>
      </c>
      <c r="BS68" s="15" t="s">
        <v>170</v>
      </c>
      <c r="BT68" s="28">
        <v>12.0</v>
      </c>
      <c r="BU68" s="1" t="s">
        <v>157</v>
      </c>
      <c r="BV68" s="7">
        <v>16.0</v>
      </c>
      <c r="BW68" s="1" t="s">
        <v>150</v>
      </c>
      <c r="BX68" s="10" t="s">
        <v>154</v>
      </c>
      <c r="BY68" s="1" t="s">
        <v>173</v>
      </c>
      <c r="BZ68" s="29" t="s">
        <v>158</v>
      </c>
      <c r="CA68" s="9"/>
      <c r="CB68" s="1" t="s">
        <v>150</v>
      </c>
      <c r="CC68" s="1" t="s">
        <v>150</v>
      </c>
      <c r="CD68" s="9"/>
      <c r="CE68" s="1" t="s">
        <v>150</v>
      </c>
      <c r="CF68" s="1" t="s">
        <v>150</v>
      </c>
      <c r="CG68" s="1" t="s">
        <v>150</v>
      </c>
      <c r="CH68" s="1" t="s">
        <v>150</v>
      </c>
      <c r="CI68" s="1" t="s">
        <v>150</v>
      </c>
      <c r="CJ68" s="1" t="s">
        <v>150</v>
      </c>
      <c r="CK68" s="1" t="s">
        <v>150</v>
      </c>
      <c r="CL68" s="9"/>
      <c r="CM68" s="7">
        <v>7.9</v>
      </c>
      <c r="CN68" s="7">
        <v>69.7</v>
      </c>
      <c r="CO68" s="7">
        <f t="shared" si="9"/>
        <v>5.5063</v>
      </c>
      <c r="CP68" s="7">
        <v>4.4</v>
      </c>
      <c r="CQ68" s="7">
        <f t="shared" si="10"/>
        <v>0.2422772</v>
      </c>
      <c r="CR68" s="7">
        <v>25.9</v>
      </c>
      <c r="CS68" s="7">
        <f t="shared" si="11"/>
        <v>0.0627497948</v>
      </c>
      <c r="CT68" s="7">
        <v>0.0</v>
      </c>
      <c r="CU68" s="7">
        <f t="shared" si="12"/>
        <v>0</v>
      </c>
      <c r="CV68" s="7">
        <f t="shared" si="13"/>
        <v>22.72727273</v>
      </c>
      <c r="CW68" s="7">
        <v>4.36</v>
      </c>
      <c r="CX68" s="7">
        <v>132.0</v>
      </c>
      <c r="CY68" s="7" t="str">
        <f t="shared" si="14"/>
        <v>Норма</v>
      </c>
      <c r="CZ68" s="9"/>
      <c r="DA68" s="7">
        <v>218.0</v>
      </c>
      <c r="DB68" s="7">
        <v>64.0</v>
      </c>
      <c r="DC68" s="7">
        <v>22.5</v>
      </c>
      <c r="DD68" s="7">
        <v>83.4</v>
      </c>
      <c r="DE68" s="7"/>
      <c r="DF68" s="7">
        <v>9.7</v>
      </c>
      <c r="DG68" s="7"/>
      <c r="DH68" s="7">
        <v>6.8</v>
      </c>
      <c r="DI68" s="7"/>
      <c r="DJ68" s="7">
        <v>0.0</v>
      </c>
      <c r="DK68" s="7"/>
      <c r="DL68" s="7"/>
      <c r="DM68" s="7">
        <v>5.04</v>
      </c>
      <c r="DN68" s="7">
        <v>151.0</v>
      </c>
      <c r="DO68" s="7" t="str">
        <f t="shared" si="15"/>
        <v>Норма</v>
      </c>
      <c r="DP68" s="9"/>
      <c r="DQ68" s="7">
        <v>232.0</v>
      </c>
      <c r="DR68" s="7">
        <v>7.9</v>
      </c>
      <c r="DS68" s="13">
        <v>650.0</v>
      </c>
      <c r="DT68" s="7">
        <v>35.0</v>
      </c>
      <c r="DU68" s="7">
        <v>14.8</v>
      </c>
      <c r="DV68" s="7">
        <v>1.26</v>
      </c>
      <c r="DW68" s="1" t="s">
        <v>241</v>
      </c>
      <c r="DX68" s="9"/>
      <c r="DY68" s="9"/>
      <c r="DZ68" s="7">
        <v>11.7</v>
      </c>
      <c r="EA68" s="7">
        <v>1.0</v>
      </c>
      <c r="EB68" s="7"/>
      <c r="EC68" s="7">
        <v>6.98</v>
      </c>
      <c r="ED68" s="7">
        <v>4.11</v>
      </c>
      <c r="EE68" s="7">
        <v>100.1</v>
      </c>
      <c r="EF68" s="7">
        <v>37.7</v>
      </c>
      <c r="EG68" s="7">
        <v>63.1</v>
      </c>
      <c r="EH68" s="7">
        <v>23.8</v>
      </c>
      <c r="EI68" s="7">
        <v>16.2</v>
      </c>
      <c r="EJ68" s="7">
        <v>100.0</v>
      </c>
      <c r="EK68" s="14">
        <f t="shared" si="16"/>
        <v>64.85495915</v>
      </c>
      <c r="EL68" s="11" t="str">
        <f t="shared" si="17"/>
        <v>C2</v>
      </c>
      <c r="EM68" s="7">
        <v>130.9</v>
      </c>
      <c r="EN68" s="7">
        <v>3.6</v>
      </c>
      <c r="EO68" s="7">
        <v>299.0</v>
      </c>
      <c r="EP68" s="7">
        <v>67.2</v>
      </c>
      <c r="EQ68" s="7">
        <v>65.6</v>
      </c>
      <c r="ER68" s="7">
        <v>11.5</v>
      </c>
      <c r="ES68" s="7">
        <v>5.1</v>
      </c>
      <c r="ET68" s="7">
        <v>96.0</v>
      </c>
      <c r="EU68" s="11">
        <f t="shared" si="18"/>
        <v>68.13609965</v>
      </c>
      <c r="EV68" s="11" t="str">
        <f t="shared" si="19"/>
        <v>C2</v>
      </c>
      <c r="EW68" s="7">
        <v>131.0</v>
      </c>
      <c r="EX68" s="7">
        <v>4.16</v>
      </c>
      <c r="EY68" s="9">
        <f t="shared" si="20"/>
        <v>3.099491224</v>
      </c>
      <c r="EZ68" s="9">
        <f t="shared" si="21"/>
        <v>0.04312824631</v>
      </c>
      <c r="FA68" s="9" t="str">
        <f t="shared" si="22"/>
        <v>Благоприятный</v>
      </c>
      <c r="FB68" s="1" t="s">
        <v>150</v>
      </c>
      <c r="FC68" s="1" t="s">
        <v>148</v>
      </c>
    </row>
    <row r="69">
      <c r="A69" s="7">
        <v>68.0</v>
      </c>
      <c r="B69" s="21">
        <v>26.0</v>
      </c>
      <c r="C69" s="25">
        <v>5947.0</v>
      </c>
      <c r="D69" s="1" t="s">
        <v>148</v>
      </c>
      <c r="E69" s="7">
        <v>70.0</v>
      </c>
      <c r="F69" s="1" t="s">
        <v>161</v>
      </c>
      <c r="G69" s="7"/>
      <c r="H69" s="7">
        <v>26.0</v>
      </c>
      <c r="I69" s="1" t="s">
        <v>150</v>
      </c>
      <c r="J69" s="1" t="s">
        <v>150</v>
      </c>
      <c r="K69" s="9"/>
      <c r="L69" s="1" t="s">
        <v>154</v>
      </c>
      <c r="M69" s="1" t="s">
        <v>154</v>
      </c>
      <c r="N69" s="9"/>
      <c r="O69" s="1" t="str">
        <f t="shared" si="1"/>
        <v>нет</v>
      </c>
      <c r="P69" s="1" t="s">
        <v>154</v>
      </c>
      <c r="Q69" s="1" t="s">
        <v>154</v>
      </c>
      <c r="R69" s="7">
        <v>3.0</v>
      </c>
      <c r="S69" s="1" t="s">
        <v>154</v>
      </c>
      <c r="T69" s="1" t="s">
        <v>181</v>
      </c>
      <c r="U69" s="7"/>
      <c r="V69" s="7">
        <v>2.0</v>
      </c>
      <c r="W69" s="7">
        <v>2.0</v>
      </c>
      <c r="X69" s="9"/>
      <c r="Y69" s="1" t="s">
        <v>150</v>
      </c>
      <c r="Z69" s="9"/>
      <c r="AA69" s="9"/>
      <c r="AB69" s="9"/>
      <c r="AC69" s="9"/>
      <c r="AD69" s="26" t="s">
        <v>290</v>
      </c>
      <c r="AE69" s="1" t="s">
        <v>150</v>
      </c>
      <c r="AF69" s="7">
        <v>0.0</v>
      </c>
      <c r="AG69" s="27" t="s">
        <v>162</v>
      </c>
      <c r="AH69" s="27" t="s">
        <v>152</v>
      </c>
      <c r="AI69" s="1" t="s">
        <v>168</v>
      </c>
      <c r="AJ69" s="7">
        <v>3.0</v>
      </c>
      <c r="AK69" s="1" t="s">
        <v>5</v>
      </c>
      <c r="AL69" s="1" t="s">
        <v>150</v>
      </c>
      <c r="AM69" s="9"/>
      <c r="AN69" s="1">
        <v>15.0</v>
      </c>
      <c r="AO69" s="1" t="str">
        <f t="shared" si="2"/>
        <v>нет</v>
      </c>
      <c r="AP69" s="7">
        <v>152.0</v>
      </c>
      <c r="AQ69" s="7">
        <v>70.0</v>
      </c>
      <c r="AR69" s="9">
        <f t="shared" si="3"/>
        <v>30.29778393</v>
      </c>
      <c r="AS69" s="7" t="str">
        <f t="shared" si="4"/>
        <v>Ожирение I степени</v>
      </c>
      <c r="AT69" s="7">
        <v>140.0</v>
      </c>
      <c r="AU69" s="7">
        <v>90.0</v>
      </c>
      <c r="AV69" s="3">
        <v>107.0</v>
      </c>
      <c r="AW69" s="7">
        <v>78.0</v>
      </c>
      <c r="AX69" s="7">
        <v>37.2</v>
      </c>
      <c r="AY69" s="7">
        <v>22.0</v>
      </c>
      <c r="AZ69" s="7">
        <v>85.0</v>
      </c>
      <c r="BA69" s="10" t="str">
        <f t="shared" si="5"/>
        <v>да</v>
      </c>
      <c r="BB69" s="7">
        <v>96.0</v>
      </c>
      <c r="BC69" s="11"/>
      <c r="BD69" s="12" t="str">
        <f t="shared" si="6"/>
        <v>#DIV/0!</v>
      </c>
      <c r="BE69" s="12">
        <f t="shared" si="7"/>
        <v>1</v>
      </c>
      <c r="BF69" s="12">
        <f t="shared" si="8"/>
        <v>5</v>
      </c>
      <c r="BG69" s="15" t="s">
        <v>154</v>
      </c>
      <c r="BH69" s="15" t="s">
        <v>285</v>
      </c>
      <c r="BI69" s="1" t="s">
        <v>154</v>
      </c>
      <c r="BJ69" s="1" t="s">
        <v>288</v>
      </c>
      <c r="BK69" s="1" t="s">
        <v>150</v>
      </c>
      <c r="BL69" s="9"/>
      <c r="BM69" s="1" t="s">
        <v>154</v>
      </c>
      <c r="BN69" s="1" t="s">
        <v>155</v>
      </c>
      <c r="BO69" s="1" t="s">
        <v>154</v>
      </c>
      <c r="BP69" s="1" t="s">
        <v>157</v>
      </c>
      <c r="BQ69" s="9"/>
      <c r="BR69" s="1" t="s">
        <v>154</v>
      </c>
      <c r="BS69" s="1" t="s">
        <v>291</v>
      </c>
      <c r="BT69" s="30"/>
      <c r="BU69" s="1" t="s">
        <v>157</v>
      </c>
      <c r="BV69" s="7">
        <v>16.0</v>
      </c>
      <c r="BW69" s="1" t="s">
        <v>154</v>
      </c>
      <c r="BX69" s="10" t="s">
        <v>154</v>
      </c>
      <c r="BY69" s="1" t="s">
        <v>173</v>
      </c>
      <c r="BZ69" s="29" t="s">
        <v>158</v>
      </c>
      <c r="CA69" s="1" t="s">
        <v>176</v>
      </c>
      <c r="CB69" s="1" t="s">
        <v>255</v>
      </c>
      <c r="CC69" s="1" t="s">
        <v>150</v>
      </c>
      <c r="CD69" s="1" t="s">
        <v>212</v>
      </c>
      <c r="CE69" s="1" t="s">
        <v>150</v>
      </c>
      <c r="CF69" s="1" t="s">
        <v>240</v>
      </c>
      <c r="CG69" s="1" t="s">
        <v>150</v>
      </c>
      <c r="CH69" s="1" t="s">
        <v>150</v>
      </c>
      <c r="CI69" s="1" t="s">
        <v>150</v>
      </c>
      <c r="CJ69" s="1" t="s">
        <v>150</v>
      </c>
      <c r="CK69" s="1" t="s">
        <v>150</v>
      </c>
      <c r="CL69" s="1" t="s">
        <v>292</v>
      </c>
      <c r="CM69" s="7">
        <v>8.6</v>
      </c>
      <c r="CN69" s="7">
        <v>81.7</v>
      </c>
      <c r="CO69" s="7">
        <f t="shared" si="9"/>
        <v>7.0262</v>
      </c>
      <c r="CP69" s="7">
        <v>12.4</v>
      </c>
      <c r="CQ69" s="7">
        <f t="shared" si="10"/>
        <v>0.8712488</v>
      </c>
      <c r="CR69" s="7">
        <v>5.5</v>
      </c>
      <c r="CS69" s="7">
        <f t="shared" si="11"/>
        <v>0.047918684</v>
      </c>
      <c r="CT69" s="7">
        <v>0.0</v>
      </c>
      <c r="CU69" s="7">
        <f t="shared" si="12"/>
        <v>0</v>
      </c>
      <c r="CV69" s="7">
        <f t="shared" si="13"/>
        <v>8.064516129</v>
      </c>
      <c r="CW69" s="7">
        <v>4.15</v>
      </c>
      <c r="CX69" s="7">
        <v>118.0</v>
      </c>
      <c r="CY69" s="7" t="str">
        <f t="shared" si="14"/>
        <v>Легкая степень</v>
      </c>
      <c r="CZ69" s="9"/>
      <c r="DA69" s="7">
        <v>149.0</v>
      </c>
      <c r="DB69" s="7">
        <v>58.0</v>
      </c>
      <c r="DC69" s="7">
        <v>9.6</v>
      </c>
      <c r="DD69" s="7">
        <v>85.2</v>
      </c>
      <c r="DE69" s="7"/>
      <c r="DF69" s="7">
        <v>9.0</v>
      </c>
      <c r="DG69" s="7"/>
      <c r="DH69" s="7">
        <v>6.0</v>
      </c>
      <c r="DI69" s="7"/>
      <c r="DJ69" s="7">
        <v>0.2</v>
      </c>
      <c r="DK69" s="7"/>
      <c r="DL69" s="7"/>
      <c r="DM69" s="7">
        <v>4.14</v>
      </c>
      <c r="DN69" s="7">
        <v>120.0</v>
      </c>
      <c r="DO69" s="7" t="str">
        <f t="shared" si="15"/>
        <v>Легкая степень</v>
      </c>
      <c r="DP69" s="9"/>
      <c r="DQ69" s="7">
        <v>113.0</v>
      </c>
      <c r="DR69" s="7">
        <v>0.0</v>
      </c>
      <c r="DS69" s="13">
        <v>622.0</v>
      </c>
      <c r="DT69" s="9"/>
      <c r="DU69" s="7">
        <v>12.1</v>
      </c>
      <c r="DV69" s="7">
        <v>1.03</v>
      </c>
      <c r="DW69" s="7">
        <v>0.43</v>
      </c>
      <c r="DX69" s="9"/>
      <c r="DY69" s="9"/>
      <c r="DZ69" s="7">
        <v>10.9</v>
      </c>
      <c r="EA69" s="7">
        <v>0.93</v>
      </c>
      <c r="EB69" s="7"/>
      <c r="EC69" s="7">
        <v>9.35</v>
      </c>
      <c r="ED69" s="7">
        <v>8.61</v>
      </c>
      <c r="EE69" s="7">
        <v>14.23</v>
      </c>
      <c r="EF69" s="7">
        <v>27.23</v>
      </c>
      <c r="EG69" s="7">
        <v>65.7</v>
      </c>
      <c r="EH69" s="7">
        <v>3.92</v>
      </c>
      <c r="EI69" s="7">
        <v>0.76</v>
      </c>
      <c r="EJ69" s="7">
        <v>102.8</v>
      </c>
      <c r="EK69" s="14">
        <f t="shared" si="16"/>
        <v>47.69405035</v>
      </c>
      <c r="EL69" s="11" t="str">
        <f t="shared" si="17"/>
        <v>C3a</v>
      </c>
      <c r="EM69" s="9"/>
      <c r="EN69" s="9"/>
      <c r="EO69" s="7">
        <v>22.9</v>
      </c>
      <c r="EP69" s="7">
        <v>4.4</v>
      </c>
      <c r="EQ69" s="7">
        <v>50.1</v>
      </c>
      <c r="ER69" s="7">
        <v>10.9</v>
      </c>
      <c r="ES69" s="7">
        <v>3.8</v>
      </c>
      <c r="ET69" s="7">
        <v>51.0</v>
      </c>
      <c r="EU69" s="11">
        <f t="shared" si="18"/>
        <v>93.86107466</v>
      </c>
      <c r="EV69" s="11" t="str">
        <f t="shared" si="19"/>
        <v>C1</v>
      </c>
      <c r="EW69" s="7">
        <v>141.0</v>
      </c>
      <c r="EX69" s="7">
        <v>3.46</v>
      </c>
      <c r="EY69" s="9">
        <f t="shared" si="20"/>
        <v>0.09594338781</v>
      </c>
      <c r="EZ69" s="9">
        <f t="shared" si="21"/>
        <v>0.4760325355</v>
      </c>
      <c r="FA69" s="9" t="str">
        <f t="shared" si="22"/>
        <v>Благоприятный</v>
      </c>
      <c r="FB69" s="1" t="s">
        <v>150</v>
      </c>
      <c r="FC69" s="1" t="s">
        <v>148</v>
      </c>
    </row>
    <row r="70">
      <c r="A70" s="7">
        <v>69.0</v>
      </c>
      <c r="B70" s="21">
        <v>27.0</v>
      </c>
      <c r="C70" s="25">
        <v>7447.0</v>
      </c>
      <c r="D70" s="1" t="s">
        <v>148</v>
      </c>
      <c r="E70" s="7">
        <v>44.0</v>
      </c>
      <c r="F70" s="1" t="s">
        <v>149</v>
      </c>
      <c r="G70" s="7"/>
      <c r="H70" s="7">
        <v>15.0</v>
      </c>
      <c r="I70" s="1" t="s">
        <v>150</v>
      </c>
      <c r="J70" s="1" t="s">
        <v>150</v>
      </c>
      <c r="K70" s="9"/>
      <c r="L70" s="1" t="s">
        <v>150</v>
      </c>
      <c r="M70" s="1" t="s">
        <v>154</v>
      </c>
      <c r="N70" s="1" t="s">
        <v>192</v>
      </c>
      <c r="O70" s="1" t="str">
        <f t="shared" si="1"/>
        <v>нет</v>
      </c>
      <c r="P70" s="1" t="s">
        <v>154</v>
      </c>
      <c r="Q70" s="1" t="s">
        <v>150</v>
      </c>
      <c r="R70" s="9"/>
      <c r="S70" s="1" t="s">
        <v>150</v>
      </c>
      <c r="T70" s="9"/>
      <c r="U70" s="9"/>
      <c r="V70" s="9"/>
      <c r="W70" s="9"/>
      <c r="X70" s="9"/>
      <c r="Y70" s="1" t="s">
        <v>150</v>
      </c>
      <c r="Z70" s="9"/>
      <c r="AA70" s="9"/>
      <c r="AB70" s="9"/>
      <c r="AC70" s="9"/>
      <c r="AD70" s="26"/>
      <c r="AE70" s="1" t="s">
        <v>154</v>
      </c>
      <c r="AF70" s="7">
        <v>4.0</v>
      </c>
      <c r="AG70" s="27" t="s">
        <v>162</v>
      </c>
      <c r="AH70" s="27" t="s">
        <v>152</v>
      </c>
      <c r="AI70" s="1" t="s">
        <v>168</v>
      </c>
      <c r="AJ70" s="7">
        <v>4.0</v>
      </c>
      <c r="AK70" s="1" t="s">
        <v>5</v>
      </c>
      <c r="AL70" s="1" t="s">
        <v>150</v>
      </c>
      <c r="AM70" s="9"/>
      <c r="AN70" s="1">
        <v>15.0</v>
      </c>
      <c r="AO70" s="1" t="str">
        <f t="shared" si="2"/>
        <v>нет</v>
      </c>
      <c r="AP70" s="7">
        <v>183.0</v>
      </c>
      <c r="AQ70" s="7">
        <v>95.0</v>
      </c>
      <c r="AR70" s="9">
        <f t="shared" si="3"/>
        <v>28.36752366</v>
      </c>
      <c r="AS70" s="7" t="str">
        <f t="shared" si="4"/>
        <v>Избыточный вес (предожирение)</v>
      </c>
      <c r="AT70" s="7">
        <v>100.0</v>
      </c>
      <c r="AU70" s="7">
        <v>60.0</v>
      </c>
      <c r="AV70" s="3">
        <v>73.0</v>
      </c>
      <c r="AW70" s="7">
        <v>70.0</v>
      </c>
      <c r="AX70" s="7">
        <v>38.0</v>
      </c>
      <c r="AY70" s="7">
        <v>27.0</v>
      </c>
      <c r="AZ70" s="7">
        <v>68.0</v>
      </c>
      <c r="BA70" s="10" t="str">
        <f t="shared" si="5"/>
        <v>да</v>
      </c>
      <c r="BB70" s="7">
        <v>90.0</v>
      </c>
      <c r="BC70" s="11"/>
      <c r="BD70" s="12" t="str">
        <f t="shared" si="6"/>
        <v>#DIV/0!</v>
      </c>
      <c r="BE70" s="12">
        <f t="shared" si="7"/>
        <v>2</v>
      </c>
      <c r="BF70" s="12">
        <f t="shared" si="8"/>
        <v>8</v>
      </c>
      <c r="BG70" s="15" t="s">
        <v>154</v>
      </c>
      <c r="BH70" s="15" t="s">
        <v>163</v>
      </c>
      <c r="BI70" s="15" t="s">
        <v>154</v>
      </c>
      <c r="BJ70" s="15" t="s">
        <v>285</v>
      </c>
      <c r="BK70" s="15" t="s">
        <v>150</v>
      </c>
      <c r="BL70" s="9"/>
      <c r="BM70" s="15" t="s">
        <v>154</v>
      </c>
      <c r="BN70" s="15" t="s">
        <v>155</v>
      </c>
      <c r="BO70" s="15" t="s">
        <v>154</v>
      </c>
      <c r="BP70" s="15" t="s">
        <v>157</v>
      </c>
      <c r="BQ70" s="9"/>
      <c r="BR70" s="15" t="s">
        <v>154</v>
      </c>
      <c r="BS70" s="15" t="s">
        <v>293</v>
      </c>
      <c r="BT70" s="30"/>
      <c r="BU70" s="15" t="s">
        <v>207</v>
      </c>
      <c r="BV70" s="7">
        <v>16.0</v>
      </c>
      <c r="BW70" s="15" t="s">
        <v>154</v>
      </c>
      <c r="BX70" s="10" t="s">
        <v>154</v>
      </c>
      <c r="BY70" s="1" t="s">
        <v>275</v>
      </c>
      <c r="BZ70" s="29" t="s">
        <v>158</v>
      </c>
      <c r="CA70" s="9"/>
      <c r="CB70" s="1" t="s">
        <v>150</v>
      </c>
      <c r="CC70" s="1" t="s">
        <v>150</v>
      </c>
      <c r="CD70" s="9"/>
      <c r="CE70" s="1" t="s">
        <v>150</v>
      </c>
      <c r="CF70" s="1" t="s">
        <v>150</v>
      </c>
      <c r="CG70" s="1" t="s">
        <v>150</v>
      </c>
      <c r="CH70" s="1" t="s">
        <v>150</v>
      </c>
      <c r="CI70" s="1" t="s">
        <v>150</v>
      </c>
      <c r="CJ70" s="1" t="s">
        <v>150</v>
      </c>
      <c r="CK70" s="1" t="s">
        <v>150</v>
      </c>
      <c r="CL70" s="1" t="s">
        <v>294</v>
      </c>
      <c r="CM70" s="7">
        <v>4.9</v>
      </c>
      <c r="CN70" s="7">
        <v>83.9</v>
      </c>
      <c r="CO70" s="7">
        <f t="shared" si="9"/>
        <v>4.1111</v>
      </c>
      <c r="CP70" s="7">
        <v>10.1</v>
      </c>
      <c r="CQ70" s="7">
        <f t="shared" si="10"/>
        <v>0.4152211</v>
      </c>
      <c r="CR70" s="7">
        <v>5.6</v>
      </c>
      <c r="CS70" s="7">
        <f t="shared" si="11"/>
        <v>0.0232523816</v>
      </c>
      <c r="CT70" s="7">
        <v>0.0</v>
      </c>
      <c r="CU70" s="7">
        <f t="shared" si="12"/>
        <v>0</v>
      </c>
      <c r="CV70" s="7">
        <f t="shared" si="13"/>
        <v>9.900990099</v>
      </c>
      <c r="CW70" s="7">
        <v>4.94</v>
      </c>
      <c r="CX70" s="7">
        <v>152.0</v>
      </c>
      <c r="CY70" s="7" t="str">
        <f t="shared" si="14"/>
        <v>Норма</v>
      </c>
      <c r="CZ70" s="7">
        <v>17.0</v>
      </c>
      <c r="DA70" s="7">
        <v>177.0</v>
      </c>
      <c r="DB70" s="7">
        <v>121.2</v>
      </c>
      <c r="DC70" s="7">
        <v>16.3</v>
      </c>
      <c r="DD70" s="7">
        <v>67.3</v>
      </c>
      <c r="DE70" s="7"/>
      <c r="DF70" s="7">
        <v>20.1</v>
      </c>
      <c r="DG70" s="7"/>
      <c r="DH70" s="7">
        <v>10.6</v>
      </c>
      <c r="DI70" s="7"/>
      <c r="DJ70" s="7">
        <v>0.7</v>
      </c>
      <c r="DK70" s="7"/>
      <c r="DL70" s="7"/>
      <c r="DM70" s="7">
        <v>5.41</v>
      </c>
      <c r="DN70" s="7">
        <v>160.0</v>
      </c>
      <c r="DO70" s="7" t="str">
        <f t="shared" si="15"/>
        <v>Норма</v>
      </c>
      <c r="DP70" s="7">
        <v>3.0</v>
      </c>
      <c r="DQ70" s="7">
        <v>257.0</v>
      </c>
      <c r="DR70" s="9"/>
      <c r="DS70" s="13">
        <v>550.0</v>
      </c>
      <c r="DT70" s="7">
        <v>31.9</v>
      </c>
      <c r="DU70" s="7">
        <v>16.4</v>
      </c>
      <c r="DV70" s="7">
        <v>1.4</v>
      </c>
      <c r="DW70" s="1" t="s">
        <v>241</v>
      </c>
      <c r="DX70" s="9"/>
      <c r="DY70" s="7">
        <v>29.0</v>
      </c>
      <c r="DZ70" s="7">
        <v>11.0</v>
      </c>
      <c r="EA70" s="7">
        <v>0.94</v>
      </c>
      <c r="EB70" s="7"/>
      <c r="EC70" s="7">
        <v>7.28</v>
      </c>
      <c r="ED70" s="7">
        <v>10.73</v>
      </c>
      <c r="EE70" s="7">
        <v>41.0</v>
      </c>
      <c r="EF70" s="7">
        <v>70.6</v>
      </c>
      <c r="EG70" s="7">
        <v>76.1</v>
      </c>
      <c r="EH70" s="7">
        <v>14.0</v>
      </c>
      <c r="EI70" s="7">
        <v>5.5</v>
      </c>
      <c r="EJ70" s="7">
        <v>111.0</v>
      </c>
      <c r="EK70" s="14">
        <f t="shared" si="16"/>
        <v>52.17806137</v>
      </c>
      <c r="EL70" s="11" t="str">
        <f t="shared" si="17"/>
        <v>C3a</v>
      </c>
      <c r="EM70" s="7">
        <v>138.3</v>
      </c>
      <c r="EN70" s="7">
        <v>4.57</v>
      </c>
      <c r="EO70" s="7">
        <v>62.41</v>
      </c>
      <c r="EP70" s="7">
        <v>29.06</v>
      </c>
      <c r="EQ70" s="7">
        <v>58.9</v>
      </c>
      <c r="ER70" s="7">
        <v>17.32</v>
      </c>
      <c r="ES70" s="7">
        <v>1.96</v>
      </c>
      <c r="ET70" s="7">
        <v>120.02</v>
      </c>
      <c r="EU70" s="11">
        <f t="shared" si="18"/>
        <v>47.47508938</v>
      </c>
      <c r="EV70" s="11" t="str">
        <f t="shared" si="19"/>
        <v>C3a</v>
      </c>
      <c r="EW70" s="7">
        <v>132.6</v>
      </c>
      <c r="EX70" s="7">
        <v>4.58</v>
      </c>
      <c r="EY70" s="9">
        <f t="shared" si="20"/>
        <v>-0.2868640306</v>
      </c>
      <c r="EZ70" s="9">
        <f t="shared" si="21"/>
        <v>0.5712282229</v>
      </c>
      <c r="FA70" s="9" t="str">
        <f t="shared" si="22"/>
        <v>Неблагоприятный</v>
      </c>
      <c r="FB70" s="1" t="s">
        <v>256</v>
      </c>
      <c r="FC70" s="1" t="s">
        <v>148</v>
      </c>
    </row>
    <row r="71">
      <c r="A71" s="7">
        <v>70.0</v>
      </c>
      <c r="B71" s="21">
        <v>29.0</v>
      </c>
      <c r="C71" s="25">
        <v>9981.0</v>
      </c>
      <c r="D71" s="1" t="s">
        <v>148</v>
      </c>
      <c r="E71" s="7">
        <v>62.0</v>
      </c>
      <c r="F71" s="1" t="s">
        <v>149</v>
      </c>
      <c r="G71" s="7"/>
      <c r="H71" s="7">
        <v>19.0</v>
      </c>
      <c r="I71" s="1" t="s">
        <v>150</v>
      </c>
      <c r="J71" s="1" t="s">
        <v>150</v>
      </c>
      <c r="K71" s="9"/>
      <c r="L71" s="1" t="s">
        <v>150</v>
      </c>
      <c r="M71" s="1" t="s">
        <v>150</v>
      </c>
      <c r="N71" s="9"/>
      <c r="O71" s="1" t="str">
        <f t="shared" si="1"/>
        <v>нет</v>
      </c>
      <c r="P71" s="1" t="s">
        <v>150</v>
      </c>
      <c r="Q71" s="1" t="s">
        <v>154</v>
      </c>
      <c r="R71" s="7">
        <v>3.0</v>
      </c>
      <c r="S71" s="1" t="s">
        <v>150</v>
      </c>
      <c r="T71" s="9"/>
      <c r="U71" s="9"/>
      <c r="V71" s="9"/>
      <c r="W71" s="9"/>
      <c r="X71" s="9"/>
      <c r="Y71" s="1" t="s">
        <v>150</v>
      </c>
      <c r="Z71" s="9"/>
      <c r="AA71" s="9"/>
      <c r="AB71" s="9"/>
      <c r="AC71" s="9"/>
      <c r="AD71" s="26" t="s">
        <v>295</v>
      </c>
      <c r="AE71" s="1" t="s">
        <v>150</v>
      </c>
      <c r="AF71" s="7">
        <v>0.0</v>
      </c>
      <c r="AG71" s="27" t="s">
        <v>162</v>
      </c>
      <c r="AH71" s="27" t="s">
        <v>152</v>
      </c>
      <c r="AI71" s="1" t="s">
        <v>168</v>
      </c>
      <c r="AJ71" s="7">
        <v>3.0</v>
      </c>
      <c r="AK71" s="1" t="s">
        <v>5</v>
      </c>
      <c r="AL71" s="1" t="s">
        <v>150</v>
      </c>
      <c r="AM71" s="9"/>
      <c r="AN71" s="1">
        <v>15.0</v>
      </c>
      <c r="AO71" s="1" t="str">
        <f t="shared" si="2"/>
        <v>нет</v>
      </c>
      <c r="AP71" s="7">
        <v>175.0</v>
      </c>
      <c r="AQ71" s="7">
        <v>87.0</v>
      </c>
      <c r="AR71" s="9">
        <f t="shared" si="3"/>
        <v>28.40816327</v>
      </c>
      <c r="AS71" s="7" t="str">
        <f t="shared" si="4"/>
        <v>Избыточный вес (предожирение)</v>
      </c>
      <c r="AT71" s="7">
        <v>136.0</v>
      </c>
      <c r="AU71" s="7">
        <v>79.0</v>
      </c>
      <c r="AV71" s="3">
        <v>98.0</v>
      </c>
      <c r="AW71" s="7">
        <v>90.0</v>
      </c>
      <c r="AX71" s="7">
        <v>37.8</v>
      </c>
      <c r="AY71" s="7">
        <v>19.0</v>
      </c>
      <c r="AZ71" s="7">
        <v>86.0</v>
      </c>
      <c r="BA71" s="10" t="str">
        <f t="shared" si="5"/>
        <v>да</v>
      </c>
      <c r="BB71" s="7">
        <v>97.0</v>
      </c>
      <c r="BC71" s="11"/>
      <c r="BD71" s="12" t="str">
        <f t="shared" si="6"/>
        <v>#DIV/0!</v>
      </c>
      <c r="BE71" s="12">
        <f t="shared" si="7"/>
        <v>0</v>
      </c>
      <c r="BF71" s="12">
        <f t="shared" si="8"/>
        <v>3</v>
      </c>
      <c r="BG71" s="15" t="s">
        <v>150</v>
      </c>
      <c r="BH71" s="9"/>
      <c r="BI71" s="1" t="s">
        <v>154</v>
      </c>
      <c r="BJ71" s="1" t="s">
        <v>296</v>
      </c>
      <c r="BK71" s="1" t="s">
        <v>150</v>
      </c>
      <c r="BL71" s="9"/>
      <c r="BM71" s="1" t="s">
        <v>154</v>
      </c>
      <c r="BN71" s="1" t="s">
        <v>155</v>
      </c>
      <c r="BO71" s="9"/>
      <c r="BP71" s="9"/>
      <c r="BQ71" s="9"/>
      <c r="BR71" s="1" t="s">
        <v>154</v>
      </c>
      <c r="BS71" s="1" t="s">
        <v>170</v>
      </c>
      <c r="BT71" s="30"/>
      <c r="BU71" s="1" t="s">
        <v>207</v>
      </c>
      <c r="BV71" s="7">
        <v>16.0</v>
      </c>
      <c r="BW71" s="1" t="s">
        <v>150</v>
      </c>
      <c r="BX71" s="10" t="s">
        <v>154</v>
      </c>
      <c r="BY71" s="1" t="s">
        <v>275</v>
      </c>
      <c r="BZ71" s="29" t="s">
        <v>158</v>
      </c>
      <c r="CA71" s="1" t="s">
        <v>176</v>
      </c>
      <c r="CB71" s="1" t="s">
        <v>150</v>
      </c>
      <c r="CC71" s="1" t="s">
        <v>150</v>
      </c>
      <c r="CD71" s="9"/>
      <c r="CE71" s="1" t="s">
        <v>150</v>
      </c>
      <c r="CF71" s="1" t="s">
        <v>150</v>
      </c>
      <c r="CG71" s="1" t="s">
        <v>154</v>
      </c>
      <c r="CH71" s="1" t="s">
        <v>150</v>
      </c>
      <c r="CI71" s="1" t="s">
        <v>150</v>
      </c>
      <c r="CJ71" s="1" t="s">
        <v>150</v>
      </c>
      <c r="CK71" s="1" t="s">
        <v>150</v>
      </c>
      <c r="CL71" s="1" t="s">
        <v>273</v>
      </c>
      <c r="CM71" s="7">
        <v>11.9</v>
      </c>
      <c r="CN71" s="7">
        <v>89.0</v>
      </c>
      <c r="CO71" s="7">
        <f t="shared" si="9"/>
        <v>10.591</v>
      </c>
      <c r="CP71" s="7">
        <v>7.3</v>
      </c>
      <c r="CQ71" s="7">
        <f t="shared" si="10"/>
        <v>0.773143</v>
      </c>
      <c r="CR71" s="7">
        <v>3.5</v>
      </c>
      <c r="CS71" s="7">
        <f t="shared" si="11"/>
        <v>0.027060005</v>
      </c>
      <c r="CT71" s="7">
        <v>0.0</v>
      </c>
      <c r="CU71" s="7">
        <f t="shared" si="12"/>
        <v>0</v>
      </c>
      <c r="CV71" s="7">
        <f t="shared" si="13"/>
        <v>13.69863014</v>
      </c>
      <c r="CW71" s="7">
        <v>5.09</v>
      </c>
      <c r="CX71" s="7">
        <v>135.0</v>
      </c>
      <c r="CY71" s="7" t="str">
        <f t="shared" si="14"/>
        <v>Норма</v>
      </c>
      <c r="CZ71" s="7">
        <v>26.0</v>
      </c>
      <c r="DA71" s="7">
        <v>213.0</v>
      </c>
      <c r="DB71" s="7">
        <v>68.0</v>
      </c>
      <c r="DC71" s="7">
        <v>18.3</v>
      </c>
      <c r="DD71" s="7">
        <v>8.7</v>
      </c>
      <c r="DE71" s="7"/>
      <c r="DF71" s="7">
        <v>1.0</v>
      </c>
      <c r="DG71" s="7"/>
      <c r="DH71" s="7">
        <v>0.7</v>
      </c>
      <c r="DI71" s="7"/>
      <c r="DJ71" s="7">
        <v>0.1</v>
      </c>
      <c r="DK71" s="7"/>
      <c r="DL71" s="7"/>
      <c r="DM71" s="7">
        <v>5.31</v>
      </c>
      <c r="DN71" s="7">
        <v>142.0</v>
      </c>
      <c r="DO71" s="7" t="str">
        <f t="shared" si="15"/>
        <v>Норма</v>
      </c>
      <c r="DP71" s="7">
        <v>2.0</v>
      </c>
      <c r="DQ71" s="7">
        <v>241.0</v>
      </c>
      <c r="DR71" s="7">
        <v>14.0</v>
      </c>
      <c r="DS71" s="13">
        <v>550.0</v>
      </c>
      <c r="DT71" s="9"/>
      <c r="DU71" s="7">
        <v>14.7</v>
      </c>
      <c r="DV71" s="7">
        <v>1.26</v>
      </c>
      <c r="DW71" s="1" t="s">
        <v>241</v>
      </c>
      <c r="DX71" s="9"/>
      <c r="DY71" s="7">
        <v>27.0</v>
      </c>
      <c r="DZ71" s="7">
        <v>12.0</v>
      </c>
      <c r="EA71" s="7">
        <v>1.0</v>
      </c>
      <c r="EB71" s="7"/>
      <c r="EC71" s="7">
        <v>8.3</v>
      </c>
      <c r="ED71" s="7">
        <v>4.0</v>
      </c>
      <c r="EE71" s="7">
        <v>117.0</v>
      </c>
      <c r="EF71" s="7">
        <v>91.0</v>
      </c>
      <c r="EG71" s="7">
        <v>66.0</v>
      </c>
      <c r="EH71" s="7">
        <v>7.4</v>
      </c>
      <c r="EI71" s="7">
        <v>5.7</v>
      </c>
      <c r="EJ71" s="7">
        <v>92.0</v>
      </c>
      <c r="EK71" s="14">
        <f t="shared" si="16"/>
        <v>57.69662509</v>
      </c>
      <c r="EL71" s="11" t="str">
        <f t="shared" si="17"/>
        <v>C3a</v>
      </c>
      <c r="EM71" s="7">
        <v>134.4</v>
      </c>
      <c r="EN71" s="7">
        <v>3.64</v>
      </c>
      <c r="EO71" s="7">
        <v>40.0</v>
      </c>
      <c r="EP71" s="7">
        <v>11.0</v>
      </c>
      <c r="EQ71" s="7">
        <v>60.0</v>
      </c>
      <c r="ER71" s="7">
        <v>9.9</v>
      </c>
      <c r="ES71" s="7">
        <v>3.5</v>
      </c>
      <c r="ET71" s="7">
        <v>58.0</v>
      </c>
      <c r="EU71" s="11">
        <f t="shared" si="18"/>
        <v>95.17312125</v>
      </c>
      <c r="EV71" s="11" t="str">
        <f t="shared" si="19"/>
        <v>C1</v>
      </c>
      <c r="EW71" s="7">
        <v>138.9</v>
      </c>
      <c r="EX71" s="7">
        <v>3.65</v>
      </c>
      <c r="EY71" s="9">
        <f t="shared" si="20"/>
        <v>1.659340816</v>
      </c>
      <c r="EZ71" s="9">
        <f t="shared" si="21"/>
        <v>0.1598505044</v>
      </c>
      <c r="FA71" s="9" t="str">
        <f t="shared" si="22"/>
        <v>Благоприятный</v>
      </c>
      <c r="FB71" s="1" t="s">
        <v>150</v>
      </c>
      <c r="FC71" s="1" t="s">
        <v>148</v>
      </c>
    </row>
    <row r="72">
      <c r="A72" s="7">
        <v>71.0</v>
      </c>
      <c r="B72" s="21">
        <v>30.0</v>
      </c>
      <c r="C72" s="25">
        <v>10550.0</v>
      </c>
      <c r="D72" s="1" t="s">
        <v>148</v>
      </c>
      <c r="E72" s="7">
        <v>59.0</v>
      </c>
      <c r="F72" s="1" t="s">
        <v>149</v>
      </c>
      <c r="G72" s="7"/>
      <c r="H72" s="7">
        <v>17.0</v>
      </c>
      <c r="I72" s="1" t="s">
        <v>150</v>
      </c>
      <c r="J72" s="1" t="s">
        <v>150</v>
      </c>
      <c r="K72" s="9"/>
      <c r="L72" s="1" t="s">
        <v>150</v>
      </c>
      <c r="M72" s="1" t="s">
        <v>154</v>
      </c>
      <c r="N72" s="1" t="s">
        <v>192</v>
      </c>
      <c r="O72" s="1" t="str">
        <f t="shared" si="1"/>
        <v>нет</v>
      </c>
      <c r="P72" s="1" t="s">
        <v>154</v>
      </c>
      <c r="Q72" s="1" t="s">
        <v>154</v>
      </c>
      <c r="R72" s="7">
        <v>2.0</v>
      </c>
      <c r="S72" s="1" t="s">
        <v>150</v>
      </c>
      <c r="T72" s="9"/>
      <c r="U72" s="9"/>
      <c r="V72" s="9"/>
      <c r="W72" s="9"/>
      <c r="X72" s="9"/>
      <c r="Y72" s="1" t="s">
        <v>150</v>
      </c>
      <c r="Z72" s="9"/>
      <c r="AA72" s="9"/>
      <c r="AB72" s="9"/>
      <c r="AC72" s="9"/>
      <c r="AD72" s="26"/>
      <c r="AE72" s="1" t="s">
        <v>150</v>
      </c>
      <c r="AF72" s="7">
        <v>0.0</v>
      </c>
      <c r="AG72" s="27" t="s">
        <v>162</v>
      </c>
      <c r="AH72" s="27" t="s">
        <v>152</v>
      </c>
      <c r="AI72" s="1" t="s">
        <v>168</v>
      </c>
      <c r="AJ72" s="7">
        <v>2.0</v>
      </c>
      <c r="AK72" s="1" t="s">
        <v>5</v>
      </c>
      <c r="AL72" s="1" t="s">
        <v>150</v>
      </c>
      <c r="AM72" s="9"/>
      <c r="AN72" s="1">
        <v>15.0</v>
      </c>
      <c r="AO72" s="1" t="str">
        <f t="shared" si="2"/>
        <v>нет</v>
      </c>
      <c r="AP72" s="7">
        <v>183.0</v>
      </c>
      <c r="AQ72" s="7">
        <v>103.0</v>
      </c>
      <c r="AR72" s="9">
        <f t="shared" si="3"/>
        <v>30.75636776</v>
      </c>
      <c r="AS72" s="7" t="str">
        <f t="shared" si="4"/>
        <v>Ожирение I степени</v>
      </c>
      <c r="AT72" s="7">
        <v>138.0</v>
      </c>
      <c r="AU72" s="7">
        <v>90.0</v>
      </c>
      <c r="AV72" s="3">
        <v>106.0</v>
      </c>
      <c r="AW72" s="7">
        <v>102.0</v>
      </c>
      <c r="AX72" s="7">
        <v>38.1</v>
      </c>
      <c r="AY72" s="7">
        <v>22.0</v>
      </c>
      <c r="AZ72" s="7">
        <v>94.0</v>
      </c>
      <c r="BA72" s="10" t="str">
        <f t="shared" si="5"/>
        <v>да</v>
      </c>
      <c r="BB72" s="7">
        <v>98.0</v>
      </c>
      <c r="BC72" s="11"/>
      <c r="BD72" s="12" t="str">
        <f t="shared" si="6"/>
        <v>#DIV/0!</v>
      </c>
      <c r="BE72" s="12">
        <f t="shared" si="7"/>
        <v>1</v>
      </c>
      <c r="BF72" s="12">
        <f t="shared" si="8"/>
        <v>5</v>
      </c>
      <c r="BG72" s="15" t="s">
        <v>150</v>
      </c>
      <c r="BH72" s="9"/>
      <c r="BI72" s="15" t="s">
        <v>154</v>
      </c>
      <c r="BJ72" s="15" t="s">
        <v>285</v>
      </c>
      <c r="BK72" s="15" t="s">
        <v>150</v>
      </c>
      <c r="BL72" s="9"/>
      <c r="BM72" s="15" t="s">
        <v>154</v>
      </c>
      <c r="BN72" s="15" t="s">
        <v>155</v>
      </c>
      <c r="BO72" s="15" t="s">
        <v>150</v>
      </c>
      <c r="BP72" s="9"/>
      <c r="BQ72" s="9"/>
      <c r="BR72" s="15" t="s">
        <v>154</v>
      </c>
      <c r="BS72" s="15" t="s">
        <v>297</v>
      </c>
      <c r="BT72" s="28">
        <v>12.0</v>
      </c>
      <c r="BU72" s="9"/>
      <c r="BV72" s="9"/>
      <c r="BW72" s="1" t="s">
        <v>150</v>
      </c>
      <c r="BX72" s="10" t="s">
        <v>154</v>
      </c>
      <c r="BY72" s="1" t="s">
        <v>269</v>
      </c>
      <c r="BZ72" s="29" t="s">
        <v>158</v>
      </c>
      <c r="CA72" s="1" t="s">
        <v>176</v>
      </c>
      <c r="CB72" s="1" t="s">
        <v>150</v>
      </c>
      <c r="CC72" s="1" t="s">
        <v>150</v>
      </c>
      <c r="CD72" s="1" t="s">
        <v>247</v>
      </c>
      <c r="CE72" s="1" t="s">
        <v>150</v>
      </c>
      <c r="CF72" s="1" t="s">
        <v>240</v>
      </c>
      <c r="CG72" s="1" t="s">
        <v>150</v>
      </c>
      <c r="CH72" s="1" t="s">
        <v>150</v>
      </c>
      <c r="CI72" s="1" t="s">
        <v>150</v>
      </c>
      <c r="CJ72" s="1" t="s">
        <v>150</v>
      </c>
      <c r="CK72" s="1" t="s">
        <v>150</v>
      </c>
      <c r="CL72" s="1" t="s">
        <v>298</v>
      </c>
      <c r="CM72" s="7">
        <v>2.07</v>
      </c>
      <c r="CN72" s="7">
        <v>73.4</v>
      </c>
      <c r="CO72" s="7">
        <f t="shared" si="9"/>
        <v>1.51938</v>
      </c>
      <c r="CP72" s="7">
        <v>16.9</v>
      </c>
      <c r="CQ72" s="7">
        <f t="shared" si="10"/>
        <v>0.25677522</v>
      </c>
      <c r="CR72" s="7">
        <v>9.7</v>
      </c>
      <c r="CS72" s="7">
        <f t="shared" si="11"/>
        <v>0.02490719634</v>
      </c>
      <c r="CT72" s="7">
        <v>0.0</v>
      </c>
      <c r="CU72" s="7">
        <f t="shared" si="12"/>
        <v>0</v>
      </c>
      <c r="CV72" s="7">
        <f t="shared" si="13"/>
        <v>5.917159763</v>
      </c>
      <c r="CW72" s="7">
        <v>4.63</v>
      </c>
      <c r="CX72" s="7">
        <v>136.0</v>
      </c>
      <c r="CY72" s="7" t="str">
        <f t="shared" si="14"/>
        <v>Норма</v>
      </c>
      <c r="CZ72" s="9"/>
      <c r="DA72" s="7">
        <v>126.0</v>
      </c>
      <c r="DB72" s="7">
        <v>23.4</v>
      </c>
      <c r="DC72" s="7">
        <v>9.1</v>
      </c>
      <c r="DD72" s="7">
        <v>88.8</v>
      </c>
      <c r="DE72" s="7"/>
      <c r="DF72" s="7">
        <v>7.3</v>
      </c>
      <c r="DG72" s="7"/>
      <c r="DH72" s="7">
        <v>3.7</v>
      </c>
      <c r="DI72" s="7"/>
      <c r="DJ72" s="7">
        <v>0.0</v>
      </c>
      <c r="DK72" s="7"/>
      <c r="DL72" s="7"/>
      <c r="DM72" s="7">
        <v>4.73</v>
      </c>
      <c r="DN72" s="7">
        <v>137.0</v>
      </c>
      <c r="DO72" s="7" t="str">
        <f t="shared" si="15"/>
        <v>Норма</v>
      </c>
      <c r="DP72" s="9"/>
      <c r="DQ72" s="7">
        <v>409.0</v>
      </c>
      <c r="DR72" s="7">
        <v>0.0</v>
      </c>
      <c r="DS72" s="13">
        <v>576.0</v>
      </c>
      <c r="DT72" s="7">
        <v>23.4</v>
      </c>
      <c r="DU72" s="7">
        <v>13.2</v>
      </c>
      <c r="DV72" s="7">
        <v>1.13</v>
      </c>
      <c r="DW72" s="1" t="s">
        <v>241</v>
      </c>
      <c r="DX72" s="9"/>
      <c r="DY72" s="7">
        <v>29.1</v>
      </c>
      <c r="DZ72" s="7">
        <v>10.6</v>
      </c>
      <c r="EA72" s="7">
        <v>0.91</v>
      </c>
      <c r="EB72" s="7"/>
      <c r="EC72" s="7">
        <v>14.36</v>
      </c>
      <c r="ED72" s="7">
        <v>11.2</v>
      </c>
      <c r="EE72" s="7">
        <v>21.5</v>
      </c>
      <c r="EF72" s="7">
        <v>18.8</v>
      </c>
      <c r="EG72" s="7">
        <v>66.9</v>
      </c>
      <c r="EH72" s="7">
        <v>11.9</v>
      </c>
      <c r="EI72" s="7">
        <v>3.5</v>
      </c>
      <c r="EJ72" s="7">
        <v>107.0</v>
      </c>
      <c r="EK72" s="14">
        <f t="shared" si="16"/>
        <v>49.09046668</v>
      </c>
      <c r="EL72" s="11" t="str">
        <f t="shared" si="17"/>
        <v>C3a</v>
      </c>
      <c r="EM72" s="9"/>
      <c r="EN72" s="9"/>
      <c r="EO72" s="7">
        <v>98.5</v>
      </c>
      <c r="EP72" s="7">
        <v>35.9</v>
      </c>
      <c r="EQ72" s="7">
        <v>63.7</v>
      </c>
      <c r="ER72" s="7">
        <v>13.7</v>
      </c>
      <c r="ES72" s="7">
        <v>3.6</v>
      </c>
      <c r="ET72" s="7">
        <v>72.0</v>
      </c>
      <c r="EU72" s="11">
        <f t="shared" si="18"/>
        <v>79.25143958</v>
      </c>
      <c r="EV72" s="11" t="str">
        <f t="shared" si="19"/>
        <v>C2</v>
      </c>
      <c r="EW72" s="7">
        <v>135.1</v>
      </c>
      <c r="EX72" s="7">
        <v>4.2</v>
      </c>
      <c r="EY72" s="9">
        <f t="shared" si="20"/>
        <v>1.159486788</v>
      </c>
      <c r="EZ72" s="9">
        <f t="shared" si="21"/>
        <v>0.238760551</v>
      </c>
      <c r="FA72" s="9" t="str">
        <f t="shared" si="22"/>
        <v>Благоприятный</v>
      </c>
      <c r="FB72" s="1" t="s">
        <v>150</v>
      </c>
      <c r="FC72" s="1" t="s">
        <v>148</v>
      </c>
    </row>
    <row r="73">
      <c r="A73" s="7">
        <v>72.0</v>
      </c>
      <c r="B73" s="21">
        <v>31.0</v>
      </c>
      <c r="C73" s="25">
        <v>10510.0</v>
      </c>
      <c r="D73" s="1" t="s">
        <v>148</v>
      </c>
      <c r="E73" s="7">
        <v>63.0</v>
      </c>
      <c r="F73" s="1" t="s">
        <v>161</v>
      </c>
      <c r="G73" s="7"/>
      <c r="H73" s="7">
        <v>14.0</v>
      </c>
      <c r="I73" s="1" t="s">
        <v>154</v>
      </c>
      <c r="J73" s="1" t="s">
        <v>150</v>
      </c>
      <c r="K73" s="9"/>
      <c r="L73" s="1" t="s">
        <v>154</v>
      </c>
      <c r="M73" s="1" t="s">
        <v>154</v>
      </c>
      <c r="N73" s="9"/>
      <c r="O73" s="1" t="str">
        <f t="shared" si="1"/>
        <v>нет</v>
      </c>
      <c r="P73" s="1" t="s">
        <v>154</v>
      </c>
      <c r="Q73" s="1" t="s">
        <v>154</v>
      </c>
      <c r="R73" s="7">
        <v>3.0</v>
      </c>
      <c r="S73" s="1" t="s">
        <v>150</v>
      </c>
      <c r="T73" s="9"/>
      <c r="U73" s="9"/>
      <c r="V73" s="9"/>
      <c r="W73" s="9"/>
      <c r="X73" s="9"/>
      <c r="Y73" s="1" t="s">
        <v>150</v>
      </c>
      <c r="Z73" s="9"/>
      <c r="AA73" s="9"/>
      <c r="AB73" s="9"/>
      <c r="AC73" s="9"/>
      <c r="AD73" s="26" t="s">
        <v>299</v>
      </c>
      <c r="AE73" s="1" t="s">
        <v>150</v>
      </c>
      <c r="AF73" s="7">
        <v>0.0</v>
      </c>
      <c r="AG73" s="27" t="s">
        <v>162</v>
      </c>
      <c r="AH73" s="27" t="s">
        <v>152</v>
      </c>
      <c r="AI73" s="1" t="s">
        <v>168</v>
      </c>
      <c r="AJ73" s="7">
        <v>2.0</v>
      </c>
      <c r="AK73" s="1" t="s">
        <v>5</v>
      </c>
      <c r="AL73" s="1" t="s">
        <v>154</v>
      </c>
      <c r="AM73" s="1" t="s">
        <v>278</v>
      </c>
      <c r="AN73" s="1">
        <v>15.0</v>
      </c>
      <c r="AO73" s="1" t="str">
        <f t="shared" si="2"/>
        <v>нет</v>
      </c>
      <c r="AP73" s="7">
        <v>168.0</v>
      </c>
      <c r="AQ73" s="7">
        <v>90.0</v>
      </c>
      <c r="AR73" s="9">
        <f t="shared" si="3"/>
        <v>31.8877551</v>
      </c>
      <c r="AS73" s="7" t="str">
        <f t="shared" si="4"/>
        <v>Ожирение I степени</v>
      </c>
      <c r="AT73" s="7">
        <v>149.0</v>
      </c>
      <c r="AU73" s="7">
        <v>83.0</v>
      </c>
      <c r="AV73" s="3">
        <v>105.0</v>
      </c>
      <c r="AW73" s="7">
        <v>102.0</v>
      </c>
      <c r="AX73" s="9"/>
      <c r="AY73" s="7">
        <v>38.0</v>
      </c>
      <c r="AZ73" s="7">
        <v>92.0</v>
      </c>
      <c r="BA73" s="10" t="str">
        <f t="shared" si="5"/>
        <v>да</v>
      </c>
      <c r="BB73" s="7">
        <v>98.0</v>
      </c>
      <c r="BC73" s="11"/>
      <c r="BD73" s="12" t="str">
        <f t="shared" si="6"/>
        <v>#DIV/0!</v>
      </c>
      <c r="BE73" s="12">
        <f t="shared" si="7"/>
        <v>1</v>
      </c>
      <c r="BF73" s="12">
        <f t="shared" si="8"/>
        <v>9</v>
      </c>
      <c r="BG73" s="15" t="s">
        <v>154</v>
      </c>
      <c r="BH73" s="15" t="s">
        <v>169</v>
      </c>
      <c r="BI73" s="9"/>
      <c r="BJ73" s="9"/>
      <c r="BK73" s="1" t="s">
        <v>150</v>
      </c>
      <c r="BL73" s="9"/>
      <c r="BM73" s="1" t="s">
        <v>154</v>
      </c>
      <c r="BN73" s="1" t="s">
        <v>155</v>
      </c>
      <c r="BO73" s="1" t="s">
        <v>154</v>
      </c>
      <c r="BP73" s="1" t="s">
        <v>157</v>
      </c>
      <c r="BQ73" s="9"/>
      <c r="BR73" s="1" t="s">
        <v>154</v>
      </c>
      <c r="BS73" s="9"/>
      <c r="BT73" s="30"/>
      <c r="BU73" s="9"/>
      <c r="BV73" s="9"/>
      <c r="BW73" s="1" t="s">
        <v>154</v>
      </c>
      <c r="BX73" s="10" t="s">
        <v>154</v>
      </c>
      <c r="BY73" s="1" t="s">
        <v>258</v>
      </c>
      <c r="BZ73" s="29" t="s">
        <v>158</v>
      </c>
      <c r="CA73" s="9"/>
      <c r="CB73" s="1" t="s">
        <v>150</v>
      </c>
      <c r="CC73" s="1" t="s">
        <v>150</v>
      </c>
      <c r="CD73" s="9"/>
      <c r="CE73" s="1" t="s">
        <v>150</v>
      </c>
      <c r="CF73" s="1" t="s">
        <v>150</v>
      </c>
      <c r="CG73" s="1" t="s">
        <v>150</v>
      </c>
      <c r="CH73" s="1" t="s">
        <v>150</v>
      </c>
      <c r="CI73" s="1" t="s">
        <v>150</v>
      </c>
      <c r="CJ73" s="1" t="s">
        <v>150</v>
      </c>
      <c r="CK73" s="1" t="s">
        <v>150</v>
      </c>
      <c r="CL73" s="9"/>
      <c r="CM73" s="7">
        <v>6.8</v>
      </c>
      <c r="CN73" s="7">
        <v>88.0</v>
      </c>
      <c r="CO73" s="7">
        <f t="shared" si="9"/>
        <v>5.984</v>
      </c>
      <c r="CP73" s="7">
        <v>6.8</v>
      </c>
      <c r="CQ73" s="7">
        <f t="shared" si="10"/>
        <v>0.406912</v>
      </c>
      <c r="CR73" s="7">
        <v>3.9</v>
      </c>
      <c r="CS73" s="7">
        <f t="shared" si="11"/>
        <v>0.015869568</v>
      </c>
      <c r="CT73" s="7">
        <v>0.0</v>
      </c>
      <c r="CU73" s="7">
        <f t="shared" si="12"/>
        <v>0</v>
      </c>
      <c r="CV73" s="7">
        <f t="shared" si="13"/>
        <v>14.70588235</v>
      </c>
      <c r="CW73" s="7">
        <v>4.2</v>
      </c>
      <c r="CX73" s="7">
        <v>118.0</v>
      </c>
      <c r="CY73" s="7" t="str">
        <f t="shared" si="14"/>
        <v>Легкая степень</v>
      </c>
      <c r="CZ73" s="7">
        <v>36.0</v>
      </c>
      <c r="DA73" s="7">
        <v>113.0</v>
      </c>
      <c r="DB73" s="7">
        <v>30.6</v>
      </c>
      <c r="DC73" s="7">
        <v>5.0</v>
      </c>
      <c r="DD73" s="7">
        <v>89.0</v>
      </c>
      <c r="DE73" s="7"/>
      <c r="DF73" s="7">
        <v>67.0</v>
      </c>
      <c r="DG73" s="7"/>
      <c r="DH73" s="7">
        <v>3.9</v>
      </c>
      <c r="DI73" s="7"/>
      <c r="DJ73" s="7">
        <v>0.0</v>
      </c>
      <c r="DK73" s="7"/>
      <c r="DL73" s="7"/>
      <c r="DM73" s="7">
        <v>4.0</v>
      </c>
      <c r="DN73" s="7">
        <v>114.0</v>
      </c>
      <c r="DO73" s="7" t="str">
        <f t="shared" si="15"/>
        <v>Легкая степень</v>
      </c>
      <c r="DP73" s="7">
        <v>25.0</v>
      </c>
      <c r="DQ73" s="7">
        <v>139.0</v>
      </c>
      <c r="DR73" s="7">
        <v>4.3</v>
      </c>
      <c r="DS73" s="13">
        <v>430.0</v>
      </c>
      <c r="DT73" s="7">
        <v>23.3</v>
      </c>
      <c r="DU73" s="7">
        <v>11.0</v>
      </c>
      <c r="DV73" s="7">
        <v>0.94</v>
      </c>
      <c r="DW73" s="1" t="s">
        <v>241</v>
      </c>
      <c r="DX73" s="9"/>
      <c r="DY73" s="9"/>
      <c r="DZ73" s="7">
        <v>11.4</v>
      </c>
      <c r="EA73" s="7">
        <v>0.97</v>
      </c>
      <c r="EB73" s="7"/>
      <c r="EC73" s="7">
        <v>24.0</v>
      </c>
      <c r="ED73" s="7">
        <v>14.0</v>
      </c>
      <c r="EE73" s="7">
        <v>28.0</v>
      </c>
      <c r="EF73" s="7">
        <v>26.0</v>
      </c>
      <c r="EG73" s="7">
        <v>66.8</v>
      </c>
      <c r="EH73" s="7">
        <v>9.0</v>
      </c>
      <c r="EI73" s="7">
        <v>4.9</v>
      </c>
      <c r="EJ73" s="7">
        <v>106.0</v>
      </c>
      <c r="EK73" s="14">
        <f t="shared" si="16"/>
        <v>48.27522992</v>
      </c>
      <c r="EL73" s="11" t="str">
        <f t="shared" si="17"/>
        <v>C3a</v>
      </c>
      <c r="EM73" s="9"/>
      <c r="EN73" s="9"/>
      <c r="EO73" s="7">
        <v>14.0</v>
      </c>
      <c r="EP73" s="7">
        <v>55.2</v>
      </c>
      <c r="EQ73" s="7">
        <v>58.7</v>
      </c>
      <c r="ER73" s="7">
        <v>10.0</v>
      </c>
      <c r="ES73" s="7">
        <v>3.8</v>
      </c>
      <c r="ET73" s="7">
        <v>80.0</v>
      </c>
      <c r="EU73" s="11">
        <f t="shared" si="18"/>
        <v>67.8396108</v>
      </c>
      <c r="EV73" s="11" t="str">
        <f t="shared" si="19"/>
        <v>C2</v>
      </c>
      <c r="EW73" s="9"/>
      <c r="EX73" s="9"/>
      <c r="EY73" s="9">
        <f t="shared" si="20"/>
        <v>-0.8859112245</v>
      </c>
      <c r="EZ73" s="9">
        <f t="shared" si="21"/>
        <v>0.7080456727</v>
      </c>
      <c r="FA73" s="9" t="str">
        <f t="shared" si="22"/>
        <v>Неблагоприятный</v>
      </c>
      <c r="FB73" s="1" t="s">
        <v>256</v>
      </c>
      <c r="FC73" s="1" t="s">
        <v>148</v>
      </c>
    </row>
    <row r="74">
      <c r="A74" s="7">
        <v>73.0</v>
      </c>
      <c r="B74" s="21">
        <v>32.0</v>
      </c>
      <c r="C74" s="25">
        <v>8520.0</v>
      </c>
      <c r="D74" s="1" t="s">
        <v>148</v>
      </c>
      <c r="E74" s="7">
        <v>72.0</v>
      </c>
      <c r="F74" s="1" t="s">
        <v>161</v>
      </c>
      <c r="G74" s="7"/>
      <c r="H74" s="7">
        <v>16.0</v>
      </c>
      <c r="I74" s="1" t="s">
        <v>150</v>
      </c>
      <c r="J74" s="1" t="s">
        <v>150</v>
      </c>
      <c r="K74" s="9"/>
      <c r="L74" s="1" t="s">
        <v>154</v>
      </c>
      <c r="M74" s="1" t="s">
        <v>154</v>
      </c>
      <c r="N74" s="9"/>
      <c r="O74" s="1" t="str">
        <f t="shared" si="1"/>
        <v>нет</v>
      </c>
      <c r="P74" s="1" t="s">
        <v>154</v>
      </c>
      <c r="Q74" s="1" t="s">
        <v>154</v>
      </c>
      <c r="R74" s="7">
        <v>3.0</v>
      </c>
      <c r="S74" s="1" t="s">
        <v>154</v>
      </c>
      <c r="T74" s="1" t="s">
        <v>300</v>
      </c>
      <c r="X74" s="9"/>
      <c r="Y74" s="1" t="s">
        <v>150</v>
      </c>
      <c r="Z74" s="9"/>
      <c r="AA74" s="9"/>
      <c r="AB74" s="9"/>
      <c r="AC74" s="9"/>
      <c r="AD74" s="26" t="s">
        <v>301</v>
      </c>
      <c r="AE74" s="1" t="s">
        <v>150</v>
      </c>
      <c r="AF74" s="7">
        <v>0.0</v>
      </c>
      <c r="AG74" s="27" t="s">
        <v>162</v>
      </c>
      <c r="AH74" s="27" t="s">
        <v>152</v>
      </c>
      <c r="AI74" s="1" t="s">
        <v>153</v>
      </c>
      <c r="AJ74" s="9"/>
      <c r="AK74" s="1" t="s">
        <v>5</v>
      </c>
      <c r="AL74" s="1" t="s">
        <v>150</v>
      </c>
      <c r="AM74" s="9"/>
      <c r="AN74" s="1">
        <v>15.0</v>
      </c>
      <c r="AO74" s="1" t="str">
        <f t="shared" si="2"/>
        <v>нет</v>
      </c>
      <c r="AP74" s="7">
        <v>150.0</v>
      </c>
      <c r="AQ74" s="7">
        <v>80.0</v>
      </c>
      <c r="AR74" s="9">
        <f t="shared" si="3"/>
        <v>35.55555556</v>
      </c>
      <c r="AS74" s="7" t="str">
        <f t="shared" si="4"/>
        <v>Ожирение II степени</v>
      </c>
      <c r="AT74" s="7">
        <v>122.0</v>
      </c>
      <c r="AU74" s="7">
        <v>61.0</v>
      </c>
      <c r="AV74" s="3">
        <v>81.0</v>
      </c>
      <c r="AW74" s="7">
        <v>81.0</v>
      </c>
      <c r="AX74" s="7">
        <v>37.6</v>
      </c>
      <c r="AY74" s="7">
        <v>22.0</v>
      </c>
      <c r="AZ74" s="7">
        <v>90.0</v>
      </c>
      <c r="BA74" s="10" t="str">
        <f t="shared" si="5"/>
        <v>да</v>
      </c>
      <c r="BB74" s="7">
        <v>97.0</v>
      </c>
      <c r="BC74" s="11"/>
      <c r="BD74" s="12" t="str">
        <f t="shared" si="6"/>
        <v>#DIV/0!</v>
      </c>
      <c r="BE74" s="12">
        <f t="shared" si="7"/>
        <v>1</v>
      </c>
      <c r="BF74" s="12">
        <f t="shared" si="8"/>
        <v>5</v>
      </c>
      <c r="BG74" s="15" t="s">
        <v>154</v>
      </c>
      <c r="BH74" s="15" t="s">
        <v>302</v>
      </c>
      <c r="BI74" s="15" t="s">
        <v>154</v>
      </c>
      <c r="BJ74" s="15" t="s">
        <v>175</v>
      </c>
      <c r="BK74" s="15" t="s">
        <v>150</v>
      </c>
      <c r="BL74" s="9"/>
      <c r="BM74" s="15" t="s">
        <v>154</v>
      </c>
      <c r="BN74" s="15" t="s">
        <v>155</v>
      </c>
      <c r="BO74" s="15" t="s">
        <v>154</v>
      </c>
      <c r="BP74" s="15" t="s">
        <v>157</v>
      </c>
      <c r="BQ74" s="9"/>
      <c r="BR74" s="15" t="s">
        <v>154</v>
      </c>
      <c r="BS74" s="15" t="s">
        <v>170</v>
      </c>
      <c r="BT74" s="30"/>
      <c r="BU74" s="9"/>
      <c r="BV74" s="9"/>
      <c r="BW74" s="1" t="s">
        <v>154</v>
      </c>
      <c r="BX74" s="10" t="s">
        <v>154</v>
      </c>
      <c r="BY74" s="1" t="s">
        <v>275</v>
      </c>
      <c r="BZ74" s="29" t="s">
        <v>158</v>
      </c>
      <c r="CA74" s="9"/>
      <c r="CB74" s="1" t="s">
        <v>150</v>
      </c>
      <c r="CC74" s="1" t="s">
        <v>150</v>
      </c>
      <c r="CD74" s="9"/>
      <c r="CE74" s="1" t="s">
        <v>150</v>
      </c>
      <c r="CF74" s="1" t="s">
        <v>150</v>
      </c>
      <c r="CG74" s="1" t="s">
        <v>150</v>
      </c>
      <c r="CH74" s="1" t="s">
        <v>150</v>
      </c>
      <c r="CI74" s="1" t="s">
        <v>150</v>
      </c>
      <c r="CJ74" s="1" t="s">
        <v>150</v>
      </c>
      <c r="CK74" s="1" t="s">
        <v>150</v>
      </c>
      <c r="CL74" s="1" t="s">
        <v>273</v>
      </c>
      <c r="CN74" s="9"/>
      <c r="CO74" s="7">
        <f t="shared" si="9"/>
        <v>0</v>
      </c>
      <c r="CP74" s="9"/>
      <c r="CQ74" s="7">
        <f t="shared" si="10"/>
        <v>0</v>
      </c>
      <c r="CR74" s="9"/>
      <c r="CS74" s="7">
        <f t="shared" si="11"/>
        <v>0</v>
      </c>
      <c r="CT74" s="9"/>
      <c r="CU74" s="7">
        <f t="shared" si="12"/>
        <v>0</v>
      </c>
      <c r="CV74" s="7" t="str">
        <f t="shared" si="13"/>
        <v>#DIV/0!</v>
      </c>
      <c r="CW74" s="9"/>
      <c r="CX74" s="9"/>
      <c r="CY74" s="7" t="str">
        <f t="shared" si="14"/>
        <v>Тяжелая степень</v>
      </c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7" t="str">
        <f t="shared" si="15"/>
        <v>Тяжелая степень</v>
      </c>
      <c r="DP74" s="9"/>
      <c r="DQ74" s="9"/>
      <c r="DR74" s="9"/>
      <c r="DS74" s="23"/>
      <c r="DT74" s="9"/>
      <c r="DU74" s="9"/>
      <c r="DV74" s="9"/>
      <c r="DW74" s="1" t="s">
        <v>241</v>
      </c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14" t="str">
        <f t="shared" si="16"/>
        <v>#NUM!</v>
      </c>
      <c r="EL74" s="11" t="str">
        <f t="shared" si="17"/>
        <v>#NUM!</v>
      </c>
      <c r="EM74" s="9"/>
      <c r="EN74" s="9"/>
      <c r="EO74" s="9"/>
      <c r="EP74" s="9"/>
      <c r="EQ74" s="9"/>
      <c r="ER74" s="9"/>
      <c r="ES74" s="9"/>
      <c r="ET74" s="9"/>
      <c r="EU74" s="11" t="str">
        <f t="shared" si="18"/>
        <v>#NUM!</v>
      </c>
      <c r="EV74" s="11" t="str">
        <f t="shared" si="19"/>
        <v>#NUM!</v>
      </c>
      <c r="EW74" s="9"/>
      <c r="EX74" s="9"/>
      <c r="EY74" s="9">
        <f t="shared" si="20"/>
        <v>0.01702222222</v>
      </c>
      <c r="EZ74" s="9">
        <f t="shared" si="21"/>
        <v>0.4957445472</v>
      </c>
      <c r="FA74" s="9" t="str">
        <f t="shared" si="22"/>
        <v>Благоприятный</v>
      </c>
      <c r="FB74" s="1" t="s">
        <v>150</v>
      </c>
      <c r="FC74" s="1" t="s">
        <v>148</v>
      </c>
    </row>
    <row r="75">
      <c r="A75" s="7">
        <v>74.0</v>
      </c>
      <c r="B75" s="21">
        <v>33.0</v>
      </c>
      <c r="C75" s="25">
        <v>2643.0</v>
      </c>
      <c r="D75" s="1" t="s">
        <v>148</v>
      </c>
      <c r="E75" s="7">
        <v>61.0</v>
      </c>
      <c r="F75" s="1" t="s">
        <v>149</v>
      </c>
      <c r="G75" s="7"/>
      <c r="H75" s="7">
        <v>15.0</v>
      </c>
      <c r="I75" s="1" t="s">
        <v>150</v>
      </c>
      <c r="J75" s="1" t="s">
        <v>150</v>
      </c>
      <c r="K75" s="9"/>
      <c r="L75" s="1" t="s">
        <v>150</v>
      </c>
      <c r="M75" s="1" t="s">
        <v>150</v>
      </c>
      <c r="N75" s="9"/>
      <c r="O75" s="1" t="str">
        <f t="shared" si="1"/>
        <v>нет</v>
      </c>
      <c r="P75" s="1" t="s">
        <v>150</v>
      </c>
      <c r="Q75" s="1" t="s">
        <v>154</v>
      </c>
      <c r="R75" s="7">
        <v>2.0</v>
      </c>
      <c r="S75" s="1" t="s">
        <v>150</v>
      </c>
      <c r="T75" s="9"/>
      <c r="U75" s="9"/>
      <c r="V75" s="9"/>
      <c r="W75" s="9"/>
      <c r="X75" s="9"/>
      <c r="Y75" s="1" t="s">
        <v>150</v>
      </c>
      <c r="Z75" s="9"/>
      <c r="AA75" s="9"/>
      <c r="AB75" s="9"/>
      <c r="AC75" s="9"/>
      <c r="AD75" s="26"/>
      <c r="AE75" s="1" t="s">
        <v>150</v>
      </c>
      <c r="AF75" s="7">
        <v>0.0</v>
      </c>
      <c r="AG75" s="27" t="s">
        <v>162</v>
      </c>
      <c r="AH75" s="27" t="s">
        <v>152</v>
      </c>
      <c r="AI75" s="1" t="s">
        <v>168</v>
      </c>
      <c r="AJ75" s="7">
        <v>1.0</v>
      </c>
      <c r="AK75" s="1" t="s">
        <v>5</v>
      </c>
      <c r="AL75" s="1" t="s">
        <v>150</v>
      </c>
      <c r="AM75" s="9"/>
      <c r="AN75" s="1">
        <v>15.0</v>
      </c>
      <c r="AO75" s="1" t="str">
        <f t="shared" si="2"/>
        <v>нет</v>
      </c>
      <c r="AP75" s="7">
        <v>178.0</v>
      </c>
      <c r="AQ75" s="7">
        <v>95.0</v>
      </c>
      <c r="AR75" s="9">
        <f t="shared" si="3"/>
        <v>29.98358793</v>
      </c>
      <c r="AS75" s="7" t="str">
        <f t="shared" si="4"/>
        <v>Избыточный вес (предожирение)</v>
      </c>
      <c r="AT75" s="7">
        <v>100.0</v>
      </c>
      <c r="AU75" s="7">
        <v>90.0</v>
      </c>
      <c r="AV75" s="3">
        <v>93.0</v>
      </c>
      <c r="AW75" s="7">
        <v>110.0</v>
      </c>
      <c r="AX75" s="7">
        <v>36.8</v>
      </c>
      <c r="AY75" s="7">
        <v>22.0</v>
      </c>
      <c r="AZ75" s="7">
        <v>95.0</v>
      </c>
      <c r="BA75" s="10" t="str">
        <f t="shared" si="5"/>
        <v>да</v>
      </c>
      <c r="BB75" s="9"/>
      <c r="BC75" s="11"/>
      <c r="BD75" s="12" t="str">
        <f t="shared" si="6"/>
        <v>#DIV/0!</v>
      </c>
      <c r="BE75" s="12">
        <f t="shared" si="7"/>
        <v>2</v>
      </c>
      <c r="BF75" s="12">
        <f t="shared" si="8"/>
        <v>6</v>
      </c>
      <c r="BG75" s="15" t="s">
        <v>150</v>
      </c>
      <c r="BH75" s="9"/>
      <c r="BI75" s="1" t="s">
        <v>154</v>
      </c>
      <c r="BJ75" s="1" t="s">
        <v>285</v>
      </c>
      <c r="BK75" s="1" t="s">
        <v>150</v>
      </c>
      <c r="BL75" s="9"/>
      <c r="BM75" s="1" t="s">
        <v>154</v>
      </c>
      <c r="BN75" s="1" t="s">
        <v>155</v>
      </c>
      <c r="BO75" s="9"/>
      <c r="BP75" s="9"/>
      <c r="BQ75" s="9"/>
      <c r="BR75" s="1" t="s">
        <v>154</v>
      </c>
      <c r="BS75" s="1" t="s">
        <v>303</v>
      </c>
      <c r="BT75" s="28">
        <v>12.0</v>
      </c>
      <c r="BU75" s="1" t="s">
        <v>207</v>
      </c>
      <c r="BV75" s="7">
        <v>16.0</v>
      </c>
      <c r="BW75" s="1" t="s">
        <v>150</v>
      </c>
      <c r="BX75" s="10" t="s">
        <v>154</v>
      </c>
      <c r="BY75" s="1" t="s">
        <v>173</v>
      </c>
      <c r="BZ75" s="29" t="s">
        <v>158</v>
      </c>
      <c r="CA75" s="9"/>
      <c r="CB75" s="1" t="s">
        <v>150</v>
      </c>
      <c r="CC75" s="1" t="s">
        <v>150</v>
      </c>
      <c r="CD75" s="9"/>
      <c r="CE75" s="1" t="s">
        <v>150</v>
      </c>
      <c r="CF75" s="1" t="s">
        <v>150</v>
      </c>
      <c r="CG75" s="1" t="s">
        <v>150</v>
      </c>
      <c r="CH75" s="1" t="s">
        <v>150</v>
      </c>
      <c r="CI75" s="1" t="s">
        <v>150</v>
      </c>
      <c r="CJ75" s="1" t="s">
        <v>150</v>
      </c>
      <c r="CK75" s="1" t="s">
        <v>150</v>
      </c>
      <c r="CL75" s="1" t="s">
        <v>304</v>
      </c>
      <c r="CM75" s="7">
        <v>3.24</v>
      </c>
      <c r="CN75" s="7">
        <v>90.7</v>
      </c>
      <c r="CO75" s="7">
        <f t="shared" si="9"/>
        <v>2.93868</v>
      </c>
      <c r="CP75" s="7">
        <v>6.1</v>
      </c>
      <c r="CQ75" s="7">
        <f t="shared" si="10"/>
        <v>0.17925948</v>
      </c>
      <c r="CR75" s="7">
        <v>3.0</v>
      </c>
      <c r="CS75" s="7">
        <f t="shared" si="11"/>
        <v>0.0053777844</v>
      </c>
      <c r="CT75" s="7">
        <v>0.0</v>
      </c>
      <c r="CU75" s="7">
        <f t="shared" si="12"/>
        <v>0</v>
      </c>
      <c r="CV75" s="7">
        <f t="shared" si="13"/>
        <v>16.39344262</v>
      </c>
      <c r="CW75" s="7">
        <v>4.85</v>
      </c>
      <c r="CX75" s="7">
        <v>145.0</v>
      </c>
      <c r="CY75" s="7" t="str">
        <f t="shared" si="14"/>
        <v>Норма</v>
      </c>
      <c r="CZ75" s="9"/>
      <c r="DA75" s="7">
        <v>93.0</v>
      </c>
      <c r="DB75" s="7">
        <v>200.0</v>
      </c>
      <c r="DC75" s="7">
        <v>16.1</v>
      </c>
      <c r="DD75" s="7"/>
      <c r="DE75" s="7"/>
      <c r="DF75" s="7"/>
      <c r="DG75" s="7"/>
      <c r="DH75" s="7"/>
      <c r="DI75" s="7"/>
      <c r="DJ75" s="7"/>
      <c r="DK75" s="7"/>
      <c r="DL75" s="7"/>
      <c r="DM75" s="7">
        <v>4.91</v>
      </c>
      <c r="DN75" s="7">
        <v>145.0</v>
      </c>
      <c r="DO75" s="7" t="str">
        <f t="shared" si="15"/>
        <v>Норма</v>
      </c>
      <c r="DP75" s="9"/>
      <c r="DQ75" s="7">
        <v>144.0</v>
      </c>
      <c r="DR75" s="7">
        <v>113.0</v>
      </c>
      <c r="DS75" s="13">
        <v>446.0</v>
      </c>
      <c r="DT75" s="9"/>
      <c r="DU75" s="7">
        <v>15.1</v>
      </c>
      <c r="DV75" s="7">
        <v>1.3</v>
      </c>
      <c r="DW75" s="1" t="s">
        <v>241</v>
      </c>
      <c r="DX75" s="9"/>
      <c r="DY75" s="9"/>
      <c r="DZ75" s="7">
        <v>14.7</v>
      </c>
      <c r="EA75" s="7">
        <v>1.2</v>
      </c>
      <c r="EB75" s="7"/>
      <c r="EC75" s="7">
        <v>5.91</v>
      </c>
      <c r="ED75" s="7">
        <v>7.27</v>
      </c>
      <c r="EE75" s="7">
        <v>15.25</v>
      </c>
      <c r="EF75" s="7">
        <v>22.39</v>
      </c>
      <c r="EG75" s="7">
        <v>67.2</v>
      </c>
      <c r="EH75" s="7">
        <v>8.83</v>
      </c>
      <c r="EI75" s="7">
        <v>2.11</v>
      </c>
      <c r="EJ75" s="7">
        <v>131.21</v>
      </c>
      <c r="EK75" s="14">
        <f t="shared" si="16"/>
        <v>37.82671436</v>
      </c>
      <c r="EL75" s="11" t="str">
        <f t="shared" si="17"/>
        <v>C3b</v>
      </c>
      <c r="EM75" s="9"/>
      <c r="EN75" s="9"/>
      <c r="EO75" s="7">
        <v>34.6</v>
      </c>
      <c r="EP75" s="7">
        <v>26.2</v>
      </c>
      <c r="EQ75" s="7">
        <v>66.2</v>
      </c>
      <c r="ER75" s="7">
        <v>9.2</v>
      </c>
      <c r="ES75" s="7">
        <v>3.2</v>
      </c>
      <c r="ET75" s="7">
        <v>108.0</v>
      </c>
      <c r="EU75" s="11">
        <f t="shared" si="18"/>
        <v>47.86425732</v>
      </c>
      <c r="EV75" s="11" t="str">
        <f t="shared" si="19"/>
        <v>C3a</v>
      </c>
      <c r="EW75" s="9"/>
      <c r="EX75" s="9"/>
      <c r="EY75" s="9">
        <f t="shared" si="20"/>
        <v>0.4646214181</v>
      </c>
      <c r="EZ75" s="9">
        <f t="shared" si="21"/>
        <v>0.3858900693</v>
      </c>
      <c r="FA75" s="9" t="str">
        <f t="shared" si="22"/>
        <v>Благоприятный</v>
      </c>
      <c r="FB75" s="1" t="s">
        <v>150</v>
      </c>
      <c r="FC75" s="1" t="s">
        <v>148</v>
      </c>
    </row>
    <row r="76">
      <c r="A76" s="7">
        <v>75.0</v>
      </c>
      <c r="B76" s="21">
        <v>34.0</v>
      </c>
      <c r="C76" s="25">
        <v>10603.0</v>
      </c>
      <c r="D76" s="1" t="s">
        <v>148</v>
      </c>
      <c r="E76" s="7">
        <v>71.0</v>
      </c>
      <c r="F76" s="1" t="s">
        <v>161</v>
      </c>
      <c r="G76" s="7"/>
      <c r="H76" s="7">
        <v>17.0</v>
      </c>
      <c r="I76" s="1" t="s">
        <v>150</v>
      </c>
      <c r="J76" s="1" t="s">
        <v>150</v>
      </c>
      <c r="K76" s="9"/>
      <c r="L76" s="1" t="s">
        <v>154</v>
      </c>
      <c r="M76" s="1" t="s">
        <v>154</v>
      </c>
      <c r="N76" s="9"/>
      <c r="O76" s="1" t="str">
        <f t="shared" si="1"/>
        <v>нет</v>
      </c>
      <c r="P76" s="1" t="s">
        <v>154</v>
      </c>
      <c r="Q76" s="1" t="s">
        <v>154</v>
      </c>
      <c r="R76" s="7">
        <v>3.0</v>
      </c>
      <c r="S76" s="1" t="s">
        <v>150</v>
      </c>
      <c r="T76" s="9"/>
      <c r="U76" s="9"/>
      <c r="V76" s="9"/>
      <c r="W76" s="9"/>
      <c r="X76" s="9"/>
      <c r="Y76" s="1" t="s">
        <v>150</v>
      </c>
      <c r="Z76" s="9"/>
      <c r="AA76" s="9"/>
      <c r="AB76" s="9"/>
      <c r="AC76" s="9"/>
      <c r="AD76" s="26" t="s">
        <v>305</v>
      </c>
      <c r="AE76" s="1" t="s">
        <v>150</v>
      </c>
      <c r="AF76" s="7">
        <v>0.0</v>
      </c>
      <c r="AG76" s="27" t="s">
        <v>162</v>
      </c>
      <c r="AH76" s="27" t="s">
        <v>152</v>
      </c>
      <c r="AI76" s="1" t="s">
        <v>168</v>
      </c>
      <c r="AJ76" s="7">
        <v>1.0</v>
      </c>
      <c r="AK76" s="1" t="s">
        <v>5</v>
      </c>
      <c r="AL76" s="1" t="s">
        <v>150</v>
      </c>
      <c r="AM76" s="9"/>
      <c r="AN76" s="1">
        <v>15.0</v>
      </c>
      <c r="AO76" s="1" t="str">
        <f t="shared" si="2"/>
        <v>нет</v>
      </c>
      <c r="AP76" s="7">
        <v>158.0</v>
      </c>
      <c r="AQ76" s="7">
        <v>84.0</v>
      </c>
      <c r="AR76" s="9">
        <f t="shared" si="3"/>
        <v>33.64845377</v>
      </c>
      <c r="AS76" s="7" t="str">
        <f t="shared" si="4"/>
        <v>Ожирение I степени</v>
      </c>
      <c r="AT76" s="7">
        <v>130.0</v>
      </c>
      <c r="AU76" s="7">
        <v>80.0</v>
      </c>
      <c r="AV76" s="3">
        <v>97.0</v>
      </c>
      <c r="AW76" s="7">
        <v>89.0</v>
      </c>
      <c r="AX76" s="7">
        <v>37.0</v>
      </c>
      <c r="AY76" s="7">
        <v>18.0</v>
      </c>
      <c r="AZ76" s="7">
        <v>92.0</v>
      </c>
      <c r="BA76" s="10" t="str">
        <f t="shared" si="5"/>
        <v>да</v>
      </c>
      <c r="BB76" s="9"/>
      <c r="BC76" s="11"/>
      <c r="BD76" s="12" t="str">
        <f t="shared" si="6"/>
        <v>#DIV/0!</v>
      </c>
      <c r="BE76" s="12">
        <f t="shared" si="7"/>
        <v>0</v>
      </c>
      <c r="BF76" s="12">
        <f t="shared" si="8"/>
        <v>2</v>
      </c>
      <c r="BG76" s="15" t="s">
        <v>150</v>
      </c>
      <c r="BH76" s="9"/>
      <c r="BI76" s="15" t="s">
        <v>154</v>
      </c>
      <c r="BJ76" s="15" t="s">
        <v>175</v>
      </c>
      <c r="BK76" s="15" t="s">
        <v>150</v>
      </c>
      <c r="BL76" s="9"/>
      <c r="BM76" s="15" t="s">
        <v>154</v>
      </c>
      <c r="BN76" s="15" t="s">
        <v>155</v>
      </c>
      <c r="BO76" s="15" t="s">
        <v>150</v>
      </c>
      <c r="BP76" s="9"/>
      <c r="BQ76" s="9"/>
      <c r="BR76" s="15" t="s">
        <v>154</v>
      </c>
      <c r="BS76" s="15" t="s">
        <v>306</v>
      </c>
      <c r="BT76" s="30"/>
      <c r="BU76" s="1" t="s">
        <v>207</v>
      </c>
      <c r="BV76" s="7">
        <v>16.0</v>
      </c>
      <c r="BW76" s="1" t="s">
        <v>154</v>
      </c>
      <c r="BX76" s="10" t="s">
        <v>154</v>
      </c>
      <c r="BY76" s="1" t="s">
        <v>239</v>
      </c>
      <c r="BZ76" s="29" t="s">
        <v>158</v>
      </c>
      <c r="CA76" s="9"/>
      <c r="CB76" s="1" t="s">
        <v>150</v>
      </c>
      <c r="CC76" s="1" t="s">
        <v>150</v>
      </c>
      <c r="CD76" s="9"/>
      <c r="CE76" s="1" t="s">
        <v>150</v>
      </c>
      <c r="CF76" s="1" t="s">
        <v>150</v>
      </c>
      <c r="CG76" s="1" t="s">
        <v>150</v>
      </c>
      <c r="CH76" s="1" t="s">
        <v>150</v>
      </c>
      <c r="CI76" s="1" t="s">
        <v>150</v>
      </c>
      <c r="CJ76" s="1" t="s">
        <v>150</v>
      </c>
      <c r="CK76" s="1" t="s">
        <v>150</v>
      </c>
      <c r="CL76" s="1" t="s">
        <v>307</v>
      </c>
      <c r="CM76" s="7">
        <v>13.4</v>
      </c>
      <c r="CN76" s="7">
        <v>80.2</v>
      </c>
      <c r="CO76" s="7">
        <f t="shared" si="9"/>
        <v>10.7468</v>
      </c>
      <c r="CP76" s="7">
        <v>11.7</v>
      </c>
      <c r="CQ76" s="7">
        <f t="shared" si="10"/>
        <v>1.2573756</v>
      </c>
      <c r="CR76" s="7">
        <v>8.0</v>
      </c>
      <c r="CS76" s="7">
        <f t="shared" si="11"/>
        <v>0.100590048</v>
      </c>
      <c r="CT76" s="7">
        <v>0.0</v>
      </c>
      <c r="CU76" s="7">
        <f t="shared" si="12"/>
        <v>0</v>
      </c>
      <c r="CV76" s="7">
        <f t="shared" si="13"/>
        <v>8.547008547</v>
      </c>
      <c r="CW76" s="7">
        <v>5.23</v>
      </c>
      <c r="CX76" s="7">
        <v>142.0</v>
      </c>
      <c r="CY76" s="7" t="str">
        <f t="shared" si="14"/>
        <v>Норма</v>
      </c>
      <c r="CZ76" s="7">
        <v>33.0</v>
      </c>
      <c r="DA76" s="7">
        <v>202.0</v>
      </c>
      <c r="DB76" s="7">
        <v>124.2</v>
      </c>
      <c r="DC76" s="7">
        <v>7.84</v>
      </c>
      <c r="DD76" s="7">
        <v>69.5</v>
      </c>
      <c r="DE76" s="7"/>
      <c r="DF76" s="7">
        <v>20.8</v>
      </c>
      <c r="DG76" s="7"/>
      <c r="DH76" s="7">
        <v>9.1</v>
      </c>
      <c r="DI76" s="7"/>
      <c r="DJ76" s="7">
        <v>0.1</v>
      </c>
      <c r="DK76" s="7"/>
      <c r="DL76" s="7"/>
      <c r="DM76" s="7">
        <v>4.9</v>
      </c>
      <c r="DN76" s="7">
        <v>132.0</v>
      </c>
      <c r="DO76" s="7" t="str">
        <f t="shared" si="15"/>
        <v>Норма</v>
      </c>
      <c r="DP76" s="7">
        <v>4.0</v>
      </c>
      <c r="DQ76" s="7">
        <v>163.0</v>
      </c>
      <c r="DR76" s="7">
        <v>0.4</v>
      </c>
      <c r="DS76" s="13">
        <v>590.0</v>
      </c>
      <c r="DT76" s="7">
        <v>30.6</v>
      </c>
      <c r="DU76" s="7">
        <v>13.7</v>
      </c>
      <c r="DV76" s="7">
        <v>1.17</v>
      </c>
      <c r="DW76" s="1" t="s">
        <v>241</v>
      </c>
      <c r="DX76" s="9"/>
      <c r="DY76" s="7">
        <v>32.0</v>
      </c>
      <c r="DZ76" s="7">
        <v>11.8</v>
      </c>
      <c r="EA76" s="7">
        <v>1.01</v>
      </c>
      <c r="EB76" s="7"/>
      <c r="EC76" s="7">
        <v>12.27</v>
      </c>
      <c r="ED76" s="7">
        <v>4.87</v>
      </c>
      <c r="EE76" s="7">
        <v>22.06</v>
      </c>
      <c r="EF76" s="7">
        <v>18.31</v>
      </c>
      <c r="EG76" s="7">
        <v>72.0</v>
      </c>
      <c r="EH76" s="7">
        <v>13.34</v>
      </c>
      <c r="EI76" s="7">
        <v>3.89</v>
      </c>
      <c r="EJ76" s="7">
        <v>79.61</v>
      </c>
      <c r="EK76" s="14">
        <f t="shared" si="16"/>
        <v>64.51241095</v>
      </c>
      <c r="EL76" s="11" t="str">
        <f t="shared" si="17"/>
        <v>C2</v>
      </c>
      <c r="EM76" s="7">
        <v>138.4</v>
      </c>
      <c r="EN76" s="7">
        <v>4.18</v>
      </c>
      <c r="EO76" s="7">
        <v>65.8</v>
      </c>
      <c r="EP76" s="7">
        <v>12.5</v>
      </c>
      <c r="EQ76" s="7">
        <v>60.8</v>
      </c>
      <c r="ER76" s="7">
        <v>10.6</v>
      </c>
      <c r="ES76" s="7">
        <v>4.0</v>
      </c>
      <c r="ET76" s="7">
        <v>62.0</v>
      </c>
      <c r="EU76" s="11">
        <f t="shared" si="18"/>
        <v>87.40343339</v>
      </c>
      <c r="EV76" s="11" t="str">
        <f t="shared" si="19"/>
        <v>C2</v>
      </c>
      <c r="EW76" s="7">
        <v>137.5</v>
      </c>
      <c r="EX76" s="7">
        <v>3.79</v>
      </c>
      <c r="EY76" s="9">
        <f t="shared" si="20"/>
        <v>1.328457682</v>
      </c>
      <c r="EZ76" s="9">
        <f t="shared" si="21"/>
        <v>0.2094145972</v>
      </c>
      <c r="FA76" s="9" t="str">
        <f t="shared" si="22"/>
        <v>Благоприятный</v>
      </c>
      <c r="FB76" s="1" t="s">
        <v>150</v>
      </c>
      <c r="FC76" s="1" t="s">
        <v>148</v>
      </c>
    </row>
    <row r="77">
      <c r="A77" s="7">
        <v>76.0</v>
      </c>
      <c r="B77" s="21">
        <v>35.0</v>
      </c>
      <c r="C77" s="25">
        <v>8045.0</v>
      </c>
      <c r="D77" s="1" t="s">
        <v>148</v>
      </c>
      <c r="E77" s="7">
        <v>49.0</v>
      </c>
      <c r="F77" s="1" t="s">
        <v>149</v>
      </c>
      <c r="G77" s="7"/>
      <c r="H77" s="7">
        <v>12.0</v>
      </c>
      <c r="I77" s="1" t="s">
        <v>150</v>
      </c>
      <c r="J77" s="1" t="s">
        <v>150</v>
      </c>
      <c r="K77" s="9"/>
      <c r="L77" s="1" t="s">
        <v>150</v>
      </c>
      <c r="M77" s="1" t="s">
        <v>154</v>
      </c>
      <c r="N77" s="1" t="s">
        <v>192</v>
      </c>
      <c r="O77" s="1" t="str">
        <f t="shared" si="1"/>
        <v>нет</v>
      </c>
      <c r="P77" s="1" t="s">
        <v>154</v>
      </c>
      <c r="Q77" s="1" t="s">
        <v>150</v>
      </c>
      <c r="R77" s="9"/>
      <c r="S77" s="1" t="s">
        <v>150</v>
      </c>
      <c r="T77" s="9"/>
      <c r="U77" s="9"/>
      <c r="V77" s="9"/>
      <c r="W77" s="9"/>
      <c r="X77" s="9"/>
      <c r="Y77" s="1" t="s">
        <v>150</v>
      </c>
      <c r="Z77" s="9"/>
      <c r="AA77" s="9"/>
      <c r="AB77" s="9"/>
      <c r="AC77" s="9"/>
      <c r="AD77" s="26"/>
      <c r="AE77" s="1" t="s">
        <v>150</v>
      </c>
      <c r="AF77" s="7">
        <v>0.0</v>
      </c>
      <c r="AG77" s="27" t="s">
        <v>162</v>
      </c>
      <c r="AH77" s="27" t="s">
        <v>152</v>
      </c>
      <c r="AI77" s="1" t="s">
        <v>168</v>
      </c>
      <c r="AJ77" s="7">
        <v>3.0</v>
      </c>
      <c r="AK77" s="1" t="s">
        <v>5</v>
      </c>
      <c r="AL77" s="1" t="s">
        <v>150</v>
      </c>
      <c r="AM77" s="9"/>
      <c r="AN77" s="1">
        <v>15.0</v>
      </c>
      <c r="AO77" s="1" t="str">
        <f t="shared" si="2"/>
        <v>нет</v>
      </c>
      <c r="AP77" s="7">
        <v>174.0</v>
      </c>
      <c r="AQ77" s="7">
        <v>88.0</v>
      </c>
      <c r="AR77" s="9">
        <f t="shared" si="3"/>
        <v>29.06592681</v>
      </c>
      <c r="AS77" s="7" t="str">
        <f t="shared" si="4"/>
        <v>Избыточный вес (предожирение)</v>
      </c>
      <c r="AT77" s="7">
        <v>100.0</v>
      </c>
      <c r="AU77" s="7">
        <v>70.0</v>
      </c>
      <c r="AV77" s="3">
        <v>80.0</v>
      </c>
      <c r="AW77" s="7">
        <v>88.0</v>
      </c>
      <c r="AX77" s="7">
        <v>39.0</v>
      </c>
      <c r="AY77" s="7">
        <v>22.0</v>
      </c>
      <c r="AZ77" s="7">
        <v>83.0</v>
      </c>
      <c r="BA77" s="10" t="str">
        <f t="shared" si="5"/>
        <v>да</v>
      </c>
      <c r="BB77" s="7">
        <v>98.0</v>
      </c>
      <c r="BC77" s="11"/>
      <c r="BD77" s="12" t="str">
        <f t="shared" si="6"/>
        <v>#DIV/0!</v>
      </c>
      <c r="BE77" s="12">
        <f t="shared" si="7"/>
        <v>2</v>
      </c>
      <c r="BF77" s="12">
        <f t="shared" si="8"/>
        <v>8</v>
      </c>
      <c r="BG77" s="15" t="s">
        <v>154</v>
      </c>
      <c r="BH77" s="15" t="s">
        <v>285</v>
      </c>
      <c r="BI77" s="1" t="s">
        <v>154</v>
      </c>
      <c r="BJ77" s="1" t="s">
        <v>169</v>
      </c>
      <c r="BK77" s="1" t="s">
        <v>150</v>
      </c>
      <c r="BL77" s="9"/>
      <c r="BM77" s="1" t="s">
        <v>154</v>
      </c>
      <c r="BN77" s="1" t="s">
        <v>155</v>
      </c>
      <c r="BO77" s="1" t="s">
        <v>154</v>
      </c>
      <c r="BP77" s="1" t="s">
        <v>303</v>
      </c>
      <c r="BQ77" s="9"/>
      <c r="BR77" s="1" t="s">
        <v>154</v>
      </c>
      <c r="BS77" s="1" t="s">
        <v>170</v>
      </c>
      <c r="BT77" s="28">
        <v>12.0</v>
      </c>
      <c r="BU77" s="9"/>
      <c r="BV77" s="9"/>
      <c r="BW77" s="1" t="s">
        <v>154</v>
      </c>
      <c r="BX77" s="10" t="s">
        <v>154</v>
      </c>
      <c r="BY77" s="1" t="s">
        <v>239</v>
      </c>
      <c r="BZ77" s="29" t="s">
        <v>158</v>
      </c>
      <c r="CA77" s="9"/>
      <c r="CB77" s="1" t="s">
        <v>150</v>
      </c>
      <c r="CC77" s="1" t="s">
        <v>150</v>
      </c>
      <c r="CD77" s="9"/>
      <c r="CE77" s="1" t="s">
        <v>150</v>
      </c>
      <c r="CF77" s="1" t="s">
        <v>150</v>
      </c>
      <c r="CG77" s="1" t="s">
        <v>150</v>
      </c>
      <c r="CH77" s="1" t="s">
        <v>154</v>
      </c>
      <c r="CI77" s="1" t="s">
        <v>150</v>
      </c>
      <c r="CJ77" s="1" t="s">
        <v>150</v>
      </c>
      <c r="CK77" s="1" t="s">
        <v>150</v>
      </c>
      <c r="CL77" s="9"/>
      <c r="CM77" s="7">
        <v>6.5</v>
      </c>
      <c r="CN77" s="7">
        <v>89.3</v>
      </c>
      <c r="CO77" s="7">
        <f t="shared" si="9"/>
        <v>5.8045</v>
      </c>
      <c r="CP77" s="7">
        <v>8.9</v>
      </c>
      <c r="CQ77" s="7">
        <f t="shared" si="10"/>
        <v>0.5166005</v>
      </c>
      <c r="CR77" s="7"/>
      <c r="CS77" s="7">
        <f t="shared" si="11"/>
        <v>0</v>
      </c>
      <c r="CT77" s="7">
        <v>0.0</v>
      </c>
      <c r="CU77" s="7">
        <f t="shared" si="12"/>
        <v>0</v>
      </c>
      <c r="CV77" s="7">
        <f t="shared" si="13"/>
        <v>11.23595506</v>
      </c>
      <c r="CW77" s="7">
        <v>4.79</v>
      </c>
      <c r="CX77" s="7">
        <v>152.0</v>
      </c>
      <c r="CY77" s="7" t="str">
        <f t="shared" si="14"/>
        <v>Норма</v>
      </c>
      <c r="CZ77" s="9"/>
      <c r="DA77" s="7">
        <v>141.0</v>
      </c>
      <c r="DB77" s="9"/>
      <c r="DC77" s="7">
        <v>8.4</v>
      </c>
      <c r="DD77" s="7">
        <v>84.9</v>
      </c>
      <c r="DE77" s="7"/>
      <c r="DF77" s="7">
        <v>8.2</v>
      </c>
      <c r="DG77" s="7"/>
      <c r="DH77" s="7"/>
      <c r="DI77" s="7"/>
      <c r="DJ77" s="7">
        <v>0.2</v>
      </c>
      <c r="DK77" s="7"/>
      <c r="DL77" s="7"/>
      <c r="DM77" s="7">
        <v>4.77</v>
      </c>
      <c r="DN77" s="7">
        <v>150.0</v>
      </c>
      <c r="DO77" s="7" t="str">
        <f t="shared" si="15"/>
        <v>Норма</v>
      </c>
      <c r="DP77" s="9"/>
      <c r="DQ77" s="7">
        <v>274.0</v>
      </c>
      <c r="DR77" s="9"/>
      <c r="DS77" s="13">
        <v>607.0</v>
      </c>
      <c r="DT77" s="9"/>
      <c r="DU77" s="7">
        <v>16.8</v>
      </c>
      <c r="DV77" s="7">
        <v>1.436</v>
      </c>
      <c r="DW77" s="1" t="s">
        <v>241</v>
      </c>
      <c r="DX77" s="9"/>
      <c r="DY77" s="9"/>
      <c r="DZ77" s="7">
        <v>12.8</v>
      </c>
      <c r="EA77" s="7">
        <v>1.2</v>
      </c>
      <c r="EB77" s="7"/>
      <c r="EC77" s="7">
        <v>9.09</v>
      </c>
      <c r="ED77" s="9"/>
      <c r="EE77" s="7">
        <v>59.63</v>
      </c>
      <c r="EF77" s="7">
        <v>61.84</v>
      </c>
      <c r="EG77" s="7">
        <v>62.0</v>
      </c>
      <c r="EH77" s="7">
        <v>11.0</v>
      </c>
      <c r="EI77" s="7">
        <v>2.17</v>
      </c>
      <c r="EJ77" s="7">
        <v>101.75</v>
      </c>
      <c r="EK77" s="14">
        <f t="shared" si="16"/>
        <v>55.96552109</v>
      </c>
      <c r="EL77" s="11" t="str">
        <f t="shared" si="17"/>
        <v>C3a</v>
      </c>
      <c r="EM77" s="7">
        <v>135.7</v>
      </c>
      <c r="EN77" s="7">
        <v>4.34</v>
      </c>
      <c r="EO77" s="7">
        <v>64.1</v>
      </c>
      <c r="EP77" s="7">
        <v>14.0</v>
      </c>
      <c r="EQ77" s="7">
        <v>65.7</v>
      </c>
      <c r="ER77" s="9"/>
      <c r="ES77" s="7">
        <v>1.24</v>
      </c>
      <c r="ET77" s="7">
        <v>59.2</v>
      </c>
      <c r="EU77" s="11">
        <f t="shared" si="18"/>
        <v>103.5733564</v>
      </c>
      <c r="EV77" s="11" t="str">
        <f t="shared" si="19"/>
        <v>C1</v>
      </c>
      <c r="EW77" s="9"/>
      <c r="EX77" s="9"/>
      <c r="EY77" s="9">
        <f t="shared" si="20"/>
        <v>0.09350360021</v>
      </c>
      <c r="EZ77" s="9">
        <f t="shared" si="21"/>
        <v>0.4766411162</v>
      </c>
      <c r="FA77" s="9" t="str">
        <f t="shared" si="22"/>
        <v>Благоприятный</v>
      </c>
      <c r="FB77" s="1" t="s">
        <v>150</v>
      </c>
      <c r="FC77" s="1" t="s">
        <v>148</v>
      </c>
    </row>
    <row r="78">
      <c r="A78" s="7">
        <v>77.0</v>
      </c>
      <c r="B78" s="21">
        <v>36.0</v>
      </c>
      <c r="C78" s="25">
        <v>5197.0</v>
      </c>
      <c r="D78" s="1" t="s">
        <v>148</v>
      </c>
      <c r="E78" s="7">
        <v>58.0</v>
      </c>
      <c r="F78" s="1" t="s">
        <v>161</v>
      </c>
      <c r="G78" s="7"/>
      <c r="H78" s="7">
        <v>24.0</v>
      </c>
      <c r="I78" s="1" t="s">
        <v>150</v>
      </c>
      <c r="J78" s="1" t="s">
        <v>150</v>
      </c>
      <c r="K78" s="9"/>
      <c r="L78" s="1" t="s">
        <v>150</v>
      </c>
      <c r="M78" s="1" t="s">
        <v>154</v>
      </c>
      <c r="N78" s="1" t="s">
        <v>192</v>
      </c>
      <c r="O78" s="1" t="str">
        <f t="shared" si="1"/>
        <v>нет</v>
      </c>
      <c r="P78" s="1" t="s">
        <v>154</v>
      </c>
      <c r="Q78" s="1" t="s">
        <v>154</v>
      </c>
      <c r="R78" s="7">
        <v>2.0</v>
      </c>
      <c r="S78" s="1" t="s">
        <v>150</v>
      </c>
      <c r="T78" s="9"/>
      <c r="U78" s="9"/>
      <c r="V78" s="9"/>
      <c r="W78" s="9"/>
      <c r="X78" s="9"/>
      <c r="Y78" s="1" t="s">
        <v>150</v>
      </c>
      <c r="Z78" s="9"/>
      <c r="AA78" s="9"/>
      <c r="AB78" s="9"/>
      <c r="AC78" s="9"/>
      <c r="AD78" s="26"/>
      <c r="AE78" s="1" t="s">
        <v>150</v>
      </c>
      <c r="AF78" s="7">
        <v>0.0</v>
      </c>
      <c r="AG78" s="27" t="s">
        <v>162</v>
      </c>
      <c r="AH78" s="27" t="s">
        <v>152</v>
      </c>
      <c r="AI78" s="1" t="s">
        <v>168</v>
      </c>
      <c r="AJ78" s="7">
        <v>3.0</v>
      </c>
      <c r="AK78" s="1" t="s">
        <v>5</v>
      </c>
      <c r="AL78" s="1" t="s">
        <v>150</v>
      </c>
      <c r="AM78" s="9"/>
      <c r="AN78" s="1">
        <v>15.0</v>
      </c>
      <c r="AO78" s="1" t="str">
        <f t="shared" si="2"/>
        <v>нет</v>
      </c>
      <c r="AP78" s="7">
        <v>163.0</v>
      </c>
      <c r="AQ78" s="7">
        <v>106.0</v>
      </c>
      <c r="AR78" s="9">
        <f t="shared" si="3"/>
        <v>39.89611954</v>
      </c>
      <c r="AS78" s="7" t="str">
        <f t="shared" si="4"/>
        <v>Ожирение II степени</v>
      </c>
      <c r="AT78" s="7">
        <v>210.0</v>
      </c>
      <c r="AU78" s="7">
        <v>115.0</v>
      </c>
      <c r="AV78" s="3">
        <v>147.0</v>
      </c>
      <c r="AW78" s="7">
        <v>103.0</v>
      </c>
      <c r="AX78" s="7">
        <v>37.8</v>
      </c>
      <c r="AY78" s="7">
        <v>24.0</v>
      </c>
      <c r="AZ78" s="7">
        <v>92.0</v>
      </c>
      <c r="BA78" s="10" t="str">
        <f t="shared" si="5"/>
        <v>да</v>
      </c>
      <c r="BB78" s="9"/>
      <c r="BC78" s="11"/>
      <c r="BD78" s="12" t="str">
        <f t="shared" si="6"/>
        <v>#DIV/0!</v>
      </c>
      <c r="BE78" s="12">
        <f t="shared" si="7"/>
        <v>1</v>
      </c>
      <c r="BF78" s="12">
        <f t="shared" si="8"/>
        <v>5</v>
      </c>
      <c r="BG78" s="15" t="s">
        <v>154</v>
      </c>
      <c r="BH78" s="15" t="s">
        <v>308</v>
      </c>
      <c r="BI78" s="15" t="s">
        <v>154</v>
      </c>
      <c r="BJ78" s="15" t="s">
        <v>285</v>
      </c>
      <c r="BK78" s="15" t="s">
        <v>150</v>
      </c>
      <c r="BL78" s="9"/>
      <c r="BM78" s="15" t="s">
        <v>154</v>
      </c>
      <c r="BN78" s="15" t="s">
        <v>155</v>
      </c>
      <c r="BO78" s="15" t="s">
        <v>150</v>
      </c>
      <c r="BP78" s="9"/>
      <c r="BQ78" s="9"/>
      <c r="BR78" s="15" t="s">
        <v>154</v>
      </c>
      <c r="BS78" s="15" t="s">
        <v>170</v>
      </c>
      <c r="BT78" s="15">
        <v>12.0</v>
      </c>
      <c r="BU78" s="1" t="s">
        <v>157</v>
      </c>
      <c r="BV78" s="7">
        <v>16.0</v>
      </c>
      <c r="BW78" s="1" t="s">
        <v>154</v>
      </c>
      <c r="BX78" s="10" t="s">
        <v>154</v>
      </c>
      <c r="BY78" s="1" t="s">
        <v>275</v>
      </c>
      <c r="BZ78" s="29" t="s">
        <v>158</v>
      </c>
      <c r="CA78" s="1" t="s">
        <v>176</v>
      </c>
      <c r="CB78" s="1" t="s">
        <v>150</v>
      </c>
      <c r="CC78" s="1" t="s">
        <v>150</v>
      </c>
      <c r="CD78" s="9"/>
      <c r="CE78" s="1" t="s">
        <v>150</v>
      </c>
      <c r="CF78" s="1" t="s">
        <v>150</v>
      </c>
      <c r="CG78" s="1" t="s">
        <v>154</v>
      </c>
      <c r="CH78" s="1" t="s">
        <v>150</v>
      </c>
      <c r="CI78" s="1" t="s">
        <v>150</v>
      </c>
      <c r="CJ78" s="1" t="s">
        <v>150</v>
      </c>
      <c r="CK78" s="1" t="s">
        <v>150</v>
      </c>
      <c r="CL78" s="9"/>
      <c r="CM78" s="7">
        <v>7.7</v>
      </c>
      <c r="CN78" s="7">
        <v>81.0</v>
      </c>
      <c r="CO78" s="7">
        <f t="shared" si="9"/>
        <v>6.237</v>
      </c>
      <c r="CP78" s="7">
        <v>16.6</v>
      </c>
      <c r="CQ78" s="7">
        <f t="shared" si="10"/>
        <v>1.035342</v>
      </c>
      <c r="CR78" s="7">
        <v>2.0</v>
      </c>
      <c r="CS78" s="7">
        <f t="shared" si="11"/>
        <v>0.02070684</v>
      </c>
      <c r="CT78" s="7">
        <v>0.0</v>
      </c>
      <c r="CU78" s="7">
        <f t="shared" si="12"/>
        <v>0</v>
      </c>
      <c r="CV78" s="7">
        <f t="shared" si="13"/>
        <v>6.024096386</v>
      </c>
      <c r="CW78" s="7">
        <v>5.45</v>
      </c>
      <c r="CX78" s="7">
        <v>160.0</v>
      </c>
      <c r="CY78" s="7" t="str">
        <f t="shared" si="14"/>
        <v>Норма</v>
      </c>
      <c r="CZ78" s="9"/>
      <c r="DA78" s="7">
        <v>127.0</v>
      </c>
      <c r="DB78" s="7">
        <v>147.7</v>
      </c>
      <c r="DC78" s="7">
        <v>15.3</v>
      </c>
      <c r="DD78" s="7">
        <v>74.9</v>
      </c>
      <c r="DE78" s="7"/>
      <c r="DF78" s="7">
        <v>20.0</v>
      </c>
      <c r="DG78" s="7"/>
      <c r="DH78" s="7">
        <v>4.6</v>
      </c>
      <c r="DI78" s="7"/>
      <c r="DJ78" s="7">
        <v>0.1</v>
      </c>
      <c r="DK78" s="7"/>
      <c r="DL78" s="7"/>
      <c r="DM78" s="7">
        <v>4.91</v>
      </c>
      <c r="DN78" s="7">
        <v>142.0</v>
      </c>
      <c r="DO78" s="7" t="str">
        <f t="shared" si="15"/>
        <v>Норма</v>
      </c>
      <c r="DP78" s="9"/>
      <c r="DQ78" s="7">
        <v>188.0</v>
      </c>
      <c r="DR78" s="7">
        <v>0.0</v>
      </c>
      <c r="DS78" s="13">
        <v>500.0</v>
      </c>
      <c r="DT78" s="9"/>
      <c r="DU78" s="7">
        <v>13.8</v>
      </c>
      <c r="DV78" s="7">
        <v>1.17</v>
      </c>
      <c r="DW78" s="1" t="s">
        <v>241</v>
      </c>
      <c r="DX78" s="9"/>
      <c r="DY78" s="9"/>
      <c r="DZ78" s="7">
        <v>11.8</v>
      </c>
      <c r="EA78" s="7">
        <v>1.01</v>
      </c>
      <c r="EB78" s="7"/>
      <c r="EC78" s="7">
        <v>10.2</v>
      </c>
      <c r="ED78" s="7">
        <v>10.3</v>
      </c>
      <c r="EE78" s="7">
        <v>33.6</v>
      </c>
      <c r="EF78" s="7">
        <v>21.8</v>
      </c>
      <c r="EG78" s="7">
        <v>70.5</v>
      </c>
      <c r="EH78" s="7">
        <v>10.2</v>
      </c>
      <c r="EI78" s="7">
        <v>3.7</v>
      </c>
      <c r="EJ78" s="7">
        <v>84.69</v>
      </c>
      <c r="EK78" s="14">
        <f t="shared" si="16"/>
        <v>65.58791888</v>
      </c>
      <c r="EL78" s="11" t="str">
        <f t="shared" si="17"/>
        <v>C2</v>
      </c>
      <c r="EM78" s="7">
        <v>136.0</v>
      </c>
      <c r="EN78" s="7">
        <v>3.71</v>
      </c>
      <c r="EO78" s="7">
        <v>34.8</v>
      </c>
      <c r="EP78" s="7">
        <v>22.7</v>
      </c>
      <c r="EQ78" s="7">
        <v>65.6</v>
      </c>
      <c r="ER78" s="7">
        <v>17.2</v>
      </c>
      <c r="ES78" s="7">
        <v>4.4</v>
      </c>
      <c r="ET78" s="7">
        <v>90.0</v>
      </c>
      <c r="EU78" s="11">
        <f t="shared" si="18"/>
        <v>60.93877302</v>
      </c>
      <c r="EV78" s="11" t="str">
        <f t="shared" si="19"/>
        <v>C2</v>
      </c>
      <c r="EW78" s="7">
        <v>138.2</v>
      </c>
      <c r="EX78" s="7">
        <v>3.78</v>
      </c>
      <c r="EY78" s="9">
        <f t="shared" si="20"/>
        <v>0.3181059543</v>
      </c>
      <c r="EZ78" s="9">
        <f t="shared" si="21"/>
        <v>0.4211374105</v>
      </c>
      <c r="FA78" s="9" t="str">
        <f t="shared" si="22"/>
        <v>Благоприятный</v>
      </c>
      <c r="FB78" s="1" t="s">
        <v>150</v>
      </c>
      <c r="FC78" s="1" t="s">
        <v>148</v>
      </c>
    </row>
    <row r="79">
      <c r="A79" s="7">
        <v>78.0</v>
      </c>
      <c r="B79" s="21">
        <v>37.0</v>
      </c>
      <c r="C79" s="25">
        <v>4496.0</v>
      </c>
      <c r="D79" s="1" t="s">
        <v>148</v>
      </c>
      <c r="E79" s="7">
        <v>53.0</v>
      </c>
      <c r="F79" s="1" t="s">
        <v>149</v>
      </c>
      <c r="G79" s="7"/>
      <c r="H79" s="7">
        <v>25.0</v>
      </c>
      <c r="I79" s="1" t="s">
        <v>150</v>
      </c>
      <c r="J79" s="1" t="s">
        <v>150</v>
      </c>
      <c r="K79" s="9"/>
      <c r="L79" s="1" t="s">
        <v>150</v>
      </c>
      <c r="M79" s="1" t="s">
        <v>150</v>
      </c>
      <c r="N79" s="9"/>
      <c r="O79" s="1" t="str">
        <f t="shared" si="1"/>
        <v>да</v>
      </c>
      <c r="P79" s="1" t="s">
        <v>150</v>
      </c>
      <c r="Q79" s="1" t="s">
        <v>154</v>
      </c>
      <c r="R79" s="7">
        <v>2.0</v>
      </c>
      <c r="S79" s="1" t="s">
        <v>150</v>
      </c>
      <c r="T79" s="9"/>
      <c r="U79" s="9"/>
      <c r="V79" s="9"/>
      <c r="W79" s="9"/>
      <c r="X79" s="9"/>
      <c r="Y79" s="1" t="s">
        <v>150</v>
      </c>
      <c r="Z79" s="9"/>
      <c r="AA79" s="9"/>
      <c r="AB79" s="9"/>
      <c r="AC79" s="9"/>
      <c r="AD79" s="26" t="s">
        <v>309</v>
      </c>
      <c r="AE79" s="1" t="s">
        <v>150</v>
      </c>
      <c r="AF79" s="7">
        <v>0.0</v>
      </c>
      <c r="AG79" s="27" t="s">
        <v>162</v>
      </c>
      <c r="AH79" s="27" t="s">
        <v>152</v>
      </c>
      <c r="AI79" s="1" t="s">
        <v>168</v>
      </c>
      <c r="AJ79" s="9"/>
      <c r="AK79" s="1" t="s">
        <v>5</v>
      </c>
      <c r="AL79" s="1" t="s">
        <v>150</v>
      </c>
      <c r="AM79" s="9"/>
      <c r="AN79" s="1">
        <v>15.0</v>
      </c>
      <c r="AO79" s="1" t="str">
        <f t="shared" si="2"/>
        <v>нет</v>
      </c>
      <c r="AP79" s="7">
        <v>180.0</v>
      </c>
      <c r="AQ79" s="7">
        <v>96.0</v>
      </c>
      <c r="AR79" s="9">
        <f t="shared" si="3"/>
        <v>29.62962963</v>
      </c>
      <c r="AS79" s="7" t="str">
        <f t="shared" si="4"/>
        <v>Избыточный вес (предожирение)</v>
      </c>
      <c r="AT79" s="7">
        <v>160.0</v>
      </c>
      <c r="AU79" s="7">
        <v>110.0</v>
      </c>
      <c r="AV79" s="3">
        <v>127.0</v>
      </c>
      <c r="AW79" s="7">
        <v>96.0</v>
      </c>
      <c r="AX79" s="7">
        <v>37.6</v>
      </c>
      <c r="AY79" s="7">
        <v>20.0</v>
      </c>
      <c r="AZ79" s="7">
        <v>91.0</v>
      </c>
      <c r="BA79" s="10" t="str">
        <f t="shared" si="5"/>
        <v>да</v>
      </c>
      <c r="BB79" s="9"/>
      <c r="BC79" s="11"/>
      <c r="BD79" s="12" t="str">
        <f t="shared" si="6"/>
        <v>#DIV/0!</v>
      </c>
      <c r="BE79" s="12">
        <f t="shared" si="7"/>
        <v>0</v>
      </c>
      <c r="BF79" s="12">
        <f t="shared" si="8"/>
        <v>4</v>
      </c>
      <c r="BG79" s="15" t="s">
        <v>150</v>
      </c>
      <c r="BH79" s="9"/>
      <c r="BI79" s="1" t="s">
        <v>154</v>
      </c>
      <c r="BJ79" s="1" t="s">
        <v>285</v>
      </c>
      <c r="BK79" s="1" t="s">
        <v>150</v>
      </c>
      <c r="BL79" s="9"/>
      <c r="BM79" s="1" t="s">
        <v>154</v>
      </c>
      <c r="BN79" s="1" t="s">
        <v>155</v>
      </c>
      <c r="BO79" s="1" t="s">
        <v>154</v>
      </c>
      <c r="BP79" s="1" t="s">
        <v>157</v>
      </c>
      <c r="BQ79" s="9"/>
      <c r="BR79" s="1" t="s">
        <v>154</v>
      </c>
      <c r="BS79" s="1" t="s">
        <v>170</v>
      </c>
      <c r="BT79" s="30"/>
      <c r="BU79" s="1" t="s">
        <v>207</v>
      </c>
      <c r="BV79" s="7">
        <v>16.0</v>
      </c>
      <c r="BW79" s="1" t="s">
        <v>150</v>
      </c>
      <c r="BX79" s="10" t="s">
        <v>154</v>
      </c>
      <c r="BY79" s="1" t="s">
        <v>173</v>
      </c>
      <c r="BZ79" s="29" t="s">
        <v>158</v>
      </c>
      <c r="CA79" s="9"/>
      <c r="CB79" s="1" t="s">
        <v>150</v>
      </c>
      <c r="CC79" s="1" t="s">
        <v>150</v>
      </c>
      <c r="CD79" s="9"/>
      <c r="CE79" s="1" t="s">
        <v>150</v>
      </c>
      <c r="CF79" s="1" t="s">
        <v>150</v>
      </c>
      <c r="CG79" s="1" t="s">
        <v>150</v>
      </c>
      <c r="CH79" s="1" t="s">
        <v>150</v>
      </c>
      <c r="CI79" s="1" t="s">
        <v>150</v>
      </c>
      <c r="CJ79" s="1" t="s">
        <v>150</v>
      </c>
      <c r="CK79" s="1" t="s">
        <v>150</v>
      </c>
      <c r="CL79" s="9"/>
      <c r="CM79" s="7">
        <v>9.4</v>
      </c>
      <c r="CN79" s="7">
        <v>88.7</v>
      </c>
      <c r="CO79" s="7">
        <v>0.0</v>
      </c>
      <c r="CP79" s="7">
        <v>5.9</v>
      </c>
      <c r="CQ79" s="7">
        <f t="shared" si="10"/>
        <v>0</v>
      </c>
      <c r="CR79" s="7">
        <v>5.2</v>
      </c>
      <c r="CS79" s="7">
        <f t="shared" si="11"/>
        <v>0</v>
      </c>
      <c r="CT79" s="7">
        <v>0.0</v>
      </c>
      <c r="CU79" s="7">
        <f t="shared" si="12"/>
        <v>0</v>
      </c>
      <c r="CV79" s="7" t="str">
        <f t="shared" si="13"/>
        <v>#DIV/0!</v>
      </c>
      <c r="CW79" s="7">
        <v>5.28</v>
      </c>
      <c r="CX79" s="7">
        <v>156.0</v>
      </c>
      <c r="CY79" s="7" t="str">
        <f t="shared" si="14"/>
        <v>Норма</v>
      </c>
      <c r="CZ79" s="9"/>
      <c r="DA79" s="7">
        <v>168.0</v>
      </c>
      <c r="DB79" s="7">
        <v>38.9</v>
      </c>
      <c r="DC79" s="7">
        <v>15.3</v>
      </c>
      <c r="DD79" s="7">
        <v>88.8</v>
      </c>
      <c r="DE79" s="7"/>
      <c r="DF79" s="7">
        <v>5.7</v>
      </c>
      <c r="DG79" s="7"/>
      <c r="DH79" s="7">
        <v>5.1</v>
      </c>
      <c r="DI79" s="7"/>
      <c r="DJ79" s="7">
        <v>0.3</v>
      </c>
      <c r="DK79" s="7"/>
      <c r="DL79" s="7"/>
      <c r="DM79" s="7">
        <v>4.44</v>
      </c>
      <c r="DN79" s="7">
        <v>127.0</v>
      </c>
      <c r="DO79" s="7" t="str">
        <f t="shared" si="15"/>
        <v>Легкая степень</v>
      </c>
      <c r="DP79" s="9"/>
      <c r="DQ79" s="7">
        <v>152.0</v>
      </c>
      <c r="DR79" s="7">
        <v>1.7</v>
      </c>
      <c r="DS79" s="13">
        <v>680.0</v>
      </c>
      <c r="DT79" s="9"/>
      <c r="DU79" s="7">
        <v>15.5</v>
      </c>
      <c r="DV79" s="7">
        <v>1.3</v>
      </c>
      <c r="DW79" s="1" t="s">
        <v>241</v>
      </c>
      <c r="DX79" s="9"/>
      <c r="DY79" s="9"/>
      <c r="DZ79" s="9"/>
      <c r="EA79" s="7">
        <v>0.95</v>
      </c>
      <c r="EB79" s="7"/>
      <c r="EC79" s="7">
        <v>6.19</v>
      </c>
      <c r="ED79" s="7">
        <v>6.49</v>
      </c>
      <c r="EE79" s="7">
        <v>41.7</v>
      </c>
      <c r="EF79" s="7">
        <v>83.7</v>
      </c>
      <c r="EG79" s="7">
        <v>81.8</v>
      </c>
      <c r="EH79" s="7">
        <v>10.1</v>
      </c>
      <c r="EI79" s="7">
        <v>3.6</v>
      </c>
      <c r="EJ79" s="7">
        <v>150.0</v>
      </c>
      <c r="EK79" s="14">
        <f t="shared" si="16"/>
        <v>34.03551488</v>
      </c>
      <c r="EL79" s="11" t="str">
        <f t="shared" si="17"/>
        <v>C3b</v>
      </c>
      <c r="EM79" s="7">
        <v>125.6</v>
      </c>
      <c r="EN79" s="7">
        <v>3.9</v>
      </c>
      <c r="EO79" s="7">
        <v>114.8</v>
      </c>
      <c r="EP79" s="7">
        <v>18.9</v>
      </c>
      <c r="EQ79" s="7">
        <v>61.9</v>
      </c>
      <c r="ER79" s="7">
        <v>10.7</v>
      </c>
      <c r="ES79" s="7">
        <v>4.1</v>
      </c>
      <c r="ET79" s="7">
        <v>84.0</v>
      </c>
      <c r="EU79" s="11">
        <f t="shared" si="18"/>
        <v>68.60772209</v>
      </c>
      <c r="EV79" s="11" t="str">
        <f t="shared" si="19"/>
        <v>C2</v>
      </c>
      <c r="EW79" s="7">
        <v>137.0</v>
      </c>
      <c r="EX79" s="7">
        <v>3.8</v>
      </c>
      <c r="EY79" s="9">
        <f t="shared" si="20"/>
        <v>0.1509885185</v>
      </c>
      <c r="EZ79" s="9">
        <f t="shared" si="21"/>
        <v>0.462324419</v>
      </c>
      <c r="FA79" s="9" t="str">
        <f t="shared" si="22"/>
        <v>Благоприятный</v>
      </c>
      <c r="FB79" s="1" t="s">
        <v>150</v>
      </c>
      <c r="FC79" s="1" t="s">
        <v>148</v>
      </c>
    </row>
    <row r="80">
      <c r="A80" s="7">
        <v>79.0</v>
      </c>
      <c r="B80" s="21">
        <v>38.0</v>
      </c>
      <c r="C80" s="25">
        <v>9280.0</v>
      </c>
      <c r="D80" s="1" t="s">
        <v>148</v>
      </c>
      <c r="E80" s="7">
        <v>74.0</v>
      </c>
      <c r="F80" s="1" t="s">
        <v>161</v>
      </c>
      <c r="G80" s="7"/>
      <c r="H80" s="7">
        <v>18.0</v>
      </c>
      <c r="I80" s="1" t="s">
        <v>150</v>
      </c>
      <c r="J80" s="1" t="s">
        <v>154</v>
      </c>
      <c r="K80" s="1" t="s">
        <v>310</v>
      </c>
      <c r="L80" s="1" t="s">
        <v>150</v>
      </c>
      <c r="M80" s="1" t="s">
        <v>150</v>
      </c>
      <c r="N80" s="9"/>
      <c r="O80" s="1" t="str">
        <f t="shared" si="1"/>
        <v>нет</v>
      </c>
      <c r="P80" s="1" t="s">
        <v>150</v>
      </c>
      <c r="Q80" s="1" t="s">
        <v>154</v>
      </c>
      <c r="R80" s="7">
        <v>3.0</v>
      </c>
      <c r="S80" s="1" t="s">
        <v>154</v>
      </c>
      <c r="T80" s="1" t="s">
        <v>300</v>
      </c>
      <c r="U80" s="7"/>
      <c r="V80" s="7">
        <v>2.0</v>
      </c>
      <c r="W80" s="7">
        <v>2.0</v>
      </c>
      <c r="X80" s="9"/>
      <c r="Y80" s="1" t="s">
        <v>154</v>
      </c>
      <c r="Z80" s="7">
        <v>1.0</v>
      </c>
      <c r="AA80" s="9"/>
      <c r="AB80" s="9"/>
      <c r="AC80" s="9"/>
      <c r="AD80" s="26" t="s">
        <v>311</v>
      </c>
      <c r="AE80" s="1" t="s">
        <v>154</v>
      </c>
      <c r="AF80" s="7">
        <v>17.0</v>
      </c>
      <c r="AG80" s="27" t="s">
        <v>162</v>
      </c>
      <c r="AH80" s="27" t="s">
        <v>152</v>
      </c>
      <c r="AI80" s="1" t="s">
        <v>168</v>
      </c>
      <c r="AJ80" s="9"/>
      <c r="AK80" s="1" t="s">
        <v>5</v>
      </c>
      <c r="AL80" s="1" t="s">
        <v>150</v>
      </c>
      <c r="AM80" s="9"/>
      <c r="AN80" s="1">
        <v>15.0</v>
      </c>
      <c r="AO80" s="1" t="str">
        <f t="shared" si="2"/>
        <v>нет</v>
      </c>
      <c r="AP80" s="7">
        <v>170.0</v>
      </c>
      <c r="AQ80" s="7">
        <v>70.0</v>
      </c>
      <c r="AR80" s="9">
        <f t="shared" si="3"/>
        <v>24.22145329</v>
      </c>
      <c r="AS80" s="7" t="str">
        <f t="shared" si="4"/>
        <v>Нормальный вес</v>
      </c>
      <c r="AT80" s="7">
        <v>140.0</v>
      </c>
      <c r="AU80" s="7">
        <v>80.0</v>
      </c>
      <c r="AV80" s="3">
        <v>100.0</v>
      </c>
      <c r="AW80" s="7">
        <v>100.0</v>
      </c>
      <c r="AX80" s="7">
        <v>37.0</v>
      </c>
      <c r="AY80" s="7">
        <v>26.0</v>
      </c>
      <c r="AZ80" s="7">
        <v>76.0</v>
      </c>
      <c r="BA80" s="10" t="str">
        <f t="shared" si="5"/>
        <v>да</v>
      </c>
      <c r="BB80" s="7">
        <v>92.0</v>
      </c>
      <c r="BC80" s="11"/>
      <c r="BD80" s="12" t="str">
        <f t="shared" si="6"/>
        <v>#DIV/0!</v>
      </c>
      <c r="BE80" s="12">
        <f t="shared" si="7"/>
        <v>1</v>
      </c>
      <c r="BF80" s="12">
        <f t="shared" si="8"/>
        <v>7</v>
      </c>
      <c r="BG80" s="15" t="s">
        <v>150</v>
      </c>
      <c r="BH80" s="9"/>
      <c r="BI80" s="30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30"/>
      <c r="BU80" s="9"/>
      <c r="BV80" s="9"/>
      <c r="BW80" s="1" t="s">
        <v>150</v>
      </c>
      <c r="BX80" s="10" t="s">
        <v>154</v>
      </c>
      <c r="BY80" s="1" t="s">
        <v>258</v>
      </c>
      <c r="BZ80" s="29" t="s">
        <v>158</v>
      </c>
      <c r="CA80" s="9"/>
      <c r="CB80" s="1" t="s">
        <v>150</v>
      </c>
      <c r="CC80" s="1" t="s">
        <v>150</v>
      </c>
      <c r="CD80" s="9"/>
      <c r="CE80" s="1" t="s">
        <v>150</v>
      </c>
      <c r="CF80" s="1" t="s">
        <v>150</v>
      </c>
      <c r="CG80" s="1" t="s">
        <v>150</v>
      </c>
      <c r="CH80" s="1" t="s">
        <v>150</v>
      </c>
      <c r="CI80" s="1" t="s">
        <v>150</v>
      </c>
      <c r="CJ80" s="1" t="s">
        <v>150</v>
      </c>
      <c r="CK80" s="1" t="s">
        <v>154</v>
      </c>
      <c r="CL80" s="9"/>
      <c r="CM80" s="7">
        <v>4.1</v>
      </c>
      <c r="CN80" s="7">
        <v>74.0</v>
      </c>
      <c r="CO80" s="7">
        <f t="shared" ref="CO80:CO225" si="23">CM80*CN80/100</f>
        <v>3.034</v>
      </c>
      <c r="CP80" s="7">
        <v>11.0</v>
      </c>
      <c r="CQ80" s="7">
        <f t="shared" si="10"/>
        <v>0.33374</v>
      </c>
      <c r="CR80" s="7">
        <v>14.5</v>
      </c>
      <c r="CS80" s="7">
        <f t="shared" si="11"/>
        <v>0.0483923</v>
      </c>
      <c r="CT80" s="7">
        <v>0.3</v>
      </c>
      <c r="CU80" s="7">
        <f t="shared" si="12"/>
        <v>0.0001451769</v>
      </c>
      <c r="CV80" s="7">
        <f t="shared" si="13"/>
        <v>9.090909091</v>
      </c>
      <c r="CW80" s="7">
        <v>2.62</v>
      </c>
      <c r="CX80" s="7">
        <v>67.0</v>
      </c>
      <c r="CY80" s="7" t="str">
        <f t="shared" si="14"/>
        <v>Тяжелая степень</v>
      </c>
      <c r="CZ80" s="9"/>
      <c r="DA80" s="7">
        <v>260.0</v>
      </c>
      <c r="DB80" s="7">
        <v>114.6</v>
      </c>
      <c r="DC80" s="7">
        <v>9.0</v>
      </c>
      <c r="DD80" s="7">
        <v>86.1</v>
      </c>
      <c r="DE80" s="7"/>
      <c r="DF80" s="7">
        <v>6.0</v>
      </c>
      <c r="DG80" s="7"/>
      <c r="DH80" s="7">
        <v>7.2</v>
      </c>
      <c r="DI80" s="7"/>
      <c r="DJ80" s="7">
        <v>0.5</v>
      </c>
      <c r="DK80" s="7"/>
      <c r="DL80" s="7"/>
      <c r="DM80" s="7">
        <v>3.22</v>
      </c>
      <c r="DN80" s="7">
        <v>86.0</v>
      </c>
      <c r="DO80" s="7" t="str">
        <f t="shared" si="15"/>
        <v>Средняя степень</v>
      </c>
      <c r="DP80" s="9"/>
      <c r="DQ80" s="7">
        <v>152.0</v>
      </c>
      <c r="DR80" s="7">
        <v>8.3</v>
      </c>
      <c r="DS80" s="13">
        <v>670.0</v>
      </c>
      <c r="DT80" s="9"/>
      <c r="DU80" s="7">
        <v>13.8</v>
      </c>
      <c r="DV80" s="7">
        <v>1.18</v>
      </c>
      <c r="DW80" s="1" t="s">
        <v>241</v>
      </c>
      <c r="DX80" s="9"/>
      <c r="DY80" s="9"/>
      <c r="DZ80" s="7">
        <v>11.5</v>
      </c>
      <c r="EA80" s="7">
        <v>0.98</v>
      </c>
      <c r="EB80" s="7"/>
      <c r="EC80" s="7">
        <v>9.37</v>
      </c>
      <c r="ED80" s="7">
        <v>4.47</v>
      </c>
      <c r="EE80" s="7">
        <v>40.9</v>
      </c>
      <c r="EF80" s="7">
        <v>54.8</v>
      </c>
      <c r="EG80" s="7">
        <v>62.6</v>
      </c>
      <c r="EH80" s="7">
        <v>8.5</v>
      </c>
      <c r="EI80" s="7">
        <v>3.5</v>
      </c>
      <c r="EJ80" s="7">
        <v>100.0</v>
      </c>
      <c r="EK80" s="14">
        <f t="shared" si="16"/>
        <v>47.94693779</v>
      </c>
      <c r="EL80" s="11" t="str">
        <f t="shared" si="17"/>
        <v>C3a</v>
      </c>
      <c r="EM80" s="7">
        <v>131.1</v>
      </c>
      <c r="EN80" s="7">
        <v>3.57</v>
      </c>
      <c r="EO80" s="7">
        <v>49.2</v>
      </c>
      <c r="EP80" s="7">
        <v>35.0</v>
      </c>
      <c r="EQ80" s="7">
        <v>49.3</v>
      </c>
      <c r="ER80" s="7">
        <v>3.7</v>
      </c>
      <c r="ES80" s="7">
        <v>2.8</v>
      </c>
      <c r="ET80" s="7">
        <v>74.0</v>
      </c>
      <c r="EU80" s="11">
        <f t="shared" si="18"/>
        <v>69.00168978</v>
      </c>
      <c r="EV80" s="11" t="str">
        <f t="shared" si="19"/>
        <v>C2</v>
      </c>
      <c r="EW80" s="7">
        <v>136.6</v>
      </c>
      <c r="EX80" s="7">
        <v>4.24</v>
      </c>
      <c r="EY80" s="9">
        <f t="shared" si="20"/>
        <v>-0.5850007612</v>
      </c>
      <c r="EZ80" s="9">
        <f t="shared" si="21"/>
        <v>0.6422172679</v>
      </c>
      <c r="FA80" s="9" t="str">
        <f t="shared" si="22"/>
        <v>Неблагоприятный</v>
      </c>
      <c r="FB80" s="1" t="s">
        <v>256</v>
      </c>
      <c r="FC80" s="1" t="s">
        <v>148</v>
      </c>
    </row>
    <row r="81">
      <c r="A81" s="7">
        <v>80.0</v>
      </c>
      <c r="B81" s="21">
        <v>39.0</v>
      </c>
      <c r="C81" s="25">
        <v>9300.0</v>
      </c>
      <c r="D81" s="1" t="s">
        <v>148</v>
      </c>
      <c r="E81" s="7">
        <v>67.0</v>
      </c>
      <c r="F81" s="1" t="s">
        <v>161</v>
      </c>
      <c r="G81" s="7"/>
      <c r="H81" s="7">
        <v>58.0</v>
      </c>
      <c r="I81" s="1" t="s">
        <v>150</v>
      </c>
      <c r="J81" s="1" t="s">
        <v>150</v>
      </c>
      <c r="K81" s="9"/>
      <c r="L81" s="1" t="s">
        <v>150</v>
      </c>
      <c r="M81" s="1" t="s">
        <v>154</v>
      </c>
      <c r="N81" s="1" t="s">
        <v>192</v>
      </c>
      <c r="O81" s="1" t="str">
        <f t="shared" si="1"/>
        <v>нет</v>
      </c>
      <c r="P81" s="1" t="s">
        <v>150</v>
      </c>
      <c r="Q81" s="1" t="s">
        <v>150</v>
      </c>
      <c r="R81" s="9"/>
      <c r="S81" s="1" t="s">
        <v>150</v>
      </c>
      <c r="T81" s="9"/>
      <c r="U81" s="9"/>
      <c r="V81" s="9"/>
      <c r="W81" s="9"/>
      <c r="X81" s="9"/>
      <c r="Y81" s="1" t="s">
        <v>150</v>
      </c>
      <c r="Z81" s="9"/>
      <c r="AA81" s="9"/>
      <c r="AB81" s="9"/>
      <c r="AC81" s="9"/>
      <c r="AD81" s="26"/>
      <c r="AE81" s="1" t="s">
        <v>150</v>
      </c>
      <c r="AF81" s="7">
        <v>0.0</v>
      </c>
      <c r="AG81" s="27" t="s">
        <v>162</v>
      </c>
      <c r="AH81" s="27" t="s">
        <v>152</v>
      </c>
      <c r="AI81" s="1" t="s">
        <v>168</v>
      </c>
      <c r="AJ81" s="7">
        <v>2.0</v>
      </c>
      <c r="AK81" s="1" t="s">
        <v>5</v>
      </c>
      <c r="AL81" s="1" t="s">
        <v>150</v>
      </c>
      <c r="AM81" s="9"/>
      <c r="AN81" s="1">
        <v>15.0</v>
      </c>
      <c r="AO81" s="1" t="str">
        <f t="shared" si="2"/>
        <v>нет</v>
      </c>
      <c r="AP81" s="7">
        <v>165.0</v>
      </c>
      <c r="AQ81" s="7">
        <v>90.0</v>
      </c>
      <c r="AR81" s="9">
        <f t="shared" si="3"/>
        <v>33.05785124</v>
      </c>
      <c r="AS81" s="7" t="str">
        <f t="shared" si="4"/>
        <v>Ожирение I степени</v>
      </c>
      <c r="AT81" s="7">
        <v>130.0</v>
      </c>
      <c r="AU81" s="7">
        <v>80.0</v>
      </c>
      <c r="AV81" s="3">
        <v>97.0</v>
      </c>
      <c r="AW81" s="7">
        <v>102.0</v>
      </c>
      <c r="AX81" s="7">
        <v>37.0</v>
      </c>
      <c r="AY81" s="7">
        <v>22.0</v>
      </c>
      <c r="AZ81" s="7">
        <v>86.0</v>
      </c>
      <c r="BA81" s="10" t="str">
        <f t="shared" si="5"/>
        <v>да</v>
      </c>
      <c r="BB81" s="7">
        <v>93.0</v>
      </c>
      <c r="BC81" s="11"/>
      <c r="BD81" s="12" t="str">
        <f t="shared" si="6"/>
        <v>#DIV/0!</v>
      </c>
      <c r="BE81" s="12">
        <f t="shared" si="7"/>
        <v>1</v>
      </c>
      <c r="BF81" s="12">
        <f t="shared" si="8"/>
        <v>6</v>
      </c>
      <c r="BG81" s="15" t="s">
        <v>150</v>
      </c>
      <c r="BH81" s="9"/>
      <c r="BI81" s="1" t="s">
        <v>154</v>
      </c>
      <c r="BJ81" s="1" t="s">
        <v>285</v>
      </c>
      <c r="BK81" s="1" t="s">
        <v>150</v>
      </c>
      <c r="BL81" s="9"/>
      <c r="BM81" s="1" t="s">
        <v>154</v>
      </c>
      <c r="BN81" s="1" t="s">
        <v>155</v>
      </c>
      <c r="BO81" s="1" t="s">
        <v>154</v>
      </c>
      <c r="BP81" s="1" t="s">
        <v>170</v>
      </c>
      <c r="BQ81" s="9"/>
      <c r="BR81" s="1" t="s">
        <v>154</v>
      </c>
      <c r="BS81" s="1" t="s">
        <v>306</v>
      </c>
      <c r="BT81" s="30"/>
      <c r="BU81" s="1" t="s">
        <v>207</v>
      </c>
      <c r="BV81" s="7">
        <v>16.0</v>
      </c>
      <c r="BW81" s="1" t="s">
        <v>154</v>
      </c>
      <c r="BX81" s="10" t="s">
        <v>154</v>
      </c>
      <c r="BY81" s="1" t="s">
        <v>258</v>
      </c>
      <c r="BZ81" s="29" t="s">
        <v>158</v>
      </c>
      <c r="CA81" s="9"/>
      <c r="CB81" s="1" t="s">
        <v>150</v>
      </c>
      <c r="CC81" s="1" t="s">
        <v>150</v>
      </c>
      <c r="CD81" s="9"/>
      <c r="CE81" s="1" t="s">
        <v>150</v>
      </c>
      <c r="CF81" s="1" t="s">
        <v>150</v>
      </c>
      <c r="CG81" s="1" t="s">
        <v>154</v>
      </c>
      <c r="CH81" s="1" t="s">
        <v>150</v>
      </c>
      <c r="CI81" s="1" t="s">
        <v>150</v>
      </c>
      <c r="CJ81" s="1" t="s">
        <v>150</v>
      </c>
      <c r="CK81" s="1" t="s">
        <v>150</v>
      </c>
      <c r="CL81" s="1" t="s">
        <v>312</v>
      </c>
      <c r="CM81" s="7">
        <v>13.8</v>
      </c>
      <c r="CN81" s="7">
        <v>90.9</v>
      </c>
      <c r="CO81" s="7">
        <f t="shared" si="23"/>
        <v>12.5442</v>
      </c>
      <c r="CP81" s="7">
        <v>3.7</v>
      </c>
      <c r="CQ81" s="7">
        <f t="shared" si="10"/>
        <v>0.4641354</v>
      </c>
      <c r="CR81" s="7">
        <v>4.5</v>
      </c>
      <c r="CS81" s="7">
        <f t="shared" si="11"/>
        <v>0.020886093</v>
      </c>
      <c r="CT81" s="7">
        <v>0.1</v>
      </c>
      <c r="CU81" s="7">
        <f t="shared" si="12"/>
        <v>0.000020886093</v>
      </c>
      <c r="CV81" s="7">
        <f t="shared" si="13"/>
        <v>27.02702703</v>
      </c>
      <c r="CW81" s="7">
        <v>4.23</v>
      </c>
      <c r="CX81" s="7">
        <v>128.0</v>
      </c>
      <c r="CY81" s="7" t="str">
        <f t="shared" si="14"/>
        <v>Легкая степень</v>
      </c>
      <c r="CZ81" s="9"/>
      <c r="DA81" s="7">
        <v>255.0</v>
      </c>
      <c r="DB81" s="7">
        <v>302.8</v>
      </c>
      <c r="DC81" s="7">
        <v>8.07</v>
      </c>
      <c r="DD81" s="7">
        <v>47.5</v>
      </c>
      <c r="DE81" s="7"/>
      <c r="DF81" s="7">
        <v>42.4</v>
      </c>
      <c r="DG81" s="7"/>
      <c r="DH81" s="7">
        <v>8.7</v>
      </c>
      <c r="DI81" s="7"/>
      <c r="DJ81" s="7">
        <v>1.2</v>
      </c>
      <c r="DK81" s="7"/>
      <c r="DL81" s="7"/>
      <c r="DM81" s="7">
        <v>3.71</v>
      </c>
      <c r="DN81" s="7">
        <v>104.0</v>
      </c>
      <c r="DO81" s="7" t="str">
        <f t="shared" si="15"/>
        <v>Средняя степень</v>
      </c>
      <c r="DP81" s="9"/>
      <c r="DQ81" s="7">
        <v>226.0</v>
      </c>
      <c r="DR81" s="7">
        <v>8.0</v>
      </c>
      <c r="DS81" s="13">
        <v>581.0</v>
      </c>
      <c r="DT81" s="9"/>
      <c r="DU81" s="7">
        <v>11.2</v>
      </c>
      <c r="DV81" s="7">
        <v>0.95</v>
      </c>
      <c r="DW81" s="1" t="s">
        <v>241</v>
      </c>
      <c r="DX81" s="9"/>
      <c r="DY81" s="9"/>
      <c r="DZ81" s="7">
        <v>13.4</v>
      </c>
      <c r="EA81" s="7">
        <v>1.145</v>
      </c>
      <c r="EB81" s="7"/>
      <c r="EC81" s="7">
        <v>7.97</v>
      </c>
      <c r="ED81" s="7">
        <v>4.43</v>
      </c>
      <c r="EE81" s="7">
        <v>27.16</v>
      </c>
      <c r="EF81" s="7">
        <v>30.51</v>
      </c>
      <c r="EG81" s="7">
        <v>68.8</v>
      </c>
      <c r="EH81" s="7">
        <v>10.57</v>
      </c>
      <c r="EI81" s="7">
        <v>2.1</v>
      </c>
      <c r="EJ81" s="7">
        <v>68.2</v>
      </c>
      <c r="EK81" s="14">
        <f t="shared" si="16"/>
        <v>79.99647068</v>
      </c>
      <c r="EL81" s="11" t="str">
        <f t="shared" si="17"/>
        <v>C2</v>
      </c>
      <c r="EM81" s="7">
        <v>139.7</v>
      </c>
      <c r="EN81" s="7">
        <v>3.77</v>
      </c>
      <c r="EO81" s="7">
        <v>15.3</v>
      </c>
      <c r="EP81" s="7">
        <v>7.8</v>
      </c>
      <c r="EQ81" s="7">
        <v>52.5</v>
      </c>
      <c r="ER81" s="7">
        <v>10.8</v>
      </c>
      <c r="ES81" s="7">
        <v>4.1</v>
      </c>
      <c r="ET81" s="7">
        <v>53.0</v>
      </c>
      <c r="EU81" s="11">
        <f t="shared" si="18"/>
        <v>94.65457367</v>
      </c>
      <c r="EV81" s="11" t="str">
        <f t="shared" si="19"/>
        <v>C1</v>
      </c>
      <c r="EW81" s="7">
        <v>138.1</v>
      </c>
      <c r="EX81" s="7">
        <v>3.86</v>
      </c>
      <c r="EY81" s="9">
        <f t="shared" si="20"/>
        <v>-0.2624665207</v>
      </c>
      <c r="EZ81" s="9">
        <f t="shared" si="21"/>
        <v>0.5652425203</v>
      </c>
      <c r="FA81" s="9" t="str">
        <f t="shared" si="22"/>
        <v>Неблагоприятный</v>
      </c>
      <c r="FB81" s="1" t="s">
        <v>256</v>
      </c>
      <c r="FC81" s="1" t="s">
        <v>148</v>
      </c>
    </row>
    <row r="82">
      <c r="A82" s="7">
        <v>81.0</v>
      </c>
      <c r="B82" s="21">
        <v>40.0</v>
      </c>
      <c r="C82" s="25">
        <v>9859.0</v>
      </c>
      <c r="D82" s="1" t="s">
        <v>148</v>
      </c>
      <c r="E82" s="7">
        <v>34.0</v>
      </c>
      <c r="F82" s="1" t="s">
        <v>149</v>
      </c>
      <c r="G82" s="7"/>
      <c r="H82" s="7">
        <v>17.0</v>
      </c>
      <c r="I82" s="1" t="s">
        <v>150</v>
      </c>
      <c r="J82" s="1" t="s">
        <v>150</v>
      </c>
      <c r="K82" s="9"/>
      <c r="L82" s="1" t="s">
        <v>150</v>
      </c>
      <c r="M82" s="1" t="s">
        <v>150</v>
      </c>
      <c r="N82" s="9"/>
      <c r="O82" s="1" t="str">
        <f t="shared" si="1"/>
        <v>нет</v>
      </c>
      <c r="P82" s="1" t="s">
        <v>150</v>
      </c>
      <c r="Q82" s="1" t="s">
        <v>150</v>
      </c>
      <c r="R82" s="9"/>
      <c r="S82" s="1" t="s">
        <v>150</v>
      </c>
      <c r="T82" s="9"/>
      <c r="U82" s="9"/>
      <c r="V82" s="9"/>
      <c r="W82" s="9"/>
      <c r="X82" s="9"/>
      <c r="Y82" s="1" t="s">
        <v>150</v>
      </c>
      <c r="Z82" s="9"/>
      <c r="AA82" s="9"/>
      <c r="AB82" s="9"/>
      <c r="AC82" s="9"/>
      <c r="AD82" s="26"/>
      <c r="AE82" s="1" t="s">
        <v>150</v>
      </c>
      <c r="AF82" s="7">
        <v>0.0</v>
      </c>
      <c r="AG82" s="27" t="s">
        <v>162</v>
      </c>
      <c r="AH82" s="27" t="s">
        <v>152</v>
      </c>
      <c r="AI82" s="1" t="s">
        <v>168</v>
      </c>
      <c r="AJ82" s="9"/>
      <c r="AK82" s="1" t="s">
        <v>5</v>
      </c>
      <c r="AL82" s="1" t="s">
        <v>150</v>
      </c>
      <c r="AM82" s="9"/>
      <c r="AN82" s="1">
        <v>15.0</v>
      </c>
      <c r="AO82" s="1" t="str">
        <f t="shared" si="2"/>
        <v>нет</v>
      </c>
      <c r="AP82" s="7">
        <v>175.0</v>
      </c>
      <c r="AQ82" s="7">
        <v>85.0</v>
      </c>
      <c r="AR82" s="9">
        <f t="shared" si="3"/>
        <v>27.75510204</v>
      </c>
      <c r="AS82" s="7" t="str">
        <f t="shared" si="4"/>
        <v>Избыточный вес (предожирение)</v>
      </c>
      <c r="AT82" s="7">
        <v>130.0</v>
      </c>
      <c r="AU82" s="7">
        <v>90.0</v>
      </c>
      <c r="AV82" s="3">
        <v>103.0</v>
      </c>
      <c r="AW82" s="7">
        <v>90.0</v>
      </c>
      <c r="AX82" s="7">
        <v>39.0</v>
      </c>
      <c r="AY82" s="7">
        <v>24.0</v>
      </c>
      <c r="AZ82" s="7">
        <v>85.0</v>
      </c>
      <c r="BA82" s="10" t="str">
        <f t="shared" si="5"/>
        <v>да</v>
      </c>
      <c r="BB82" s="7">
        <v>96.0</v>
      </c>
      <c r="BC82" s="11"/>
      <c r="BD82" s="12" t="str">
        <f t="shared" si="6"/>
        <v>#DIV/0!</v>
      </c>
      <c r="BE82" s="12">
        <f t="shared" si="7"/>
        <v>1</v>
      </c>
      <c r="BF82" s="12">
        <f t="shared" si="8"/>
        <v>6</v>
      </c>
      <c r="BG82" s="15" t="s">
        <v>154</v>
      </c>
      <c r="BH82" s="15" t="s">
        <v>175</v>
      </c>
      <c r="BI82" s="15" t="s">
        <v>154</v>
      </c>
      <c r="BJ82" s="15" t="s">
        <v>296</v>
      </c>
      <c r="BK82" s="15" t="s">
        <v>150</v>
      </c>
      <c r="BL82" s="9"/>
      <c r="BM82" s="15" t="s">
        <v>154</v>
      </c>
      <c r="BN82" s="15" t="s">
        <v>155</v>
      </c>
      <c r="BO82" s="15" t="s">
        <v>154</v>
      </c>
      <c r="BP82" s="15" t="s">
        <v>283</v>
      </c>
      <c r="BQ82" s="9"/>
      <c r="BR82" s="15" t="s">
        <v>154</v>
      </c>
      <c r="BS82" s="15" t="s">
        <v>170</v>
      </c>
      <c r="BT82" s="28">
        <v>24.0</v>
      </c>
      <c r="BU82" s="15" t="s">
        <v>207</v>
      </c>
      <c r="BV82" s="7">
        <v>16.0</v>
      </c>
      <c r="BW82" s="15" t="s">
        <v>150</v>
      </c>
      <c r="BX82" s="10" t="s">
        <v>154</v>
      </c>
      <c r="BY82" s="1" t="s">
        <v>275</v>
      </c>
      <c r="BZ82" s="29" t="s">
        <v>158</v>
      </c>
      <c r="CA82" s="9"/>
      <c r="CB82" s="1" t="s">
        <v>150</v>
      </c>
      <c r="CC82" s="1" t="s">
        <v>150</v>
      </c>
      <c r="CD82" s="9"/>
      <c r="CE82" s="1" t="s">
        <v>150</v>
      </c>
      <c r="CF82" s="1" t="s">
        <v>150</v>
      </c>
      <c r="CG82" s="1" t="s">
        <v>154</v>
      </c>
      <c r="CH82" s="1" t="s">
        <v>150</v>
      </c>
      <c r="CI82" s="1" t="s">
        <v>150</v>
      </c>
      <c r="CJ82" s="1" t="s">
        <v>150</v>
      </c>
      <c r="CK82" s="1" t="s">
        <v>150</v>
      </c>
      <c r="CL82" s="9"/>
      <c r="CM82" s="7">
        <v>5.7</v>
      </c>
      <c r="CN82" s="7">
        <v>86.0</v>
      </c>
      <c r="CO82" s="7">
        <f t="shared" si="23"/>
        <v>4.902</v>
      </c>
      <c r="CP82" s="7">
        <v>9.3</v>
      </c>
      <c r="CQ82" s="7">
        <f t="shared" si="10"/>
        <v>0.455886</v>
      </c>
      <c r="CR82" s="7">
        <v>4.7</v>
      </c>
      <c r="CS82" s="7">
        <f t="shared" si="11"/>
        <v>0.021426642</v>
      </c>
      <c r="CT82" s="7">
        <v>0.0</v>
      </c>
      <c r="CU82" s="7">
        <f t="shared" si="12"/>
        <v>0</v>
      </c>
      <c r="CV82" s="7">
        <f t="shared" si="13"/>
        <v>10.75268817</v>
      </c>
      <c r="CW82" s="7">
        <v>5.09</v>
      </c>
      <c r="CX82" s="7">
        <v>147.0</v>
      </c>
      <c r="CY82" s="7" t="str">
        <f t="shared" si="14"/>
        <v>Норма</v>
      </c>
      <c r="CZ82" s="7">
        <v>5.0</v>
      </c>
      <c r="DA82" s="7">
        <v>152.0</v>
      </c>
      <c r="DB82" s="7">
        <v>74.0</v>
      </c>
      <c r="DC82" s="7">
        <v>19.5</v>
      </c>
      <c r="DD82" s="7">
        <v>80.0</v>
      </c>
      <c r="DE82" s="7"/>
      <c r="DF82" s="7">
        <v>9.9</v>
      </c>
      <c r="DG82" s="7"/>
      <c r="DH82" s="7">
        <v>9.1</v>
      </c>
      <c r="DI82" s="7"/>
      <c r="DJ82" s="7">
        <v>0.1</v>
      </c>
      <c r="DK82" s="7"/>
      <c r="DL82" s="7"/>
      <c r="DM82" s="7">
        <v>5.33</v>
      </c>
      <c r="DN82" s="7">
        <v>160.0</v>
      </c>
      <c r="DO82" s="7" t="str">
        <f t="shared" si="15"/>
        <v>Норма</v>
      </c>
      <c r="DP82" s="7">
        <v>3.0</v>
      </c>
      <c r="DQ82" s="7">
        <v>280.0</v>
      </c>
      <c r="DR82" s="7">
        <v>22.0</v>
      </c>
      <c r="DS82" s="13">
        <v>650.0</v>
      </c>
      <c r="DT82" s="7">
        <v>26.4</v>
      </c>
      <c r="DU82" s="7">
        <v>12.0</v>
      </c>
      <c r="DV82" s="7">
        <v>1.05</v>
      </c>
      <c r="DW82" s="1" t="s">
        <v>313</v>
      </c>
      <c r="DX82" s="9"/>
      <c r="DY82" s="7">
        <v>24.7</v>
      </c>
      <c r="DZ82" s="7">
        <v>11.7</v>
      </c>
      <c r="EA82" s="7">
        <v>1.0</v>
      </c>
      <c r="EB82" s="7"/>
      <c r="EC82" s="7">
        <v>8.8</v>
      </c>
      <c r="ED82" s="7">
        <v>7.7</v>
      </c>
      <c r="EE82" s="7">
        <v>30.0</v>
      </c>
      <c r="EF82" s="7">
        <v>59.0</v>
      </c>
      <c r="EG82" s="7">
        <v>73.0</v>
      </c>
      <c r="EH82" s="7">
        <v>6.06</v>
      </c>
      <c r="EI82" s="7">
        <v>1.05</v>
      </c>
      <c r="EJ82" s="7">
        <v>102.0</v>
      </c>
      <c r="EK82" s="14">
        <f t="shared" si="16"/>
        <v>62.00023391</v>
      </c>
      <c r="EL82" s="11" t="str">
        <f t="shared" si="17"/>
        <v>C2</v>
      </c>
      <c r="EM82" s="7">
        <v>132.4</v>
      </c>
      <c r="EN82" s="7">
        <v>3.46</v>
      </c>
      <c r="EO82" s="7">
        <v>74.0</v>
      </c>
      <c r="EP82" s="7">
        <v>33.0</v>
      </c>
      <c r="EQ82" s="7">
        <v>74.8</v>
      </c>
      <c r="ER82" s="7">
        <v>8.7</v>
      </c>
      <c r="ES82" s="7">
        <v>2.8</v>
      </c>
      <c r="ET82" s="7">
        <v>96.0</v>
      </c>
      <c r="EU82" s="11">
        <f t="shared" si="18"/>
        <v>66.71523419</v>
      </c>
      <c r="EV82" s="11" t="str">
        <f t="shared" si="19"/>
        <v>C2</v>
      </c>
      <c r="EW82" s="7">
        <v>137.1</v>
      </c>
      <c r="EX82" s="7">
        <v>3.62</v>
      </c>
      <c r="EY82" s="9">
        <f t="shared" si="20"/>
        <v>1.31677551</v>
      </c>
      <c r="EZ82" s="9">
        <f t="shared" si="21"/>
        <v>0.2113552648</v>
      </c>
      <c r="FA82" s="9" t="str">
        <f t="shared" si="22"/>
        <v>Благоприятный</v>
      </c>
      <c r="FB82" s="1" t="s">
        <v>150</v>
      </c>
      <c r="FC82" s="1" t="s">
        <v>148</v>
      </c>
    </row>
    <row r="83">
      <c r="A83" s="7">
        <v>82.0</v>
      </c>
      <c r="B83" s="21">
        <v>41.0</v>
      </c>
      <c r="C83" s="25">
        <v>8207.0</v>
      </c>
      <c r="D83" s="1" t="s">
        <v>148</v>
      </c>
      <c r="E83" s="7">
        <v>76.0</v>
      </c>
      <c r="F83" s="1" t="s">
        <v>161</v>
      </c>
      <c r="G83" s="7"/>
      <c r="H83" s="7">
        <v>14.0</v>
      </c>
      <c r="I83" s="1" t="s">
        <v>150</v>
      </c>
      <c r="J83" s="1" t="s">
        <v>150</v>
      </c>
      <c r="K83" s="9"/>
      <c r="L83" s="1" t="s">
        <v>150</v>
      </c>
      <c r="M83" s="1" t="s">
        <v>314</v>
      </c>
      <c r="O83" s="1" t="str">
        <f t="shared" si="1"/>
        <v>нет</v>
      </c>
      <c r="P83" s="1" t="s">
        <v>150</v>
      </c>
      <c r="Q83" s="1" t="s">
        <v>154</v>
      </c>
      <c r="R83" s="7">
        <v>2.0</v>
      </c>
      <c r="S83" s="1" t="s">
        <v>150</v>
      </c>
      <c r="T83" s="9"/>
      <c r="U83" s="9"/>
      <c r="V83" s="9"/>
      <c r="W83" s="9"/>
      <c r="X83" s="9"/>
      <c r="Y83" s="1" t="s">
        <v>150</v>
      </c>
      <c r="Z83" s="9"/>
      <c r="AA83" s="9"/>
      <c r="AB83" s="9"/>
      <c r="AC83" s="9"/>
      <c r="AD83" s="26" t="s">
        <v>315</v>
      </c>
      <c r="AE83" s="1" t="s">
        <v>150</v>
      </c>
      <c r="AF83" s="7">
        <v>0.0</v>
      </c>
      <c r="AG83" s="27" t="s">
        <v>162</v>
      </c>
      <c r="AH83" s="27" t="s">
        <v>152</v>
      </c>
      <c r="AI83" s="1" t="s">
        <v>153</v>
      </c>
      <c r="AJ83" s="7">
        <v>2.0</v>
      </c>
      <c r="AK83" s="1" t="s">
        <v>5</v>
      </c>
      <c r="AL83" s="1" t="s">
        <v>150</v>
      </c>
      <c r="AM83" s="9"/>
      <c r="AN83" s="1">
        <v>15.0</v>
      </c>
      <c r="AO83" s="1" t="str">
        <f t="shared" si="2"/>
        <v>нет</v>
      </c>
      <c r="AP83" s="7">
        <v>165.0</v>
      </c>
      <c r="AQ83" s="7">
        <v>83.0</v>
      </c>
      <c r="AR83" s="9">
        <f t="shared" si="3"/>
        <v>30.48668503</v>
      </c>
      <c r="AS83" s="7" t="str">
        <f t="shared" si="4"/>
        <v>Ожирение I степени</v>
      </c>
      <c r="AT83" s="7">
        <v>190.0</v>
      </c>
      <c r="AU83" s="7">
        <v>94.0</v>
      </c>
      <c r="AV83" s="3">
        <v>126.0</v>
      </c>
      <c r="AW83" s="7">
        <v>75.0</v>
      </c>
      <c r="AX83" s="7">
        <v>38.0</v>
      </c>
      <c r="AY83" s="7">
        <v>20.0</v>
      </c>
      <c r="AZ83" s="7">
        <v>90.0</v>
      </c>
      <c r="BA83" s="10" t="str">
        <f t="shared" si="5"/>
        <v>да</v>
      </c>
      <c r="BB83" s="9"/>
      <c r="BC83" s="11"/>
      <c r="BD83" s="12" t="str">
        <f t="shared" si="6"/>
        <v>#DIV/0!</v>
      </c>
      <c r="BE83" s="12">
        <f t="shared" si="7"/>
        <v>0</v>
      </c>
      <c r="BF83" s="12">
        <f t="shared" si="8"/>
        <v>3</v>
      </c>
      <c r="BG83" s="15" t="s">
        <v>154</v>
      </c>
      <c r="BH83" s="15" t="s">
        <v>175</v>
      </c>
      <c r="BI83" s="1" t="s">
        <v>154</v>
      </c>
      <c r="BJ83" s="1" t="s">
        <v>175</v>
      </c>
      <c r="BK83" s="1" t="s">
        <v>150</v>
      </c>
      <c r="BL83" s="9"/>
      <c r="BM83" s="1" t="s">
        <v>154</v>
      </c>
      <c r="BN83" s="1" t="s">
        <v>155</v>
      </c>
      <c r="BO83" s="1" t="s">
        <v>154</v>
      </c>
      <c r="BP83" s="1" t="s">
        <v>157</v>
      </c>
      <c r="BQ83" s="9"/>
      <c r="BR83" s="1" t="s">
        <v>154</v>
      </c>
      <c r="BS83" s="1" t="s">
        <v>306</v>
      </c>
      <c r="BT83" s="15"/>
      <c r="BU83" s="1" t="s">
        <v>207</v>
      </c>
      <c r="BV83" s="7">
        <v>16.0</v>
      </c>
      <c r="BW83" s="1" t="s">
        <v>150</v>
      </c>
      <c r="BX83" s="10" t="s">
        <v>154</v>
      </c>
      <c r="BY83" s="1" t="s">
        <v>173</v>
      </c>
      <c r="BZ83" s="29" t="s">
        <v>158</v>
      </c>
      <c r="CA83" s="9"/>
      <c r="CB83" s="1" t="s">
        <v>150</v>
      </c>
      <c r="CC83" s="1" t="s">
        <v>150</v>
      </c>
      <c r="CD83" s="1" t="s">
        <v>212</v>
      </c>
      <c r="CE83" s="1" t="s">
        <v>150</v>
      </c>
      <c r="CF83" s="1" t="s">
        <v>150</v>
      </c>
      <c r="CG83" s="1" t="s">
        <v>150</v>
      </c>
      <c r="CH83" s="1" t="s">
        <v>150</v>
      </c>
      <c r="CI83" s="1" t="s">
        <v>150</v>
      </c>
      <c r="CJ83" s="1" t="s">
        <v>150</v>
      </c>
      <c r="CK83" s="1" t="s">
        <v>150</v>
      </c>
      <c r="CL83" s="1" t="s">
        <v>316</v>
      </c>
      <c r="CM83" s="7">
        <v>8.7</v>
      </c>
      <c r="CN83" s="7">
        <v>81.9</v>
      </c>
      <c r="CO83" s="7">
        <f t="shared" si="23"/>
        <v>7.1253</v>
      </c>
      <c r="CP83" s="7">
        <v>5.7</v>
      </c>
      <c r="CQ83" s="7">
        <f t="shared" si="10"/>
        <v>0.4061421</v>
      </c>
      <c r="CR83" s="7">
        <v>6.8</v>
      </c>
      <c r="CS83" s="7">
        <f t="shared" si="11"/>
        <v>0.0276176628</v>
      </c>
      <c r="CT83" s="7">
        <v>0.0</v>
      </c>
      <c r="CU83" s="7">
        <f t="shared" si="12"/>
        <v>0</v>
      </c>
      <c r="CV83" s="7">
        <f t="shared" si="13"/>
        <v>17.54385965</v>
      </c>
      <c r="CW83" s="7">
        <v>5.04</v>
      </c>
      <c r="CX83" s="7">
        <v>122.0</v>
      </c>
      <c r="CY83" s="7" t="str">
        <f t="shared" si="14"/>
        <v>Легкая степень</v>
      </c>
      <c r="CZ83" s="9"/>
      <c r="DA83" s="7">
        <v>142.0</v>
      </c>
      <c r="DB83" s="7">
        <v>54.6</v>
      </c>
      <c r="DC83" s="7">
        <v>11.6</v>
      </c>
      <c r="DD83" s="7">
        <v>82.2</v>
      </c>
      <c r="DE83" s="7"/>
      <c r="DF83" s="7">
        <v>12.7</v>
      </c>
      <c r="DG83" s="7"/>
      <c r="DH83" s="7">
        <v>4.2</v>
      </c>
      <c r="DI83" s="7"/>
      <c r="DJ83" s="7">
        <v>0.2</v>
      </c>
      <c r="DK83" s="7"/>
      <c r="DL83" s="7"/>
      <c r="DM83" s="7">
        <v>4.6</v>
      </c>
      <c r="DN83" s="7">
        <v>111.0</v>
      </c>
      <c r="DO83" s="7" t="str">
        <f t="shared" si="15"/>
        <v>Легкая степень</v>
      </c>
      <c r="DP83" s="9"/>
      <c r="DQ83" s="9"/>
      <c r="DR83" s="7">
        <v>7.6</v>
      </c>
      <c r="DS83" s="13">
        <v>613.0</v>
      </c>
      <c r="DT83" s="9"/>
      <c r="DU83" s="7">
        <v>10.2</v>
      </c>
      <c r="DV83" s="7">
        <v>1.11</v>
      </c>
      <c r="DW83" s="1" t="s">
        <v>313</v>
      </c>
      <c r="DX83" s="9"/>
      <c r="DY83" s="9"/>
      <c r="DZ83" s="7">
        <v>12.7</v>
      </c>
      <c r="EA83" s="7">
        <v>1.25</v>
      </c>
      <c r="EB83" s="7"/>
      <c r="EC83" s="7">
        <v>7.18</v>
      </c>
      <c r="ED83" s="7">
        <v>4.47</v>
      </c>
      <c r="EE83" s="7">
        <v>23.28</v>
      </c>
      <c r="EF83" s="7">
        <v>43.09</v>
      </c>
      <c r="EG83" s="7">
        <v>73.0</v>
      </c>
      <c r="EH83" s="7">
        <v>9.1</v>
      </c>
      <c r="EI83" s="7">
        <v>1.72</v>
      </c>
      <c r="EJ83" s="7">
        <v>86.87</v>
      </c>
      <c r="EK83" s="14">
        <f t="shared" si="16"/>
        <v>56.04872765</v>
      </c>
      <c r="EL83" s="11" t="str">
        <f t="shared" si="17"/>
        <v>C3a</v>
      </c>
      <c r="EM83" s="9"/>
      <c r="EN83" s="9"/>
      <c r="EO83" s="7">
        <v>28.5</v>
      </c>
      <c r="EP83" s="7">
        <v>11.3</v>
      </c>
      <c r="EQ83" s="7">
        <v>55.1</v>
      </c>
      <c r="ER83" s="7">
        <v>11.3</v>
      </c>
      <c r="ES83" s="7">
        <v>3.9</v>
      </c>
      <c r="ET83" s="7">
        <v>82.0</v>
      </c>
      <c r="EU83" s="11">
        <f t="shared" si="18"/>
        <v>60.09777935</v>
      </c>
      <c r="EV83" s="11" t="str">
        <f t="shared" si="19"/>
        <v>C2</v>
      </c>
      <c r="EW83" s="7">
        <v>138.5</v>
      </c>
      <c r="EX83" s="7">
        <v>5.09</v>
      </c>
      <c r="EY83" s="9">
        <f t="shared" si="20"/>
        <v>0.1449995087</v>
      </c>
      <c r="EZ83" s="9">
        <f t="shared" si="21"/>
        <v>0.4638135019</v>
      </c>
      <c r="FA83" s="9" t="str">
        <f t="shared" si="22"/>
        <v>Благоприятный</v>
      </c>
      <c r="FB83" s="1" t="s">
        <v>150</v>
      </c>
      <c r="FC83" s="1" t="s">
        <v>148</v>
      </c>
    </row>
    <row r="84">
      <c r="A84" s="7">
        <v>83.0</v>
      </c>
      <c r="B84" s="21">
        <v>42.0</v>
      </c>
      <c r="C84" s="25">
        <v>7488.0</v>
      </c>
      <c r="D84" s="1" t="s">
        <v>148</v>
      </c>
      <c r="E84" s="7">
        <v>32.0</v>
      </c>
      <c r="F84" s="1" t="s">
        <v>161</v>
      </c>
      <c r="G84" s="7"/>
      <c r="H84" s="7">
        <v>19.0</v>
      </c>
      <c r="I84" s="1" t="s">
        <v>150</v>
      </c>
      <c r="J84" s="1" t="s">
        <v>150</v>
      </c>
      <c r="K84" s="9"/>
      <c r="L84" s="1" t="s">
        <v>150</v>
      </c>
      <c r="M84" s="1" t="s">
        <v>154</v>
      </c>
      <c r="N84" s="1" t="s">
        <v>192</v>
      </c>
      <c r="O84" s="1" t="str">
        <f t="shared" si="1"/>
        <v>нет</v>
      </c>
      <c r="P84" s="1" t="s">
        <v>150</v>
      </c>
      <c r="Q84" s="1" t="s">
        <v>150</v>
      </c>
      <c r="R84" s="9"/>
      <c r="S84" s="1" t="s">
        <v>150</v>
      </c>
      <c r="T84" s="9"/>
      <c r="U84" s="9"/>
      <c r="V84" s="9"/>
      <c r="W84" s="9"/>
      <c r="X84" s="9"/>
      <c r="Y84" s="1" t="s">
        <v>150</v>
      </c>
      <c r="Z84" s="9"/>
      <c r="AA84" s="9"/>
      <c r="AB84" s="9"/>
      <c r="AC84" s="9"/>
      <c r="AD84" s="26" t="s">
        <v>317</v>
      </c>
      <c r="AE84" s="1" t="s">
        <v>154</v>
      </c>
      <c r="AF84" s="7">
        <v>3.0</v>
      </c>
      <c r="AG84" s="27" t="s">
        <v>162</v>
      </c>
      <c r="AH84" s="27" t="s">
        <v>152</v>
      </c>
      <c r="AI84" s="1" t="s">
        <v>168</v>
      </c>
      <c r="AJ84" s="7">
        <v>3.0</v>
      </c>
      <c r="AK84" s="1" t="s">
        <v>5</v>
      </c>
      <c r="AL84" s="1" t="s">
        <v>150</v>
      </c>
      <c r="AM84" s="9"/>
      <c r="AN84" s="1">
        <v>15.0</v>
      </c>
      <c r="AO84" s="1" t="str">
        <f t="shared" si="2"/>
        <v>нет</v>
      </c>
      <c r="AP84" s="7">
        <v>170.0</v>
      </c>
      <c r="AQ84" s="7">
        <v>96.0</v>
      </c>
      <c r="AR84" s="9">
        <f t="shared" si="3"/>
        <v>33.21799308</v>
      </c>
      <c r="AS84" s="7" t="str">
        <f t="shared" si="4"/>
        <v>Ожирение I степени</v>
      </c>
      <c r="AT84" s="7">
        <v>120.0</v>
      </c>
      <c r="AU84" s="7">
        <v>90.0</v>
      </c>
      <c r="AV84" s="3">
        <v>100.0</v>
      </c>
      <c r="AW84" s="7">
        <v>84.0</v>
      </c>
      <c r="AX84" s="7">
        <v>37.0</v>
      </c>
      <c r="AY84" s="7">
        <v>22.0</v>
      </c>
      <c r="AZ84" s="7">
        <v>94.0</v>
      </c>
      <c r="BA84" s="10" t="str">
        <f t="shared" si="5"/>
        <v>да</v>
      </c>
      <c r="BB84" s="7">
        <v>99.0</v>
      </c>
      <c r="BC84" s="11"/>
      <c r="BD84" s="12" t="str">
        <f t="shared" si="6"/>
        <v>#DIV/0!</v>
      </c>
      <c r="BE84" s="12">
        <f t="shared" si="7"/>
        <v>1</v>
      </c>
      <c r="BF84" s="12">
        <f t="shared" si="8"/>
        <v>3</v>
      </c>
      <c r="BG84" s="15" t="s">
        <v>150</v>
      </c>
      <c r="BH84" s="9"/>
      <c r="BI84" s="15" t="s">
        <v>154</v>
      </c>
      <c r="BJ84" s="1" t="s">
        <v>318</v>
      </c>
      <c r="BK84" s="1" t="s">
        <v>150</v>
      </c>
      <c r="BL84" s="9"/>
      <c r="BM84" s="1" t="s">
        <v>154</v>
      </c>
      <c r="BN84" s="1" t="s">
        <v>155</v>
      </c>
      <c r="BO84" s="1" t="s">
        <v>150</v>
      </c>
      <c r="BP84" s="9"/>
      <c r="BQ84" s="9"/>
      <c r="BR84" s="1" t="s">
        <v>154</v>
      </c>
      <c r="BS84" s="1" t="s">
        <v>319</v>
      </c>
      <c r="BT84" s="28">
        <v>24.0</v>
      </c>
      <c r="BU84" s="1" t="s">
        <v>207</v>
      </c>
      <c r="BV84" s="7">
        <v>16.0</v>
      </c>
      <c r="BW84" s="1" t="s">
        <v>150</v>
      </c>
      <c r="BX84" s="10" t="s">
        <v>154</v>
      </c>
      <c r="BY84" s="1" t="s">
        <v>258</v>
      </c>
      <c r="BZ84" s="29" t="s">
        <v>158</v>
      </c>
      <c r="CA84" s="9"/>
      <c r="CB84" s="1" t="s">
        <v>150</v>
      </c>
      <c r="CC84" s="1" t="s">
        <v>150</v>
      </c>
      <c r="CD84" s="9"/>
      <c r="CE84" s="1" t="s">
        <v>150</v>
      </c>
      <c r="CF84" s="1" t="s">
        <v>150</v>
      </c>
      <c r="CG84" s="1" t="s">
        <v>150</v>
      </c>
      <c r="CH84" s="1" t="s">
        <v>150</v>
      </c>
      <c r="CI84" s="1" t="s">
        <v>150</v>
      </c>
      <c r="CJ84" s="1" t="s">
        <v>150</v>
      </c>
      <c r="CK84" s="1" t="s">
        <v>150</v>
      </c>
      <c r="CL84" s="9"/>
      <c r="CM84" s="7">
        <v>4.4</v>
      </c>
      <c r="CN84" s="7">
        <v>3.4</v>
      </c>
      <c r="CO84" s="7">
        <f t="shared" si="23"/>
        <v>0.1496</v>
      </c>
      <c r="CP84" s="7">
        <v>0.6</v>
      </c>
      <c r="CQ84" s="7">
        <f t="shared" si="10"/>
        <v>0.0008976</v>
      </c>
      <c r="CR84" s="7">
        <v>0.1</v>
      </c>
      <c r="CS84" s="7">
        <f t="shared" si="11"/>
        <v>0.0000008976</v>
      </c>
      <c r="CT84" s="7">
        <v>0.0</v>
      </c>
      <c r="CU84" s="7">
        <f t="shared" si="12"/>
        <v>0</v>
      </c>
      <c r="CV84" s="7">
        <f t="shared" si="13"/>
        <v>166.6666667</v>
      </c>
      <c r="CW84" s="7">
        <v>4.27</v>
      </c>
      <c r="CX84" s="7">
        <v>124.0</v>
      </c>
      <c r="CY84" s="7" t="str">
        <f t="shared" si="14"/>
        <v>Легкая степень</v>
      </c>
      <c r="CZ84" s="9"/>
      <c r="DA84" s="7">
        <v>172.0</v>
      </c>
      <c r="DB84" s="7">
        <v>69.8</v>
      </c>
      <c r="DC84" s="7">
        <v>21.6</v>
      </c>
      <c r="DD84" s="7">
        <v>18.3</v>
      </c>
      <c r="DE84" s="7"/>
      <c r="DF84" s="7">
        <v>1.9</v>
      </c>
      <c r="DG84" s="7"/>
      <c r="DH84" s="7">
        <v>1.4</v>
      </c>
      <c r="DI84" s="7"/>
      <c r="DJ84" s="7"/>
      <c r="DK84" s="7"/>
      <c r="DL84" s="7"/>
      <c r="DM84" s="7">
        <v>4.5</v>
      </c>
      <c r="DN84" s="7">
        <v>130.0</v>
      </c>
      <c r="DO84" s="7" t="str">
        <f t="shared" si="15"/>
        <v>Норма</v>
      </c>
      <c r="DP84" s="9"/>
      <c r="DQ84" s="7">
        <v>282.0</v>
      </c>
      <c r="DR84" s="7">
        <v>6.2</v>
      </c>
      <c r="DS84" s="13">
        <v>571.0</v>
      </c>
      <c r="DT84" s="7">
        <v>33.9</v>
      </c>
      <c r="DU84" s="7">
        <v>12.1</v>
      </c>
      <c r="DV84" s="7">
        <v>1.034</v>
      </c>
      <c r="DW84" s="1" t="s">
        <v>320</v>
      </c>
      <c r="DX84" s="9"/>
      <c r="DY84" s="9"/>
      <c r="DZ84" s="7">
        <v>11.8</v>
      </c>
      <c r="EA84" s="7">
        <v>1.009</v>
      </c>
      <c r="EB84" s="7"/>
      <c r="EC84" s="7">
        <v>5.47</v>
      </c>
      <c r="ED84" s="7">
        <v>9.89</v>
      </c>
      <c r="EE84" s="7">
        <v>19.3</v>
      </c>
      <c r="EF84" s="7">
        <v>34.5</v>
      </c>
      <c r="EG84" s="7">
        <v>85.4</v>
      </c>
      <c r="EH84" s="7">
        <v>7.0</v>
      </c>
      <c r="EI84" s="7">
        <v>2.4</v>
      </c>
      <c r="EJ84" s="7">
        <v>86.0</v>
      </c>
      <c r="EK84" s="14">
        <f t="shared" si="16"/>
        <v>77.2829713</v>
      </c>
      <c r="EL84" s="11" t="str">
        <f t="shared" si="17"/>
        <v>C2</v>
      </c>
      <c r="EM84" s="7">
        <v>139.9</v>
      </c>
      <c r="EN84" s="7">
        <v>3.96</v>
      </c>
      <c r="EO84" s="7">
        <v>110.57</v>
      </c>
      <c r="EP84" s="7">
        <v>75.31</v>
      </c>
      <c r="EQ84" s="7">
        <v>74.7</v>
      </c>
      <c r="ER84" s="7">
        <v>10.74</v>
      </c>
      <c r="ES84" s="7">
        <v>2.37</v>
      </c>
      <c r="ET84" s="7">
        <v>62.01</v>
      </c>
      <c r="EU84" s="11">
        <f t="shared" si="18"/>
        <v>114.7641397</v>
      </c>
      <c r="EV84" s="11" t="str">
        <f t="shared" si="19"/>
        <v>C1</v>
      </c>
      <c r="EW84" s="7">
        <v>135.3</v>
      </c>
      <c r="EX84" s="7">
        <v>4.5</v>
      </c>
      <c r="EY84" s="9">
        <f t="shared" si="20"/>
        <v>2.607955813</v>
      </c>
      <c r="EZ84" s="9">
        <f t="shared" si="21"/>
        <v>0.06862814957</v>
      </c>
      <c r="FA84" s="9" t="str">
        <f t="shared" si="22"/>
        <v>Благоприятный</v>
      </c>
      <c r="FB84" s="1" t="s">
        <v>150</v>
      </c>
      <c r="FC84" s="1" t="s">
        <v>148</v>
      </c>
    </row>
    <row r="85">
      <c r="A85" s="7">
        <v>84.0</v>
      </c>
      <c r="B85" s="21">
        <v>43.0</v>
      </c>
      <c r="C85" s="25">
        <v>9370.0</v>
      </c>
      <c r="D85" s="1" t="s">
        <v>148</v>
      </c>
      <c r="E85" s="7">
        <v>53.0</v>
      </c>
      <c r="F85" s="1" t="s">
        <v>161</v>
      </c>
      <c r="G85" s="7"/>
      <c r="H85" s="7">
        <v>27.0</v>
      </c>
      <c r="I85" s="1" t="s">
        <v>150</v>
      </c>
      <c r="J85" s="1" t="s">
        <v>150</v>
      </c>
      <c r="K85" s="9"/>
      <c r="L85" s="1" t="s">
        <v>150</v>
      </c>
      <c r="M85" s="1" t="s">
        <v>150</v>
      </c>
      <c r="N85" s="9"/>
      <c r="O85" s="1" t="str">
        <f t="shared" si="1"/>
        <v>нет</v>
      </c>
      <c r="P85" s="1" t="s">
        <v>150</v>
      </c>
      <c r="Q85" s="1" t="s">
        <v>154</v>
      </c>
      <c r="R85" s="7">
        <v>2.0</v>
      </c>
      <c r="S85" s="1" t="s">
        <v>154</v>
      </c>
      <c r="T85" s="1" t="s">
        <v>181</v>
      </c>
      <c r="U85" s="7"/>
      <c r="V85" s="7">
        <v>1.0</v>
      </c>
      <c r="W85" s="7">
        <v>1.0</v>
      </c>
      <c r="X85" s="9"/>
      <c r="Y85" s="1" t="s">
        <v>150</v>
      </c>
      <c r="Z85" s="9"/>
      <c r="AA85" s="9"/>
      <c r="AB85" s="9"/>
      <c r="AC85" s="9"/>
      <c r="AD85" s="26" t="s">
        <v>321</v>
      </c>
      <c r="AE85" s="1" t="s">
        <v>150</v>
      </c>
      <c r="AF85" s="7">
        <v>0.0</v>
      </c>
      <c r="AG85" s="27" t="s">
        <v>162</v>
      </c>
      <c r="AH85" s="27" t="s">
        <v>152</v>
      </c>
      <c r="AI85" s="1" t="s">
        <v>168</v>
      </c>
      <c r="AJ85" s="7">
        <v>3.0</v>
      </c>
      <c r="AK85" s="1" t="s">
        <v>5</v>
      </c>
      <c r="AL85" s="1" t="s">
        <v>150</v>
      </c>
      <c r="AM85" s="9"/>
      <c r="AN85" s="1">
        <v>15.0</v>
      </c>
      <c r="AO85" s="1" t="str">
        <f t="shared" si="2"/>
        <v>нет</v>
      </c>
      <c r="AP85" s="7">
        <v>160.0</v>
      </c>
      <c r="AQ85" s="7">
        <v>70.0</v>
      </c>
      <c r="AR85" s="9">
        <f t="shared" si="3"/>
        <v>27.34375</v>
      </c>
      <c r="AS85" s="7" t="str">
        <f t="shared" si="4"/>
        <v>Избыточный вес (предожирение)</v>
      </c>
      <c r="AT85" s="7">
        <v>174.0</v>
      </c>
      <c r="AU85" s="7">
        <v>99.0</v>
      </c>
      <c r="AV85" s="3">
        <v>124.0</v>
      </c>
      <c r="AW85" s="7">
        <v>106.0</v>
      </c>
      <c r="AX85" s="7">
        <v>38.0</v>
      </c>
      <c r="AY85" s="7">
        <v>22.0</v>
      </c>
      <c r="AZ85" s="7">
        <v>84.0</v>
      </c>
      <c r="BA85" s="10" t="str">
        <f t="shared" si="5"/>
        <v>да</v>
      </c>
      <c r="BB85" s="7">
        <v>92.0</v>
      </c>
      <c r="BC85" s="11"/>
      <c r="BD85" s="12" t="str">
        <f t="shared" si="6"/>
        <v>#DIV/0!</v>
      </c>
      <c r="BE85" s="12">
        <f t="shared" si="7"/>
        <v>1</v>
      </c>
      <c r="BF85" s="12">
        <f t="shared" si="8"/>
        <v>6</v>
      </c>
      <c r="BG85" s="15" t="s">
        <v>150</v>
      </c>
      <c r="BH85" s="9"/>
      <c r="BI85" s="1" t="s">
        <v>154</v>
      </c>
      <c r="BJ85" s="1" t="s">
        <v>285</v>
      </c>
      <c r="BK85" s="1" t="s">
        <v>150</v>
      </c>
      <c r="BL85" s="9"/>
      <c r="BM85" s="1" t="s">
        <v>154</v>
      </c>
      <c r="BN85" s="1" t="s">
        <v>155</v>
      </c>
      <c r="BO85" s="9"/>
      <c r="BP85" s="9"/>
      <c r="BQ85" s="9"/>
      <c r="BR85" s="1" t="s">
        <v>154</v>
      </c>
      <c r="BS85" s="1" t="s">
        <v>170</v>
      </c>
      <c r="BT85" s="30"/>
      <c r="BU85" s="1" t="s">
        <v>207</v>
      </c>
      <c r="BV85" s="7">
        <v>16.0</v>
      </c>
      <c r="BW85" s="1" t="s">
        <v>150</v>
      </c>
      <c r="BX85" s="10" t="s">
        <v>154</v>
      </c>
      <c r="BY85" s="1" t="s">
        <v>269</v>
      </c>
      <c r="BZ85" s="29" t="s">
        <v>158</v>
      </c>
      <c r="CA85" s="1" t="s">
        <v>184</v>
      </c>
      <c r="CB85" s="1" t="s">
        <v>150</v>
      </c>
      <c r="CC85" s="1" t="s">
        <v>150</v>
      </c>
      <c r="CD85" s="1" t="s">
        <v>247</v>
      </c>
      <c r="CE85" s="1" t="s">
        <v>150</v>
      </c>
      <c r="CF85" s="1" t="s">
        <v>150</v>
      </c>
      <c r="CG85" s="1" t="s">
        <v>150</v>
      </c>
      <c r="CH85" s="1" t="s">
        <v>150</v>
      </c>
      <c r="CI85" s="1" t="s">
        <v>150</v>
      </c>
      <c r="CJ85" s="1" t="s">
        <v>150</v>
      </c>
      <c r="CK85" s="1" t="s">
        <v>150</v>
      </c>
      <c r="CL85" s="9"/>
      <c r="CM85" s="7">
        <v>18.2</v>
      </c>
      <c r="CN85" s="7">
        <v>81.3</v>
      </c>
      <c r="CO85" s="7">
        <f t="shared" si="23"/>
        <v>14.7966</v>
      </c>
      <c r="CP85" s="7">
        <v>9.4</v>
      </c>
      <c r="CQ85" s="7">
        <f t="shared" si="10"/>
        <v>1.3908804</v>
      </c>
      <c r="CR85" s="7">
        <v>8.2</v>
      </c>
      <c r="CS85" s="7">
        <f t="shared" si="11"/>
        <v>0.1140521928</v>
      </c>
      <c r="CT85" s="7">
        <v>0.7</v>
      </c>
      <c r="CU85" s="7">
        <f t="shared" si="12"/>
        <v>0.0007983653496</v>
      </c>
      <c r="CV85" s="7">
        <f t="shared" si="13"/>
        <v>10.63829787</v>
      </c>
      <c r="CW85" s="7">
        <v>4.49</v>
      </c>
      <c r="CX85" s="7">
        <v>135.0</v>
      </c>
      <c r="CY85" s="7" t="str">
        <f t="shared" si="14"/>
        <v>Норма</v>
      </c>
      <c r="CZ85" s="7">
        <v>57.0</v>
      </c>
      <c r="DA85" s="7">
        <v>405.0</v>
      </c>
      <c r="DB85" s="7">
        <v>177.9</v>
      </c>
      <c r="DC85" s="7">
        <v>10.3</v>
      </c>
      <c r="DD85" s="7">
        <v>88.7</v>
      </c>
      <c r="DE85" s="7"/>
      <c r="DF85" s="7">
        <v>15.1</v>
      </c>
      <c r="DG85" s="7"/>
      <c r="DH85" s="7">
        <v>5.3</v>
      </c>
      <c r="DI85" s="7"/>
      <c r="DJ85" s="7">
        <v>0.5</v>
      </c>
      <c r="DK85" s="7"/>
      <c r="DL85" s="7"/>
      <c r="DM85" s="7">
        <v>4.95</v>
      </c>
      <c r="DN85" s="7">
        <v>153.0</v>
      </c>
      <c r="DO85" s="7" t="str">
        <f t="shared" si="15"/>
        <v>Норма</v>
      </c>
      <c r="DP85" s="7">
        <v>5.0</v>
      </c>
      <c r="DQ85" s="7">
        <v>193.0</v>
      </c>
      <c r="DR85" s="7">
        <v>42.0</v>
      </c>
      <c r="DS85" s="13">
        <v>570.0</v>
      </c>
      <c r="DT85" s="7">
        <v>23.2</v>
      </c>
      <c r="DU85" s="7">
        <v>11.5</v>
      </c>
      <c r="DV85" s="7">
        <v>0.98</v>
      </c>
      <c r="DW85" s="1" t="s">
        <v>320</v>
      </c>
      <c r="DX85" s="9"/>
      <c r="DY85" s="7">
        <v>30.4</v>
      </c>
      <c r="DZ85" s="7">
        <v>10.5</v>
      </c>
      <c r="EA85" s="7">
        <v>0.9</v>
      </c>
      <c r="EB85" s="7"/>
      <c r="EC85" s="7">
        <v>5.44</v>
      </c>
      <c r="ED85" s="7">
        <v>9.04</v>
      </c>
      <c r="EE85" s="7">
        <v>47.2</v>
      </c>
      <c r="EF85" s="7">
        <v>59.0</v>
      </c>
      <c r="EG85" s="7">
        <v>70.9</v>
      </c>
      <c r="EH85" s="7">
        <v>6.7</v>
      </c>
      <c r="EI85" s="7">
        <v>2.9</v>
      </c>
      <c r="EJ85" s="7">
        <v>82.0</v>
      </c>
      <c r="EK85" s="14">
        <f t="shared" si="16"/>
        <v>70.63593683</v>
      </c>
      <c r="EL85" s="11" t="str">
        <f t="shared" si="17"/>
        <v>C2</v>
      </c>
      <c r="EM85" s="7">
        <v>147.0</v>
      </c>
      <c r="EN85" s="7">
        <v>4.21</v>
      </c>
      <c r="EO85" s="7">
        <v>40.3</v>
      </c>
      <c r="EP85" s="7">
        <v>16.6</v>
      </c>
      <c r="EQ85" s="7">
        <v>67.1</v>
      </c>
      <c r="ER85" s="7">
        <v>10.6</v>
      </c>
      <c r="ES85" s="7">
        <v>3.0</v>
      </c>
      <c r="ET85" s="7">
        <v>80.0</v>
      </c>
      <c r="EU85" s="11">
        <f t="shared" si="18"/>
        <v>72.77644927</v>
      </c>
      <c r="EV85" s="11" t="str">
        <f t="shared" si="19"/>
        <v>C2</v>
      </c>
      <c r="EW85" s="7">
        <v>148.1</v>
      </c>
      <c r="EX85" s="7">
        <v>4.37</v>
      </c>
      <c r="EY85" s="9">
        <f t="shared" si="20"/>
        <v>0.659889375</v>
      </c>
      <c r="EZ85" s="9">
        <f t="shared" si="21"/>
        <v>0.3407644624</v>
      </c>
      <c r="FA85" s="9" t="str">
        <f t="shared" si="22"/>
        <v>Благоприятный</v>
      </c>
      <c r="FB85" s="1" t="s">
        <v>150</v>
      </c>
      <c r="FC85" s="1" t="s">
        <v>148</v>
      </c>
    </row>
    <row r="86">
      <c r="A86" s="7">
        <v>85.0</v>
      </c>
      <c r="B86" s="21">
        <v>44.0</v>
      </c>
      <c r="C86" s="25">
        <v>6172.0</v>
      </c>
      <c r="D86" s="1" t="s">
        <v>148</v>
      </c>
      <c r="E86" s="7">
        <v>47.0</v>
      </c>
      <c r="F86" s="1" t="s">
        <v>149</v>
      </c>
      <c r="G86" s="7"/>
      <c r="H86" s="7">
        <v>25.0</v>
      </c>
      <c r="I86" s="1" t="s">
        <v>150</v>
      </c>
      <c r="J86" s="1" t="s">
        <v>150</v>
      </c>
      <c r="K86" s="9"/>
      <c r="L86" s="1" t="s">
        <v>150</v>
      </c>
      <c r="M86" s="1" t="s">
        <v>154</v>
      </c>
      <c r="N86" s="1" t="s">
        <v>192</v>
      </c>
      <c r="O86" s="1" t="str">
        <f t="shared" si="1"/>
        <v>нет</v>
      </c>
      <c r="P86" s="1" t="s">
        <v>150</v>
      </c>
      <c r="Q86" s="1" t="s">
        <v>154</v>
      </c>
      <c r="R86" s="7">
        <v>2.0</v>
      </c>
      <c r="S86" s="1" t="s">
        <v>150</v>
      </c>
      <c r="T86" s="9"/>
      <c r="U86" s="9"/>
      <c r="V86" s="9"/>
      <c r="W86" s="9"/>
      <c r="X86" s="9"/>
      <c r="Y86" s="1" t="s">
        <v>150</v>
      </c>
      <c r="Z86" s="9"/>
      <c r="AA86" s="9"/>
      <c r="AB86" s="9"/>
      <c r="AC86" s="9"/>
      <c r="AD86" s="26" t="s">
        <v>322</v>
      </c>
      <c r="AE86" s="1" t="s">
        <v>150</v>
      </c>
      <c r="AF86" s="7">
        <v>0.0</v>
      </c>
      <c r="AG86" s="27" t="s">
        <v>162</v>
      </c>
      <c r="AH86" s="27" t="s">
        <v>152</v>
      </c>
      <c r="AI86" s="1" t="s">
        <v>168</v>
      </c>
      <c r="AJ86" s="7">
        <v>3.0</v>
      </c>
      <c r="AK86" s="1" t="s">
        <v>5</v>
      </c>
      <c r="AL86" s="1" t="s">
        <v>150</v>
      </c>
      <c r="AM86" s="9"/>
      <c r="AN86" s="1">
        <v>15.0</v>
      </c>
      <c r="AO86" s="1" t="str">
        <f t="shared" si="2"/>
        <v>нет</v>
      </c>
      <c r="AP86" s="7">
        <v>173.0</v>
      </c>
      <c r="AQ86" s="7">
        <v>85.0</v>
      </c>
      <c r="AR86" s="9">
        <f t="shared" si="3"/>
        <v>28.40054796</v>
      </c>
      <c r="AS86" s="7" t="str">
        <f t="shared" si="4"/>
        <v>Избыточный вес (предожирение)</v>
      </c>
      <c r="AT86" s="7">
        <v>112.0</v>
      </c>
      <c r="AU86" s="7">
        <v>65.0</v>
      </c>
      <c r="AV86" s="3">
        <v>81.0</v>
      </c>
      <c r="AW86" s="7">
        <v>82.0</v>
      </c>
      <c r="AX86" s="7">
        <v>38.7</v>
      </c>
      <c r="AY86" s="7">
        <v>20.0</v>
      </c>
      <c r="AZ86" s="7">
        <v>84.0</v>
      </c>
      <c r="BA86" s="10" t="str">
        <f t="shared" si="5"/>
        <v>да</v>
      </c>
      <c r="BB86" s="7">
        <v>97.0</v>
      </c>
      <c r="BC86" s="11"/>
      <c r="BD86" s="12" t="str">
        <f t="shared" si="6"/>
        <v>#DIV/0!</v>
      </c>
      <c r="BE86" s="12">
        <f t="shared" si="7"/>
        <v>0</v>
      </c>
      <c r="BF86" s="12">
        <f t="shared" si="8"/>
        <v>4</v>
      </c>
      <c r="BG86" s="15" t="s">
        <v>154</v>
      </c>
      <c r="BH86" s="15" t="s">
        <v>175</v>
      </c>
      <c r="BI86" s="15" t="s">
        <v>154</v>
      </c>
      <c r="BJ86" s="15" t="s">
        <v>323</v>
      </c>
      <c r="BK86" s="15" t="s">
        <v>150</v>
      </c>
      <c r="BL86" s="9"/>
      <c r="BM86" s="15" t="s">
        <v>154</v>
      </c>
      <c r="BN86" s="15" t="s">
        <v>155</v>
      </c>
      <c r="BO86" s="15" t="s">
        <v>154</v>
      </c>
      <c r="BP86" s="15" t="s">
        <v>157</v>
      </c>
      <c r="BQ86" s="9"/>
      <c r="BR86" s="15" t="s">
        <v>154</v>
      </c>
      <c r="BS86" s="15" t="s">
        <v>297</v>
      </c>
      <c r="BT86" s="28">
        <v>24.0</v>
      </c>
      <c r="BU86" s="15" t="s">
        <v>207</v>
      </c>
      <c r="BV86" s="7">
        <v>16.0</v>
      </c>
      <c r="BW86" s="15" t="s">
        <v>150</v>
      </c>
      <c r="BX86" s="10" t="s">
        <v>154</v>
      </c>
      <c r="BY86" s="1" t="s">
        <v>173</v>
      </c>
      <c r="BZ86" s="29" t="s">
        <v>158</v>
      </c>
      <c r="CA86" s="9"/>
      <c r="CB86" s="1" t="s">
        <v>150</v>
      </c>
      <c r="CC86" s="1" t="s">
        <v>150</v>
      </c>
      <c r="CD86" s="9"/>
      <c r="CE86" s="1" t="s">
        <v>150</v>
      </c>
      <c r="CF86" s="1" t="s">
        <v>150</v>
      </c>
      <c r="CG86" s="1" t="s">
        <v>150</v>
      </c>
      <c r="CH86" s="1" t="s">
        <v>154</v>
      </c>
      <c r="CI86" s="1" t="s">
        <v>150</v>
      </c>
      <c r="CJ86" s="1" t="s">
        <v>150</v>
      </c>
      <c r="CK86" s="1" t="s">
        <v>150</v>
      </c>
      <c r="CL86" s="1" t="s">
        <v>324</v>
      </c>
      <c r="CM86" s="7">
        <v>4.6</v>
      </c>
      <c r="CN86" s="7">
        <v>86.1</v>
      </c>
      <c r="CO86" s="7">
        <f t="shared" si="23"/>
        <v>3.9606</v>
      </c>
      <c r="CP86" s="7">
        <v>6.8</v>
      </c>
      <c r="CQ86" s="7">
        <f t="shared" si="10"/>
        <v>0.2693208</v>
      </c>
      <c r="CR86" s="7">
        <v>6.8</v>
      </c>
      <c r="CS86" s="7">
        <f t="shared" si="11"/>
        <v>0.0183138144</v>
      </c>
      <c r="CT86" s="7">
        <v>0.0</v>
      </c>
      <c r="CU86" s="7">
        <f t="shared" si="12"/>
        <v>0</v>
      </c>
      <c r="CV86" s="7">
        <f t="shared" si="13"/>
        <v>14.70588235</v>
      </c>
      <c r="CW86" s="7">
        <v>4.88</v>
      </c>
      <c r="CX86" s="7">
        <v>143.0</v>
      </c>
      <c r="CY86" s="7" t="str">
        <f t="shared" si="14"/>
        <v>Норма</v>
      </c>
      <c r="CZ86" s="7">
        <v>6.0</v>
      </c>
      <c r="DA86" s="7">
        <v>167.0</v>
      </c>
      <c r="DB86" s="7">
        <v>75.3</v>
      </c>
      <c r="DC86" s="7">
        <v>7.5</v>
      </c>
      <c r="DD86" s="7">
        <v>68.9</v>
      </c>
      <c r="DE86" s="7"/>
      <c r="DF86" s="7">
        <v>23.2</v>
      </c>
      <c r="DG86" s="7"/>
      <c r="DH86" s="7">
        <v>5.9</v>
      </c>
      <c r="DI86" s="7"/>
      <c r="DJ86" s="7">
        <v>1.5</v>
      </c>
      <c r="DK86" s="7"/>
      <c r="DL86" s="7"/>
      <c r="DM86" s="7">
        <v>4.81</v>
      </c>
      <c r="DN86" s="7">
        <v>143.0</v>
      </c>
      <c r="DO86" s="7" t="str">
        <f t="shared" si="15"/>
        <v>Норма</v>
      </c>
      <c r="DP86" s="7">
        <v>4.0</v>
      </c>
      <c r="DQ86" s="7">
        <v>123.0</v>
      </c>
      <c r="DR86" s="7">
        <v>11.3</v>
      </c>
      <c r="DS86" s="13">
        <v>660.0</v>
      </c>
      <c r="DT86" s="9"/>
      <c r="DU86" s="7">
        <v>14.6</v>
      </c>
      <c r="DV86" s="7">
        <v>1.24</v>
      </c>
      <c r="DW86" s="1" t="s">
        <v>320</v>
      </c>
      <c r="DX86" s="9"/>
      <c r="DY86" s="9"/>
      <c r="DZ86" s="7">
        <v>10.4</v>
      </c>
      <c r="EA86" s="7">
        <v>0.889</v>
      </c>
      <c r="EB86" s="7"/>
      <c r="EC86" s="7">
        <v>8.52</v>
      </c>
      <c r="ED86" s="7">
        <v>8.87</v>
      </c>
      <c r="EE86" s="7">
        <v>15.3</v>
      </c>
      <c r="EF86" s="7">
        <v>28.4</v>
      </c>
      <c r="EG86" s="7">
        <v>68.4</v>
      </c>
      <c r="EH86" s="7">
        <v>6.31</v>
      </c>
      <c r="EI86" s="7">
        <v>1.45</v>
      </c>
      <c r="EJ86" s="7">
        <v>117.3</v>
      </c>
      <c r="EK86" s="14">
        <f t="shared" si="16"/>
        <v>47.79141282</v>
      </c>
      <c r="EL86" s="11" t="str">
        <f t="shared" si="17"/>
        <v>C3a</v>
      </c>
      <c r="EM86" s="7">
        <v>135.0</v>
      </c>
      <c r="EN86" s="7">
        <v>4.27</v>
      </c>
      <c r="EO86" s="7">
        <v>67.9</v>
      </c>
      <c r="EP86" s="7">
        <v>21.9</v>
      </c>
      <c r="EQ86" s="7">
        <v>66.8</v>
      </c>
      <c r="ER86" s="7">
        <v>11.1</v>
      </c>
      <c r="ES86" s="7">
        <v>4.0</v>
      </c>
      <c r="ET86" s="7">
        <v>89.0</v>
      </c>
      <c r="EU86" s="11">
        <f t="shared" si="18"/>
        <v>66.72961943</v>
      </c>
      <c r="EV86" s="11" t="str">
        <f t="shared" si="19"/>
        <v>C2</v>
      </c>
      <c r="EW86" s="7">
        <v>135.3</v>
      </c>
      <c r="EX86" s="7">
        <v>4.2</v>
      </c>
      <c r="EY86" s="9">
        <f t="shared" si="20"/>
        <v>2.034835614</v>
      </c>
      <c r="EZ86" s="9">
        <f t="shared" si="21"/>
        <v>0.1155936491</v>
      </c>
      <c r="FA86" s="9" t="str">
        <f t="shared" si="22"/>
        <v>Благоприятный</v>
      </c>
      <c r="FB86" s="1" t="s">
        <v>150</v>
      </c>
      <c r="FC86" s="1" t="s">
        <v>148</v>
      </c>
    </row>
    <row r="87">
      <c r="A87" s="7">
        <v>86.0</v>
      </c>
      <c r="B87" s="21">
        <v>45.0</v>
      </c>
      <c r="C87" s="25">
        <v>9475.0</v>
      </c>
      <c r="D87" s="1" t="s">
        <v>148</v>
      </c>
      <c r="E87" s="7">
        <v>37.0</v>
      </c>
      <c r="F87" s="1" t="s">
        <v>149</v>
      </c>
      <c r="G87" s="7"/>
      <c r="H87" s="7">
        <v>21.0</v>
      </c>
      <c r="I87" s="1" t="s">
        <v>150</v>
      </c>
      <c r="J87" s="1" t="s">
        <v>150</v>
      </c>
      <c r="K87" s="9"/>
      <c r="L87" s="1" t="s">
        <v>150</v>
      </c>
      <c r="M87" s="1" t="s">
        <v>154</v>
      </c>
      <c r="N87" s="1" t="s">
        <v>192</v>
      </c>
      <c r="O87" s="1" t="str">
        <f t="shared" si="1"/>
        <v>нет</v>
      </c>
      <c r="P87" s="1" t="s">
        <v>154</v>
      </c>
      <c r="Q87" s="1" t="s">
        <v>154</v>
      </c>
      <c r="R87" s="7">
        <v>1.0</v>
      </c>
      <c r="S87" s="1" t="s">
        <v>150</v>
      </c>
      <c r="T87" s="9"/>
      <c r="U87" s="9"/>
      <c r="V87" s="9"/>
      <c r="W87" s="9"/>
      <c r="X87" s="9"/>
      <c r="Y87" s="1" t="s">
        <v>150</v>
      </c>
      <c r="Z87" s="9"/>
      <c r="AA87" s="9"/>
      <c r="AB87" s="9"/>
      <c r="AC87" s="9"/>
      <c r="AD87" s="26"/>
      <c r="AE87" s="1" t="s">
        <v>150</v>
      </c>
      <c r="AF87" s="7">
        <v>0.0</v>
      </c>
      <c r="AG87" s="27" t="s">
        <v>162</v>
      </c>
      <c r="AH87" s="27" t="s">
        <v>152</v>
      </c>
      <c r="AI87" s="1" t="s">
        <v>168</v>
      </c>
      <c r="AJ87" s="9"/>
      <c r="AK87" s="1" t="s">
        <v>5</v>
      </c>
      <c r="AL87" s="1" t="s">
        <v>150</v>
      </c>
      <c r="AM87" s="9"/>
      <c r="AN87" s="1">
        <v>15.0</v>
      </c>
      <c r="AO87" s="1" t="str">
        <f t="shared" si="2"/>
        <v>нет</v>
      </c>
      <c r="AP87" s="7">
        <v>172.0</v>
      </c>
      <c r="AQ87" s="7">
        <v>95.0</v>
      </c>
      <c r="AR87" s="9">
        <f t="shared" si="3"/>
        <v>32.11195241</v>
      </c>
      <c r="AS87" s="7" t="str">
        <f t="shared" si="4"/>
        <v>Ожирение I степени</v>
      </c>
      <c r="AT87" s="7">
        <v>145.0</v>
      </c>
      <c r="AU87" s="7">
        <v>95.0</v>
      </c>
      <c r="AV87" s="3">
        <v>112.0</v>
      </c>
      <c r="AW87" s="7">
        <v>89.0</v>
      </c>
      <c r="AX87" s="7">
        <v>37.0</v>
      </c>
      <c r="AY87" s="7">
        <v>19.0</v>
      </c>
      <c r="AZ87" s="7">
        <v>97.0</v>
      </c>
      <c r="BA87" s="10" t="str">
        <f t="shared" si="5"/>
        <v>нет</v>
      </c>
      <c r="BB87" s="9"/>
      <c r="BC87" s="11"/>
      <c r="BD87" s="12" t="str">
        <f t="shared" si="6"/>
        <v>#DIV/0!</v>
      </c>
      <c r="BE87" s="12">
        <f t="shared" si="7"/>
        <v>0</v>
      </c>
      <c r="BF87" s="12">
        <f t="shared" si="8"/>
        <v>0</v>
      </c>
      <c r="BG87" s="15" t="s">
        <v>154</v>
      </c>
      <c r="BH87" s="15" t="s">
        <v>163</v>
      </c>
      <c r="BI87" s="1" t="s">
        <v>154</v>
      </c>
      <c r="BJ87" s="1" t="s">
        <v>163</v>
      </c>
      <c r="BK87" s="1" t="s">
        <v>150</v>
      </c>
      <c r="BL87" s="9"/>
      <c r="BM87" s="1" t="s">
        <v>154</v>
      </c>
      <c r="BN87" s="1" t="s">
        <v>155</v>
      </c>
      <c r="BO87" s="1" t="s">
        <v>150</v>
      </c>
      <c r="BP87" s="9"/>
      <c r="BQ87" s="9"/>
      <c r="BR87" s="1" t="s">
        <v>154</v>
      </c>
      <c r="BS87" s="1" t="s">
        <v>306</v>
      </c>
      <c r="BT87" s="28">
        <v>24.0</v>
      </c>
      <c r="BU87" s="1" t="s">
        <v>207</v>
      </c>
      <c r="BV87" s="7">
        <v>20.0</v>
      </c>
      <c r="BW87" s="1" t="s">
        <v>150</v>
      </c>
      <c r="BX87" s="10" t="s">
        <v>154</v>
      </c>
      <c r="BY87" s="1" t="s">
        <v>258</v>
      </c>
      <c r="BZ87" s="29" t="s">
        <v>158</v>
      </c>
      <c r="CA87" s="1" t="s">
        <v>176</v>
      </c>
      <c r="CB87" s="1" t="s">
        <v>150</v>
      </c>
      <c r="CC87" s="1" t="s">
        <v>150</v>
      </c>
      <c r="CD87" s="1" t="s">
        <v>212</v>
      </c>
      <c r="CE87" s="1" t="s">
        <v>150</v>
      </c>
      <c r="CF87" s="1" t="s">
        <v>150</v>
      </c>
      <c r="CG87" s="1" t="s">
        <v>154</v>
      </c>
      <c r="CH87" s="1" t="s">
        <v>150</v>
      </c>
      <c r="CI87" s="1" t="s">
        <v>150</v>
      </c>
      <c r="CJ87" s="1" t="s">
        <v>150</v>
      </c>
      <c r="CK87" s="1" t="s">
        <v>150</v>
      </c>
      <c r="CL87" s="9"/>
      <c r="CM87" s="7">
        <v>3.57</v>
      </c>
      <c r="CN87" s="7">
        <v>79.3</v>
      </c>
      <c r="CO87" s="7">
        <f t="shared" si="23"/>
        <v>2.83101</v>
      </c>
      <c r="CP87" s="7">
        <v>16.8</v>
      </c>
      <c r="CQ87" s="7">
        <f t="shared" si="10"/>
        <v>0.47560968</v>
      </c>
      <c r="CR87" s="7">
        <v>3.6</v>
      </c>
      <c r="CS87" s="7">
        <f t="shared" si="11"/>
        <v>0.01712194848</v>
      </c>
      <c r="CT87" s="7">
        <v>0.0</v>
      </c>
      <c r="CU87" s="7">
        <f t="shared" si="12"/>
        <v>0</v>
      </c>
      <c r="CV87" s="7">
        <f t="shared" si="13"/>
        <v>5.952380952</v>
      </c>
      <c r="CW87" s="7">
        <v>5.63</v>
      </c>
      <c r="CX87" s="7">
        <v>161.0</v>
      </c>
      <c r="CY87" s="7" t="str">
        <f t="shared" si="14"/>
        <v>Норма</v>
      </c>
      <c r="CZ87" s="9"/>
      <c r="DA87" s="7">
        <v>85.0</v>
      </c>
      <c r="DB87" s="7">
        <v>109.2</v>
      </c>
      <c r="DC87" s="7">
        <v>16.2</v>
      </c>
      <c r="DD87" s="7">
        <v>77.8</v>
      </c>
      <c r="DE87" s="7"/>
      <c r="DF87" s="7">
        <v>13.8</v>
      </c>
      <c r="DG87" s="7"/>
      <c r="DH87" s="7">
        <v>7.6</v>
      </c>
      <c r="DI87" s="7"/>
      <c r="DJ87" s="7">
        <v>0.4</v>
      </c>
      <c r="DK87" s="7"/>
      <c r="DL87" s="7"/>
      <c r="DM87" s="7">
        <v>5.0</v>
      </c>
      <c r="DN87" s="7">
        <v>148.0</v>
      </c>
      <c r="DO87" s="7" t="str">
        <f t="shared" si="15"/>
        <v>Норма</v>
      </c>
      <c r="DP87" s="9"/>
      <c r="DQ87" s="7">
        <v>155.0</v>
      </c>
      <c r="DR87" s="7">
        <v>5.2</v>
      </c>
      <c r="DS87" s="13">
        <v>686.0</v>
      </c>
      <c r="DT87" s="7">
        <v>30.1</v>
      </c>
      <c r="DU87" s="7">
        <v>14.8</v>
      </c>
      <c r="DV87" s="7">
        <v>1.37</v>
      </c>
      <c r="DW87" s="1" t="s">
        <v>320</v>
      </c>
      <c r="DX87" s="9"/>
      <c r="DY87" s="7">
        <v>38.2</v>
      </c>
      <c r="DZ87" s="7">
        <v>9.9</v>
      </c>
      <c r="EA87" s="7">
        <v>0.85</v>
      </c>
      <c r="EB87" s="7"/>
      <c r="EC87" s="7">
        <v>10.42</v>
      </c>
      <c r="ED87" s="7">
        <v>13.0</v>
      </c>
      <c r="EE87" s="7">
        <v>34.6</v>
      </c>
      <c r="EF87" s="7">
        <v>39.7</v>
      </c>
      <c r="EG87" s="7">
        <v>64.9</v>
      </c>
      <c r="EH87" s="7">
        <v>9.3</v>
      </c>
      <c r="EI87" s="7">
        <v>4.1</v>
      </c>
      <c r="EJ87" s="7">
        <v>95.0</v>
      </c>
      <c r="EK87" s="14">
        <f t="shared" si="16"/>
        <v>66.1562443</v>
      </c>
      <c r="EL87" s="11" t="str">
        <f t="shared" si="17"/>
        <v>C2</v>
      </c>
      <c r="EM87" s="9"/>
      <c r="EN87" s="9"/>
      <c r="EO87" s="7">
        <v>63.4</v>
      </c>
      <c r="EP87" s="7">
        <v>12.4</v>
      </c>
      <c r="EQ87" s="7">
        <v>56.9</v>
      </c>
      <c r="ER87" s="7">
        <v>10.1</v>
      </c>
      <c r="ES87" s="7">
        <v>3.6</v>
      </c>
      <c r="ET87" s="7">
        <v>110.0</v>
      </c>
      <c r="EU87" s="11">
        <f t="shared" si="18"/>
        <v>55.41086435</v>
      </c>
      <c r="EV87" s="11" t="str">
        <f t="shared" si="19"/>
        <v>C3a</v>
      </c>
      <c r="EW87" s="7">
        <v>138.2</v>
      </c>
      <c r="EX87" s="7">
        <v>3.61</v>
      </c>
      <c r="EY87" s="9">
        <f t="shared" si="20"/>
        <v>3.793175592</v>
      </c>
      <c r="EZ87" s="9">
        <f t="shared" si="21"/>
        <v>0.02202780776</v>
      </c>
      <c r="FA87" s="9" t="str">
        <f t="shared" si="22"/>
        <v>Благоприятный</v>
      </c>
      <c r="FB87" s="1" t="s">
        <v>150</v>
      </c>
      <c r="FC87" s="1" t="s">
        <v>148</v>
      </c>
    </row>
    <row r="88">
      <c r="A88" s="7">
        <v>87.0</v>
      </c>
      <c r="B88" s="21">
        <v>46.0</v>
      </c>
      <c r="C88" s="25">
        <v>8458.0</v>
      </c>
      <c r="D88" s="1" t="s">
        <v>148</v>
      </c>
      <c r="E88" s="7">
        <v>75.0</v>
      </c>
      <c r="F88" s="1" t="s">
        <v>161</v>
      </c>
      <c r="G88" s="7"/>
      <c r="H88" s="7">
        <v>19.0</v>
      </c>
      <c r="I88" s="1" t="s">
        <v>150</v>
      </c>
      <c r="J88" s="1" t="s">
        <v>150</v>
      </c>
      <c r="K88" s="9"/>
      <c r="L88" s="1" t="s">
        <v>150</v>
      </c>
      <c r="M88" s="1" t="s">
        <v>150</v>
      </c>
      <c r="N88" s="9"/>
      <c r="O88" s="1" t="str">
        <f t="shared" si="1"/>
        <v>нет</v>
      </c>
      <c r="P88" s="1" t="s">
        <v>150</v>
      </c>
      <c r="Q88" s="1" t="s">
        <v>154</v>
      </c>
      <c r="R88" s="7">
        <v>2.0</v>
      </c>
      <c r="S88" s="1" t="s">
        <v>150</v>
      </c>
      <c r="T88" s="9"/>
      <c r="U88" s="9"/>
      <c r="V88" s="9"/>
      <c r="W88" s="9"/>
      <c r="X88" s="9"/>
      <c r="Y88" s="1" t="s">
        <v>150</v>
      </c>
      <c r="Z88" s="9"/>
      <c r="AA88" s="9"/>
      <c r="AB88" s="9"/>
      <c r="AC88" s="9"/>
      <c r="AD88" s="26"/>
      <c r="AE88" s="1" t="s">
        <v>150</v>
      </c>
      <c r="AF88" s="7">
        <v>0.0</v>
      </c>
      <c r="AG88" s="27" t="s">
        <v>162</v>
      </c>
      <c r="AH88" s="27" t="s">
        <v>152</v>
      </c>
      <c r="AI88" s="1" t="s">
        <v>168</v>
      </c>
      <c r="AJ88" s="7">
        <v>3.0</v>
      </c>
      <c r="AK88" s="1" t="s">
        <v>5</v>
      </c>
      <c r="AL88" s="1" t="s">
        <v>150</v>
      </c>
      <c r="AM88" s="9"/>
      <c r="AN88" s="1">
        <v>15.0</v>
      </c>
      <c r="AO88" s="1" t="str">
        <f t="shared" si="2"/>
        <v>нет</v>
      </c>
      <c r="AP88" s="7">
        <v>158.0</v>
      </c>
      <c r="AQ88" s="7">
        <v>60.0</v>
      </c>
      <c r="AR88" s="9">
        <f t="shared" si="3"/>
        <v>24.03460984</v>
      </c>
      <c r="AS88" s="7" t="str">
        <f t="shared" si="4"/>
        <v>Нормальный вес</v>
      </c>
      <c r="AT88" s="7">
        <v>125.0</v>
      </c>
      <c r="AU88" s="7">
        <v>79.0</v>
      </c>
      <c r="AV88" s="3">
        <v>94.0</v>
      </c>
      <c r="AW88" s="7">
        <v>103.0</v>
      </c>
      <c r="AX88" s="7">
        <v>37.0</v>
      </c>
      <c r="AY88" s="7">
        <v>18.0</v>
      </c>
      <c r="AZ88" s="7">
        <v>89.0</v>
      </c>
      <c r="BA88" s="10" t="str">
        <f t="shared" si="5"/>
        <v>да</v>
      </c>
      <c r="BB88" s="7">
        <v>95.0</v>
      </c>
      <c r="BC88" s="11"/>
      <c r="BD88" s="12" t="str">
        <f t="shared" si="6"/>
        <v>#DIV/0!</v>
      </c>
      <c r="BE88" s="12">
        <f t="shared" si="7"/>
        <v>0</v>
      </c>
      <c r="BF88" s="12">
        <f t="shared" si="8"/>
        <v>4</v>
      </c>
      <c r="BG88" s="15" t="s">
        <v>150</v>
      </c>
      <c r="BH88" s="9"/>
      <c r="BI88" s="15" t="s">
        <v>150</v>
      </c>
      <c r="BJ88" s="9"/>
      <c r="BK88" s="1" t="s">
        <v>150</v>
      </c>
      <c r="BL88" s="9"/>
      <c r="BM88" s="1" t="s">
        <v>154</v>
      </c>
      <c r="BN88" s="1" t="s">
        <v>155</v>
      </c>
      <c r="BO88" s="1" t="s">
        <v>150</v>
      </c>
      <c r="BP88" s="9"/>
      <c r="BQ88" s="9"/>
      <c r="BR88" s="1" t="s">
        <v>154</v>
      </c>
      <c r="BS88" s="1" t="s">
        <v>306</v>
      </c>
      <c r="BT88" s="28">
        <v>24.0</v>
      </c>
      <c r="BU88" s="1" t="s">
        <v>157</v>
      </c>
      <c r="BV88" s="7">
        <v>20.0</v>
      </c>
      <c r="BW88" s="1" t="s">
        <v>150</v>
      </c>
      <c r="BX88" s="10" t="s">
        <v>154</v>
      </c>
      <c r="BY88" s="1" t="s">
        <v>173</v>
      </c>
      <c r="BZ88" s="29" t="s">
        <v>158</v>
      </c>
      <c r="CA88" s="1" t="s">
        <v>167</v>
      </c>
      <c r="CB88" s="1" t="s">
        <v>150</v>
      </c>
      <c r="CC88" s="1" t="s">
        <v>150</v>
      </c>
      <c r="CD88" s="1" t="s">
        <v>247</v>
      </c>
      <c r="CE88" s="1" t="s">
        <v>150</v>
      </c>
      <c r="CF88" s="1" t="s">
        <v>150</v>
      </c>
      <c r="CG88" s="1" t="s">
        <v>150</v>
      </c>
      <c r="CH88" s="1" t="s">
        <v>150</v>
      </c>
      <c r="CI88" s="1" t="s">
        <v>150</v>
      </c>
      <c r="CJ88" s="1" t="s">
        <v>150</v>
      </c>
      <c r="CK88" s="1" t="s">
        <v>150</v>
      </c>
      <c r="CL88" s="1" t="s">
        <v>273</v>
      </c>
      <c r="CM88" s="7">
        <v>7.1</v>
      </c>
      <c r="CN88" s="7">
        <v>83.1</v>
      </c>
      <c r="CO88" s="7">
        <f t="shared" si="23"/>
        <v>5.9001</v>
      </c>
      <c r="CP88" s="7">
        <v>9.8</v>
      </c>
      <c r="CQ88" s="7">
        <f t="shared" si="10"/>
        <v>0.5782098</v>
      </c>
      <c r="CR88" s="7">
        <v>6.9</v>
      </c>
      <c r="CS88" s="7">
        <f t="shared" si="11"/>
        <v>0.0398964762</v>
      </c>
      <c r="CT88" s="7">
        <v>0.0</v>
      </c>
      <c r="CU88" s="7">
        <f t="shared" si="12"/>
        <v>0</v>
      </c>
      <c r="CV88" s="7">
        <f t="shared" si="13"/>
        <v>10.20408163</v>
      </c>
      <c r="CW88" s="7">
        <v>4.51</v>
      </c>
      <c r="CX88" s="7">
        <v>124.0</v>
      </c>
      <c r="CY88" s="7" t="str">
        <f t="shared" si="14"/>
        <v>Легкая степень</v>
      </c>
      <c r="CZ88" s="7">
        <v>28.0</v>
      </c>
      <c r="DA88" s="7">
        <v>299.0</v>
      </c>
      <c r="DB88" s="7">
        <v>82.2</v>
      </c>
      <c r="DC88" s="7">
        <v>10.5</v>
      </c>
      <c r="DD88" s="7">
        <v>68.9</v>
      </c>
      <c r="DE88" s="7"/>
      <c r="DF88" s="7">
        <v>20.8</v>
      </c>
      <c r="DG88" s="7"/>
      <c r="DH88" s="7">
        <v>9.5</v>
      </c>
      <c r="DI88" s="7"/>
      <c r="DJ88" s="7">
        <v>0.1</v>
      </c>
      <c r="DK88" s="7"/>
      <c r="DL88" s="7"/>
      <c r="DM88" s="7">
        <v>4.23</v>
      </c>
      <c r="DN88" s="7">
        <v>118.0</v>
      </c>
      <c r="DO88" s="7" t="str">
        <f t="shared" si="15"/>
        <v>Легкая степень</v>
      </c>
      <c r="DP88" s="7">
        <v>12.0</v>
      </c>
      <c r="DQ88" s="7">
        <v>226.0</v>
      </c>
      <c r="DR88" s="7">
        <v>8.7</v>
      </c>
      <c r="DS88" s="13">
        <v>600.0</v>
      </c>
      <c r="DT88" s="9"/>
      <c r="DU88" s="7">
        <v>12.3</v>
      </c>
      <c r="DV88" s="7">
        <v>1.05</v>
      </c>
      <c r="DW88" s="1" t="s">
        <v>320</v>
      </c>
      <c r="DX88" s="9"/>
      <c r="DY88" s="9"/>
      <c r="DZ88" s="7">
        <v>10.3</v>
      </c>
      <c r="EA88" s="7">
        <v>0.9</v>
      </c>
      <c r="EB88" s="7"/>
      <c r="EC88" s="7">
        <v>19.35</v>
      </c>
      <c r="ED88" s="7">
        <v>3.13</v>
      </c>
      <c r="EE88" s="7">
        <v>22.92</v>
      </c>
      <c r="EF88" s="7">
        <v>18.11</v>
      </c>
      <c r="EG88" s="7">
        <v>61.7</v>
      </c>
      <c r="EH88" s="7">
        <v>6.54</v>
      </c>
      <c r="EI88" s="7">
        <v>1.16</v>
      </c>
      <c r="EJ88" s="7">
        <v>88.46</v>
      </c>
      <c r="EK88" s="14">
        <f t="shared" si="16"/>
        <v>55.21957751</v>
      </c>
      <c r="EL88" s="11" t="str">
        <f t="shared" si="17"/>
        <v>C3a</v>
      </c>
      <c r="EM88" s="9"/>
      <c r="EN88" s="9"/>
      <c r="EO88" s="7">
        <v>32.1</v>
      </c>
      <c r="EP88" s="7">
        <v>19.3</v>
      </c>
      <c r="EQ88" s="7">
        <v>57.1</v>
      </c>
      <c r="ER88" s="7">
        <v>9.8</v>
      </c>
      <c r="ES88" s="7">
        <v>3.5</v>
      </c>
      <c r="ET88" s="7">
        <v>52.0</v>
      </c>
      <c r="EU88" s="11">
        <f t="shared" si="18"/>
        <v>90.04451283</v>
      </c>
      <c r="EV88" s="11" t="str">
        <f t="shared" si="19"/>
        <v>C1</v>
      </c>
      <c r="EW88" s="9"/>
      <c r="EX88" s="9"/>
      <c r="EY88" s="9">
        <f t="shared" si="20"/>
        <v>1.467268344</v>
      </c>
      <c r="EZ88" s="9">
        <f t="shared" si="21"/>
        <v>0.1873581673</v>
      </c>
      <c r="FA88" s="9" t="str">
        <f t="shared" si="22"/>
        <v>Благоприятный</v>
      </c>
      <c r="FB88" s="1" t="s">
        <v>150</v>
      </c>
      <c r="FC88" s="1" t="s">
        <v>148</v>
      </c>
    </row>
    <row r="89">
      <c r="A89" s="7">
        <v>88.0</v>
      </c>
      <c r="B89" s="21">
        <v>47.0</v>
      </c>
      <c r="C89" s="25">
        <v>8120.0</v>
      </c>
      <c r="D89" s="1" t="s">
        <v>148</v>
      </c>
      <c r="E89" s="7">
        <v>67.0</v>
      </c>
      <c r="F89" s="1" t="s">
        <v>161</v>
      </c>
      <c r="G89" s="7"/>
      <c r="H89" s="7">
        <v>15.0</v>
      </c>
      <c r="I89" s="1" t="s">
        <v>150</v>
      </c>
      <c r="J89" s="1" t="s">
        <v>150</v>
      </c>
      <c r="K89" s="9"/>
      <c r="L89" s="1" t="s">
        <v>154</v>
      </c>
      <c r="M89" s="1" t="s">
        <v>154</v>
      </c>
      <c r="N89" s="1" t="s">
        <v>187</v>
      </c>
      <c r="O89" s="1" t="str">
        <f t="shared" si="1"/>
        <v>нет</v>
      </c>
      <c r="P89" s="1" t="s">
        <v>154</v>
      </c>
      <c r="Q89" s="1" t="s">
        <v>154</v>
      </c>
      <c r="R89" s="7">
        <v>3.0</v>
      </c>
      <c r="S89" s="1" t="s">
        <v>150</v>
      </c>
      <c r="T89" s="9"/>
      <c r="U89" s="9"/>
      <c r="V89" s="9"/>
      <c r="W89" s="9"/>
      <c r="X89" s="9"/>
      <c r="Y89" s="1" t="s">
        <v>150</v>
      </c>
      <c r="Z89" s="9"/>
      <c r="AA89" s="9"/>
      <c r="AB89" s="9"/>
      <c r="AC89" s="9"/>
      <c r="AD89" s="26"/>
      <c r="AE89" s="1" t="s">
        <v>150</v>
      </c>
      <c r="AF89" s="7">
        <v>0.0</v>
      </c>
      <c r="AG89" s="27" t="s">
        <v>162</v>
      </c>
      <c r="AH89" s="27" t="s">
        <v>152</v>
      </c>
      <c r="AI89" s="1" t="s">
        <v>153</v>
      </c>
      <c r="AJ89" s="7">
        <v>3.0</v>
      </c>
      <c r="AK89" s="1" t="s">
        <v>5</v>
      </c>
      <c r="AL89" s="1" t="s">
        <v>150</v>
      </c>
      <c r="AM89" s="9"/>
      <c r="AN89" s="1">
        <v>15.0</v>
      </c>
      <c r="AO89" s="1" t="str">
        <f t="shared" si="2"/>
        <v>нет</v>
      </c>
      <c r="AP89" s="7">
        <v>159.0</v>
      </c>
      <c r="AQ89" s="7">
        <v>59.0</v>
      </c>
      <c r="AR89" s="9">
        <f t="shared" si="3"/>
        <v>23.33768443</v>
      </c>
      <c r="AS89" s="7" t="str">
        <f t="shared" si="4"/>
        <v>Нормальный вес</v>
      </c>
      <c r="AT89" s="7">
        <v>160.0</v>
      </c>
      <c r="AU89" s="7">
        <v>100.0</v>
      </c>
      <c r="AV89" s="3">
        <v>120.0</v>
      </c>
      <c r="AW89" s="7">
        <v>120.0</v>
      </c>
      <c r="AX89" s="7">
        <v>38.0</v>
      </c>
      <c r="AY89" s="7">
        <v>18.0</v>
      </c>
      <c r="AZ89" s="7">
        <v>79.0</v>
      </c>
      <c r="BA89" s="10" t="str">
        <f t="shared" si="5"/>
        <v>да</v>
      </c>
      <c r="BB89" s="7">
        <v>84.0</v>
      </c>
      <c r="BC89" s="11"/>
      <c r="BD89" s="12" t="str">
        <f t="shared" si="6"/>
        <v>#DIV/0!</v>
      </c>
      <c r="BE89" s="12">
        <f t="shared" si="7"/>
        <v>0</v>
      </c>
      <c r="BF89" s="12">
        <f t="shared" si="8"/>
        <v>5</v>
      </c>
      <c r="BG89" s="15" t="s">
        <v>150</v>
      </c>
      <c r="BH89" s="9"/>
      <c r="BI89" s="1" t="s">
        <v>154</v>
      </c>
      <c r="BJ89" s="1" t="s">
        <v>175</v>
      </c>
      <c r="BK89" s="1" t="s">
        <v>150</v>
      </c>
      <c r="BL89" s="9"/>
      <c r="BM89" s="1" t="s">
        <v>154</v>
      </c>
      <c r="BN89" s="1" t="s">
        <v>155</v>
      </c>
      <c r="BO89" s="1" t="s">
        <v>150</v>
      </c>
      <c r="BP89" s="9"/>
      <c r="BQ89" s="9"/>
      <c r="BR89" s="1" t="s">
        <v>154</v>
      </c>
      <c r="BS89" s="1" t="s">
        <v>325</v>
      </c>
      <c r="BT89" s="30"/>
      <c r="BU89" s="1" t="s">
        <v>157</v>
      </c>
      <c r="BV89" s="7">
        <v>12.0</v>
      </c>
      <c r="BW89" s="1" t="s">
        <v>154</v>
      </c>
      <c r="BX89" s="10" t="s">
        <v>154</v>
      </c>
      <c r="BY89" s="1" t="s">
        <v>275</v>
      </c>
      <c r="BZ89" s="29" t="s">
        <v>158</v>
      </c>
      <c r="CA89" s="1" t="s">
        <v>176</v>
      </c>
      <c r="CB89" s="1" t="s">
        <v>150</v>
      </c>
      <c r="CC89" s="1" t="s">
        <v>150</v>
      </c>
      <c r="CD89" s="9"/>
      <c r="CE89" s="1" t="s">
        <v>150</v>
      </c>
      <c r="CF89" s="1" t="s">
        <v>240</v>
      </c>
      <c r="CG89" s="1" t="s">
        <v>150</v>
      </c>
      <c r="CH89" s="1" t="s">
        <v>150</v>
      </c>
      <c r="CI89" s="1" t="s">
        <v>150</v>
      </c>
      <c r="CJ89" s="1" t="s">
        <v>150</v>
      </c>
      <c r="CK89" s="1" t="s">
        <v>150</v>
      </c>
      <c r="CL89" s="1" t="s">
        <v>250</v>
      </c>
      <c r="CM89" s="7">
        <v>8.71</v>
      </c>
      <c r="CN89" s="1">
        <v>86.1</v>
      </c>
      <c r="CO89" s="7">
        <f t="shared" si="23"/>
        <v>7.49931</v>
      </c>
      <c r="CP89" s="1">
        <v>8.4</v>
      </c>
      <c r="CQ89" s="7">
        <f t="shared" si="10"/>
        <v>0.62994204</v>
      </c>
      <c r="CR89" s="1">
        <v>5.2</v>
      </c>
      <c r="CS89" s="7">
        <f t="shared" si="11"/>
        <v>0.03275698608</v>
      </c>
      <c r="CT89" s="1">
        <v>0.1</v>
      </c>
      <c r="CU89" s="7">
        <f t="shared" si="12"/>
        <v>0.00003275698608</v>
      </c>
      <c r="CV89" s="7">
        <f t="shared" si="13"/>
        <v>11.9047619</v>
      </c>
      <c r="CW89" s="9"/>
      <c r="CX89" s="7">
        <v>119.0</v>
      </c>
      <c r="CY89" s="7" t="str">
        <f t="shared" si="14"/>
        <v>Легкая степень</v>
      </c>
      <c r="CZ89" s="9"/>
      <c r="DA89" s="7">
        <v>280.0</v>
      </c>
      <c r="DB89" s="9"/>
      <c r="DC89" s="7">
        <v>9.0</v>
      </c>
      <c r="DD89" s="1">
        <v>77.9</v>
      </c>
      <c r="DE89" s="9"/>
      <c r="DF89" s="1">
        <v>12.8</v>
      </c>
      <c r="DG89" s="9"/>
      <c r="DH89" s="1">
        <v>8.5</v>
      </c>
      <c r="DI89" s="9"/>
      <c r="DJ89" s="1">
        <v>0.0</v>
      </c>
      <c r="DK89" s="9"/>
      <c r="DL89" s="9"/>
      <c r="DM89" s="9"/>
      <c r="DN89" s="7">
        <v>113.0</v>
      </c>
      <c r="DO89" s="7" t="str">
        <f t="shared" si="15"/>
        <v>Легкая степень</v>
      </c>
      <c r="DP89" s="9"/>
      <c r="DQ89" s="7">
        <v>257.0</v>
      </c>
      <c r="DR89" s="7">
        <v>50.9</v>
      </c>
      <c r="DS89" s="13">
        <v>498.0</v>
      </c>
      <c r="DT89" s="7">
        <v>23.5</v>
      </c>
      <c r="DU89" s="7">
        <v>14.0</v>
      </c>
      <c r="DV89" s="7">
        <v>1.2</v>
      </c>
      <c r="DW89" s="1" t="s">
        <v>320</v>
      </c>
      <c r="DX89" s="9"/>
      <c r="DY89" s="9"/>
      <c r="DZ89" s="9"/>
      <c r="EA89" s="9"/>
      <c r="EB89" s="7"/>
      <c r="EC89" s="7">
        <v>24.18</v>
      </c>
      <c r="ED89" s="7">
        <v>28.55</v>
      </c>
      <c r="EE89" s="9"/>
      <c r="EF89" s="7">
        <v>17.34</v>
      </c>
      <c r="EG89" s="7">
        <v>69.1</v>
      </c>
      <c r="EH89" s="7">
        <v>11.31</v>
      </c>
      <c r="EI89" s="7">
        <v>2.21</v>
      </c>
      <c r="EJ89" s="7">
        <v>121.79</v>
      </c>
      <c r="EK89" s="14">
        <f t="shared" si="16"/>
        <v>39.68365586</v>
      </c>
      <c r="EL89" s="11" t="str">
        <f t="shared" si="17"/>
        <v>C3b</v>
      </c>
      <c r="EM89" s="9"/>
      <c r="EN89" s="9"/>
      <c r="EO89" s="9"/>
      <c r="EP89" s="7">
        <v>50.56</v>
      </c>
      <c r="EQ89" s="7">
        <v>69.3</v>
      </c>
      <c r="ER89" s="7">
        <v>7.36</v>
      </c>
      <c r="ES89" s="7">
        <v>1.88</v>
      </c>
      <c r="ET89" s="7">
        <v>179.35</v>
      </c>
      <c r="EU89" s="11">
        <f t="shared" si="18"/>
        <v>24.85370655</v>
      </c>
      <c r="EV89" s="11" t="str">
        <f t="shared" si="19"/>
        <v>C4</v>
      </c>
      <c r="EW89" s="7">
        <v>136.5</v>
      </c>
      <c r="EX89" s="7">
        <v>3.75</v>
      </c>
      <c r="EY89" s="9">
        <f t="shared" si="20"/>
        <v>1.11468008</v>
      </c>
      <c r="EZ89" s="9">
        <f t="shared" si="21"/>
        <v>0.2469994069</v>
      </c>
      <c r="FA89" s="9" t="str">
        <f t="shared" si="22"/>
        <v>Благоприятный</v>
      </c>
      <c r="FB89" s="1" t="s">
        <v>150</v>
      </c>
      <c r="FC89" s="1" t="s">
        <v>148</v>
      </c>
    </row>
    <row r="90">
      <c r="A90" s="7">
        <v>89.0</v>
      </c>
      <c r="B90" s="21">
        <v>48.0</v>
      </c>
      <c r="C90" s="25">
        <v>6193.0</v>
      </c>
      <c r="D90" s="1" t="s">
        <v>148</v>
      </c>
      <c r="E90" s="7">
        <v>45.0</v>
      </c>
      <c r="F90" s="1" t="s">
        <v>149</v>
      </c>
      <c r="G90" s="7"/>
      <c r="H90" s="7">
        <v>16.0</v>
      </c>
      <c r="I90" s="1" t="s">
        <v>150</v>
      </c>
      <c r="J90" s="1" t="s">
        <v>150</v>
      </c>
      <c r="K90" s="9"/>
      <c r="L90" s="1" t="s">
        <v>150</v>
      </c>
      <c r="M90" s="1" t="s">
        <v>154</v>
      </c>
      <c r="N90" s="1" t="s">
        <v>192</v>
      </c>
      <c r="O90" s="1" t="str">
        <f t="shared" si="1"/>
        <v>нет</v>
      </c>
      <c r="P90" s="1" t="s">
        <v>150</v>
      </c>
      <c r="Q90" s="1" t="s">
        <v>154</v>
      </c>
      <c r="R90" s="7">
        <v>2.0</v>
      </c>
      <c r="S90" s="1" t="s">
        <v>150</v>
      </c>
      <c r="T90" s="9"/>
      <c r="U90" s="9"/>
      <c r="V90" s="9"/>
      <c r="W90" s="9"/>
      <c r="X90" s="9"/>
      <c r="Y90" s="1" t="s">
        <v>150</v>
      </c>
      <c r="Z90" s="9"/>
      <c r="AA90" s="9"/>
      <c r="AB90" s="9"/>
      <c r="AC90" s="9"/>
      <c r="AD90" s="26" t="s">
        <v>326</v>
      </c>
      <c r="AE90" s="1" t="s">
        <v>150</v>
      </c>
      <c r="AF90" s="7">
        <v>0.0</v>
      </c>
      <c r="AG90" s="27" t="s">
        <v>162</v>
      </c>
      <c r="AH90" s="27" t="s">
        <v>152</v>
      </c>
      <c r="AI90" s="1" t="s">
        <v>168</v>
      </c>
      <c r="AJ90" s="7">
        <v>3.0</v>
      </c>
      <c r="AK90" s="1" t="s">
        <v>5</v>
      </c>
      <c r="AL90" s="1" t="s">
        <v>150</v>
      </c>
      <c r="AM90" s="9"/>
      <c r="AN90" s="1">
        <v>15.0</v>
      </c>
      <c r="AO90" s="1" t="str">
        <f t="shared" si="2"/>
        <v>нет</v>
      </c>
      <c r="AP90" s="7">
        <v>180.0</v>
      </c>
      <c r="AQ90" s="7">
        <v>130.0</v>
      </c>
      <c r="AR90" s="9">
        <f t="shared" si="3"/>
        <v>40.12345679</v>
      </c>
      <c r="AS90" s="7" t="str">
        <f t="shared" si="4"/>
        <v>Ожирение III степени (морбидное)</v>
      </c>
      <c r="AT90" s="7">
        <v>130.0</v>
      </c>
      <c r="AU90" s="7">
        <v>80.0</v>
      </c>
      <c r="AV90" s="3">
        <v>97.0</v>
      </c>
      <c r="AW90" s="7">
        <v>98.0</v>
      </c>
      <c r="AX90" s="7">
        <v>37.2</v>
      </c>
      <c r="AY90" s="7">
        <v>23.0</v>
      </c>
      <c r="AZ90" s="7">
        <v>88.0</v>
      </c>
      <c r="BA90" s="10" t="str">
        <f t="shared" si="5"/>
        <v>да</v>
      </c>
      <c r="BB90" s="7">
        <v>98.0</v>
      </c>
      <c r="BC90" s="11"/>
      <c r="BD90" s="12" t="str">
        <f t="shared" si="6"/>
        <v>#DIV/0!</v>
      </c>
      <c r="BE90" s="12">
        <f t="shared" si="7"/>
        <v>1</v>
      </c>
      <c r="BF90" s="12">
        <f t="shared" si="8"/>
        <v>6</v>
      </c>
      <c r="BG90" s="15" t="s">
        <v>150</v>
      </c>
      <c r="BH90" s="9"/>
      <c r="BI90" s="15" t="s">
        <v>154</v>
      </c>
      <c r="BJ90" s="1" t="s">
        <v>175</v>
      </c>
      <c r="BK90" s="1" t="s">
        <v>150</v>
      </c>
      <c r="BL90" s="9"/>
      <c r="BM90" s="1" t="s">
        <v>154</v>
      </c>
      <c r="BN90" s="1" t="s">
        <v>155</v>
      </c>
      <c r="BO90" s="9"/>
      <c r="BP90" s="9"/>
      <c r="BQ90" s="9"/>
      <c r="BR90" s="1" t="s">
        <v>154</v>
      </c>
      <c r="BS90" s="1" t="s">
        <v>170</v>
      </c>
      <c r="BT90" s="28">
        <v>24.0</v>
      </c>
      <c r="BU90" s="1" t="s">
        <v>157</v>
      </c>
      <c r="BV90" s="7">
        <v>12.0</v>
      </c>
      <c r="BW90" s="1" t="s">
        <v>154</v>
      </c>
      <c r="BX90" s="10" t="s">
        <v>154</v>
      </c>
      <c r="BY90" s="1" t="s">
        <v>239</v>
      </c>
      <c r="BZ90" s="29" t="s">
        <v>158</v>
      </c>
      <c r="CA90" s="9"/>
      <c r="CB90" s="1" t="s">
        <v>150</v>
      </c>
      <c r="CC90" s="1" t="s">
        <v>150</v>
      </c>
      <c r="CD90" s="9"/>
      <c r="CE90" s="1" t="s">
        <v>150</v>
      </c>
      <c r="CF90" s="1" t="s">
        <v>150</v>
      </c>
      <c r="CG90" s="1" t="s">
        <v>150</v>
      </c>
      <c r="CH90" s="1" t="s">
        <v>150</v>
      </c>
      <c r="CI90" s="1" t="s">
        <v>150</v>
      </c>
      <c r="CJ90" s="1" t="s">
        <v>150</v>
      </c>
      <c r="CK90" s="1" t="s">
        <v>150</v>
      </c>
      <c r="CL90" s="1" t="s">
        <v>327</v>
      </c>
      <c r="CM90" s="7">
        <v>9.8</v>
      </c>
      <c r="CN90" s="7">
        <v>86.2</v>
      </c>
      <c r="CO90" s="7">
        <f t="shared" si="23"/>
        <v>8.4476</v>
      </c>
      <c r="CP90" s="7">
        <v>10.3</v>
      </c>
      <c r="CQ90" s="7">
        <f t="shared" si="10"/>
        <v>0.8701028</v>
      </c>
      <c r="CR90" s="7">
        <v>3.4</v>
      </c>
      <c r="CS90" s="7">
        <f t="shared" si="11"/>
        <v>0.0295834952</v>
      </c>
      <c r="CT90" s="7">
        <v>0.0</v>
      </c>
      <c r="CU90" s="7">
        <f t="shared" si="12"/>
        <v>0</v>
      </c>
      <c r="CV90" s="7">
        <f t="shared" si="13"/>
        <v>9.708737864</v>
      </c>
      <c r="CW90" s="7">
        <v>4.49</v>
      </c>
      <c r="CX90" s="7">
        <v>127.0</v>
      </c>
      <c r="CY90" s="7" t="str">
        <f t="shared" si="14"/>
        <v>Легкая степень</v>
      </c>
      <c r="CZ90" s="9"/>
      <c r="DA90" s="7">
        <v>142.0</v>
      </c>
      <c r="DB90" s="7">
        <v>230.9</v>
      </c>
      <c r="DC90" s="7">
        <v>7.1</v>
      </c>
      <c r="DD90" s="7">
        <v>63.7</v>
      </c>
      <c r="DE90" s="7"/>
      <c r="DF90" s="7">
        <v>23.7</v>
      </c>
      <c r="DG90" s="7"/>
      <c r="DH90" s="7">
        <v>12.3</v>
      </c>
      <c r="DI90" s="7"/>
      <c r="DJ90" s="7">
        <v>0.1</v>
      </c>
      <c r="DK90" s="7"/>
      <c r="DL90" s="7"/>
      <c r="DM90" s="7">
        <v>4.63</v>
      </c>
      <c r="DN90" s="7">
        <v>132.0</v>
      </c>
      <c r="DO90" s="7" t="str">
        <f t="shared" si="15"/>
        <v>Норма</v>
      </c>
      <c r="DP90" s="9"/>
      <c r="DQ90" s="7">
        <v>151.0</v>
      </c>
      <c r="DR90" s="7">
        <v>0.7</v>
      </c>
      <c r="DS90" s="13">
        <v>1170.0</v>
      </c>
      <c r="DT90" s="9"/>
      <c r="DU90" s="7">
        <v>15.0</v>
      </c>
      <c r="DV90" s="7">
        <v>1.28</v>
      </c>
      <c r="DW90" s="1" t="s">
        <v>320</v>
      </c>
      <c r="DX90" s="9"/>
      <c r="DY90" s="7">
        <v>32.3</v>
      </c>
      <c r="DZ90" s="7">
        <v>10.9</v>
      </c>
      <c r="EA90" s="7">
        <v>0.93</v>
      </c>
      <c r="EB90" s="7"/>
      <c r="EC90" s="7">
        <v>7.19</v>
      </c>
      <c r="ED90" s="7">
        <v>5.98</v>
      </c>
      <c r="EE90" s="7">
        <v>108.4</v>
      </c>
      <c r="EF90" s="7">
        <v>66.8</v>
      </c>
      <c r="EG90" s="7">
        <v>84.9</v>
      </c>
      <c r="EH90" s="7">
        <v>15.9</v>
      </c>
      <c r="EI90" s="7">
        <v>5.2</v>
      </c>
      <c r="EJ90" s="7">
        <v>86.0</v>
      </c>
      <c r="EK90" s="14">
        <f t="shared" si="16"/>
        <v>70.53814614</v>
      </c>
      <c r="EL90" s="11" t="str">
        <f t="shared" si="17"/>
        <v>C2</v>
      </c>
      <c r="EM90" s="7">
        <v>137.5</v>
      </c>
      <c r="EN90" s="7">
        <v>3.81</v>
      </c>
      <c r="EO90" s="7">
        <v>101.4</v>
      </c>
      <c r="EP90" s="7">
        <v>22.5</v>
      </c>
      <c r="EQ90" s="7">
        <v>67.6</v>
      </c>
      <c r="ER90" s="7">
        <v>14.8</v>
      </c>
      <c r="ES90" s="7">
        <v>4.8</v>
      </c>
      <c r="ET90" s="7">
        <v>88.0</v>
      </c>
      <c r="EU90" s="11">
        <f t="shared" si="18"/>
        <v>68.60458134</v>
      </c>
      <c r="EV90" s="11" t="str">
        <f t="shared" si="19"/>
        <v>C2</v>
      </c>
      <c r="EW90" s="7">
        <v>137.5</v>
      </c>
      <c r="EX90" s="7">
        <v>4.71</v>
      </c>
      <c r="EY90" s="9">
        <f t="shared" si="20"/>
        <v>0.7736138272</v>
      </c>
      <c r="EZ90" s="9">
        <f t="shared" si="21"/>
        <v>0.3156978818</v>
      </c>
      <c r="FA90" s="9" t="str">
        <f t="shared" si="22"/>
        <v>Благоприятный</v>
      </c>
      <c r="FB90" s="1" t="s">
        <v>150</v>
      </c>
      <c r="FC90" s="1" t="s">
        <v>148</v>
      </c>
    </row>
    <row r="91">
      <c r="A91" s="7">
        <v>90.0</v>
      </c>
      <c r="B91" s="21">
        <v>49.0</v>
      </c>
      <c r="C91" s="25">
        <v>9866.0</v>
      </c>
      <c r="D91" s="1" t="s">
        <v>148</v>
      </c>
      <c r="E91" s="7">
        <v>69.0</v>
      </c>
      <c r="F91" s="1" t="s">
        <v>161</v>
      </c>
      <c r="G91" s="7"/>
      <c r="H91" s="7">
        <v>27.0</v>
      </c>
      <c r="I91" s="1" t="s">
        <v>150</v>
      </c>
      <c r="J91" s="1" t="s">
        <v>150</v>
      </c>
      <c r="K91" s="9"/>
      <c r="L91" s="1" t="s">
        <v>150</v>
      </c>
      <c r="M91" s="1" t="s">
        <v>154</v>
      </c>
      <c r="N91" s="1" t="s">
        <v>192</v>
      </c>
      <c r="O91" s="1" t="str">
        <f t="shared" si="1"/>
        <v>нет</v>
      </c>
      <c r="P91" s="1" t="s">
        <v>150</v>
      </c>
      <c r="Q91" s="1" t="s">
        <v>154</v>
      </c>
      <c r="R91" s="7">
        <v>3.0</v>
      </c>
      <c r="S91" s="1" t="s">
        <v>150</v>
      </c>
      <c r="T91" s="9"/>
      <c r="U91" s="9"/>
      <c r="V91" s="9"/>
      <c r="W91" s="9"/>
      <c r="X91" s="9"/>
      <c r="Y91" s="1" t="s">
        <v>150</v>
      </c>
      <c r="Z91" s="9"/>
      <c r="AA91" s="9"/>
      <c r="AB91" s="9"/>
      <c r="AC91" s="9"/>
      <c r="AD91" s="26"/>
      <c r="AE91" s="1" t="s">
        <v>150</v>
      </c>
      <c r="AF91" s="7">
        <v>0.0</v>
      </c>
      <c r="AG91" s="27" t="s">
        <v>151</v>
      </c>
      <c r="AH91" s="27" t="s">
        <v>152</v>
      </c>
      <c r="AI91" s="1" t="s">
        <v>168</v>
      </c>
      <c r="AJ91" s="7">
        <v>3.0</v>
      </c>
      <c r="AK91" s="27" t="s">
        <v>328</v>
      </c>
      <c r="AL91" s="1" t="s">
        <v>150</v>
      </c>
      <c r="AM91" s="9"/>
      <c r="AN91" s="1">
        <v>15.0</v>
      </c>
      <c r="AO91" s="1" t="str">
        <f t="shared" si="2"/>
        <v>нет</v>
      </c>
      <c r="AP91" s="7">
        <v>165.0</v>
      </c>
      <c r="AQ91" s="7">
        <v>85.0</v>
      </c>
      <c r="AR91" s="9">
        <f t="shared" si="3"/>
        <v>31.22130395</v>
      </c>
      <c r="AS91" s="7" t="str">
        <f t="shared" si="4"/>
        <v>Ожирение I степени</v>
      </c>
      <c r="AT91" s="7">
        <v>150.0</v>
      </c>
      <c r="AU91" s="7">
        <v>100.0</v>
      </c>
      <c r="AV91" s="3">
        <v>117.0</v>
      </c>
      <c r="AW91" s="7">
        <v>105.0</v>
      </c>
      <c r="AX91" s="7">
        <v>38.5</v>
      </c>
      <c r="AY91" s="7">
        <v>30.0</v>
      </c>
      <c r="AZ91" s="7">
        <v>70.0</v>
      </c>
      <c r="BA91" s="10" t="str">
        <f t="shared" si="5"/>
        <v>да</v>
      </c>
      <c r="BB91" s="7">
        <v>96.0</v>
      </c>
      <c r="BC91" s="11"/>
      <c r="BD91" s="12" t="str">
        <f t="shared" si="6"/>
        <v>#DIV/0!</v>
      </c>
      <c r="BE91" s="12">
        <f t="shared" si="7"/>
        <v>1</v>
      </c>
      <c r="BF91" s="12">
        <f t="shared" si="8"/>
        <v>8</v>
      </c>
      <c r="BG91" s="15" t="s">
        <v>154</v>
      </c>
      <c r="BH91" s="15" t="s">
        <v>175</v>
      </c>
      <c r="BI91" s="1" t="s">
        <v>154</v>
      </c>
      <c r="BJ91" s="1" t="s">
        <v>329</v>
      </c>
      <c r="BK91" s="1" t="s">
        <v>154</v>
      </c>
      <c r="BL91" s="1" t="s">
        <v>189</v>
      </c>
      <c r="BM91" s="1" t="s">
        <v>154</v>
      </c>
      <c r="BN91" s="1" t="s">
        <v>155</v>
      </c>
      <c r="BO91" s="1" t="s">
        <v>154</v>
      </c>
      <c r="BP91" s="1" t="s">
        <v>157</v>
      </c>
      <c r="BQ91" s="9"/>
      <c r="BR91" s="1" t="s">
        <v>154</v>
      </c>
      <c r="BS91" s="1" t="s">
        <v>306</v>
      </c>
      <c r="BT91" s="30"/>
      <c r="BU91" s="1" t="s">
        <v>157</v>
      </c>
      <c r="BV91" s="7">
        <v>12.0</v>
      </c>
      <c r="BW91" s="1" t="s">
        <v>154</v>
      </c>
      <c r="BX91" s="10" t="s">
        <v>154</v>
      </c>
      <c r="BY91" s="1" t="s">
        <v>275</v>
      </c>
      <c r="BZ91" s="29" t="s">
        <v>158</v>
      </c>
      <c r="CA91" s="9"/>
      <c r="CB91" s="1" t="s">
        <v>150</v>
      </c>
      <c r="CC91" s="1" t="s">
        <v>150</v>
      </c>
      <c r="CD91" s="9"/>
      <c r="CE91" s="1" t="s">
        <v>150</v>
      </c>
      <c r="CF91" s="1" t="s">
        <v>150</v>
      </c>
      <c r="CG91" s="1" t="s">
        <v>154</v>
      </c>
      <c r="CH91" s="1" t="s">
        <v>150</v>
      </c>
      <c r="CI91" s="1" t="s">
        <v>150</v>
      </c>
      <c r="CJ91" s="1" t="s">
        <v>150</v>
      </c>
      <c r="CK91" s="1" t="s">
        <v>150</v>
      </c>
      <c r="CL91" s="1" t="s">
        <v>330</v>
      </c>
      <c r="CM91" s="7">
        <v>2.93</v>
      </c>
      <c r="CN91" s="7">
        <v>50.1</v>
      </c>
      <c r="CO91" s="7">
        <f t="shared" si="23"/>
        <v>1.46793</v>
      </c>
      <c r="CP91" s="7">
        <v>29.0</v>
      </c>
      <c r="CQ91" s="7">
        <f t="shared" si="10"/>
        <v>0.4256997</v>
      </c>
      <c r="CR91" s="7">
        <v>17.5</v>
      </c>
      <c r="CS91" s="7">
        <f t="shared" si="11"/>
        <v>0.0744974475</v>
      </c>
      <c r="CT91" s="7">
        <v>0.0</v>
      </c>
      <c r="CU91" s="7">
        <f t="shared" si="12"/>
        <v>0</v>
      </c>
      <c r="CV91" s="7">
        <f t="shared" si="13"/>
        <v>3.448275862</v>
      </c>
      <c r="CW91" s="7">
        <v>4.45</v>
      </c>
      <c r="CX91" s="7">
        <v>126.0</v>
      </c>
      <c r="CY91" s="7" t="str">
        <f t="shared" si="14"/>
        <v>Легкая степень</v>
      </c>
      <c r="CZ91" s="9"/>
      <c r="DA91" s="7">
        <v>61.0</v>
      </c>
      <c r="DB91" s="7">
        <v>117.1</v>
      </c>
      <c r="DC91" s="7">
        <v>4.6</v>
      </c>
      <c r="DD91" s="7">
        <v>81.4</v>
      </c>
      <c r="DE91" s="7"/>
      <c r="DF91" s="7">
        <v>7.7</v>
      </c>
      <c r="DG91" s="7"/>
      <c r="DH91" s="7">
        <v>8.0</v>
      </c>
      <c r="DI91" s="7"/>
      <c r="DJ91" s="7">
        <v>1.6</v>
      </c>
      <c r="DK91" s="7"/>
      <c r="DL91" s="7"/>
      <c r="DM91" s="7">
        <v>3.83</v>
      </c>
      <c r="DN91" s="7">
        <v>113.0</v>
      </c>
      <c r="DO91" s="7" t="str">
        <f t="shared" si="15"/>
        <v>Легкая степень</v>
      </c>
      <c r="DP91" s="7">
        <v>76.0</v>
      </c>
      <c r="DQ91" s="7">
        <v>114.0</v>
      </c>
      <c r="DR91" s="7">
        <v>9.3</v>
      </c>
      <c r="DS91" s="13">
        <v>670.0</v>
      </c>
      <c r="DT91" s="7">
        <v>34.4</v>
      </c>
      <c r="DU91" s="7">
        <v>17.2</v>
      </c>
      <c r="DV91" s="7">
        <v>1.47</v>
      </c>
      <c r="DW91" s="7">
        <v>0.21</v>
      </c>
      <c r="DX91" s="9"/>
      <c r="DY91" s="9"/>
      <c r="DZ91" s="7">
        <v>12.1</v>
      </c>
      <c r="EA91" s="7">
        <v>1.034</v>
      </c>
      <c r="EB91" s="7"/>
      <c r="EC91" s="7">
        <v>7.73</v>
      </c>
      <c r="ED91" s="7">
        <v>5.25</v>
      </c>
      <c r="EE91" s="7">
        <v>81.17</v>
      </c>
      <c r="EF91" s="7">
        <v>104.6</v>
      </c>
      <c r="EG91" s="7">
        <v>69.3</v>
      </c>
      <c r="EH91" s="7">
        <v>13.9</v>
      </c>
      <c r="EI91" s="7">
        <v>4.5</v>
      </c>
      <c r="EJ91" s="7">
        <v>99.99</v>
      </c>
      <c r="EK91" s="14">
        <f t="shared" si="16"/>
        <v>49.66691004</v>
      </c>
      <c r="EL91" s="11" t="str">
        <f t="shared" si="17"/>
        <v>C3a</v>
      </c>
      <c r="EM91" s="7">
        <v>138.2</v>
      </c>
      <c r="EN91" s="7">
        <v>4.1</v>
      </c>
      <c r="EO91" s="7">
        <v>53.5</v>
      </c>
      <c r="EP91" s="7">
        <v>33.6</v>
      </c>
      <c r="EQ91" s="7">
        <v>56.2</v>
      </c>
      <c r="ER91" s="7">
        <v>12.4</v>
      </c>
      <c r="ES91" s="7">
        <v>4.2</v>
      </c>
      <c r="ET91" s="7">
        <v>65.0</v>
      </c>
      <c r="EU91" s="11">
        <f t="shared" si="18"/>
        <v>83.59925068</v>
      </c>
      <c r="EV91" s="11" t="str">
        <f t="shared" si="19"/>
        <v>C2</v>
      </c>
      <c r="EW91" s="7">
        <v>138.5</v>
      </c>
      <c r="EX91" s="7">
        <v>3.9</v>
      </c>
      <c r="EY91" s="9">
        <f t="shared" si="20"/>
        <v>-2.373905214</v>
      </c>
      <c r="EZ91" s="9">
        <f t="shared" si="21"/>
        <v>0.9148156793</v>
      </c>
      <c r="FA91" s="9" t="str">
        <f t="shared" si="22"/>
        <v>Неблагоприятный</v>
      </c>
      <c r="FB91" s="1" t="s">
        <v>256</v>
      </c>
      <c r="FC91" s="1" t="s">
        <v>148</v>
      </c>
    </row>
    <row r="92">
      <c r="A92" s="7">
        <v>91.0</v>
      </c>
      <c r="B92" s="21">
        <v>50.0</v>
      </c>
      <c r="C92" s="25">
        <v>9176.0</v>
      </c>
      <c r="D92" s="1" t="s">
        <v>148</v>
      </c>
      <c r="E92" s="7">
        <v>56.0</v>
      </c>
      <c r="F92" s="1" t="s">
        <v>161</v>
      </c>
      <c r="G92" s="7"/>
      <c r="H92" s="7">
        <v>21.0</v>
      </c>
      <c r="I92" s="1" t="s">
        <v>150</v>
      </c>
      <c r="J92" s="1" t="s">
        <v>150</v>
      </c>
      <c r="K92" s="9"/>
      <c r="L92" s="1" t="s">
        <v>150</v>
      </c>
      <c r="M92" s="1" t="s">
        <v>150</v>
      </c>
      <c r="N92" s="9"/>
      <c r="O92" s="1" t="str">
        <f t="shared" si="1"/>
        <v>нет</v>
      </c>
      <c r="P92" s="1" t="s">
        <v>150</v>
      </c>
      <c r="Q92" s="1" t="s">
        <v>150</v>
      </c>
      <c r="R92" s="9"/>
      <c r="S92" s="1" t="s">
        <v>150</v>
      </c>
      <c r="T92" s="9"/>
      <c r="U92" s="9"/>
      <c r="V92" s="9"/>
      <c r="W92" s="9"/>
      <c r="X92" s="9"/>
      <c r="Y92" s="1" t="s">
        <v>150</v>
      </c>
      <c r="Z92" s="9"/>
      <c r="AA92" s="9"/>
      <c r="AB92" s="9"/>
      <c r="AC92" s="9"/>
      <c r="AD92" s="26"/>
      <c r="AE92" s="1" t="s">
        <v>150</v>
      </c>
      <c r="AF92" s="7">
        <v>0.0</v>
      </c>
      <c r="AG92" s="27" t="s">
        <v>162</v>
      </c>
      <c r="AH92" s="27" t="s">
        <v>152</v>
      </c>
      <c r="AI92" s="1" t="s">
        <v>168</v>
      </c>
      <c r="AJ92" s="7">
        <v>2.0</v>
      </c>
      <c r="AK92" s="1" t="s">
        <v>5</v>
      </c>
      <c r="AL92" s="1" t="s">
        <v>150</v>
      </c>
      <c r="AM92" s="9"/>
      <c r="AN92" s="1">
        <v>15.0</v>
      </c>
      <c r="AO92" s="1" t="str">
        <f t="shared" si="2"/>
        <v>нет</v>
      </c>
      <c r="AP92" s="7">
        <v>164.0</v>
      </c>
      <c r="AQ92" s="7">
        <v>72.0</v>
      </c>
      <c r="AR92" s="9">
        <f t="shared" si="3"/>
        <v>26.76977989</v>
      </c>
      <c r="AS92" s="7" t="str">
        <f t="shared" si="4"/>
        <v>Избыточный вес (предожирение)</v>
      </c>
      <c r="AT92" s="7">
        <v>112.0</v>
      </c>
      <c r="AU92" s="7">
        <v>85.0</v>
      </c>
      <c r="AV92" s="3">
        <v>94.0</v>
      </c>
      <c r="AW92" s="7">
        <v>120.0</v>
      </c>
      <c r="AX92" s="7">
        <v>39.0</v>
      </c>
      <c r="AY92" s="7">
        <v>22.0</v>
      </c>
      <c r="AZ92" s="7">
        <v>89.0</v>
      </c>
      <c r="BA92" s="10" t="str">
        <f t="shared" si="5"/>
        <v>да</v>
      </c>
      <c r="BB92" s="7">
        <v>95.0</v>
      </c>
      <c r="BC92" s="11"/>
      <c r="BD92" s="12" t="str">
        <f t="shared" si="6"/>
        <v>#DIV/0!</v>
      </c>
      <c r="BE92" s="12">
        <f t="shared" si="7"/>
        <v>1</v>
      </c>
      <c r="BF92" s="12">
        <f t="shared" si="8"/>
        <v>8</v>
      </c>
      <c r="BG92" s="15" t="s">
        <v>154</v>
      </c>
      <c r="BH92" s="15" t="s">
        <v>198</v>
      </c>
      <c r="BI92" s="15" t="s">
        <v>150</v>
      </c>
      <c r="BJ92" s="9"/>
      <c r="BK92" s="15" t="s">
        <v>150</v>
      </c>
      <c r="BL92" s="9"/>
      <c r="BM92" s="15" t="s">
        <v>154</v>
      </c>
      <c r="BN92" s="1" t="s">
        <v>155</v>
      </c>
      <c r="BO92" s="15" t="s">
        <v>154</v>
      </c>
      <c r="BP92" s="1" t="s">
        <v>157</v>
      </c>
      <c r="BQ92" s="9"/>
      <c r="BR92" s="1" t="s">
        <v>154</v>
      </c>
      <c r="BS92" s="1" t="s">
        <v>174</v>
      </c>
      <c r="BT92" s="30"/>
      <c r="BU92" s="1" t="s">
        <v>157</v>
      </c>
      <c r="BV92" s="7">
        <v>12.0</v>
      </c>
      <c r="BW92" s="1" t="s">
        <v>150</v>
      </c>
      <c r="BX92" s="10" t="s">
        <v>154</v>
      </c>
      <c r="BY92" s="1" t="s">
        <v>258</v>
      </c>
      <c r="BZ92" s="29" t="s">
        <v>158</v>
      </c>
      <c r="CA92" s="9"/>
      <c r="CB92" s="1" t="s">
        <v>150</v>
      </c>
      <c r="CC92" s="1" t="s">
        <v>150</v>
      </c>
      <c r="CD92" s="9"/>
      <c r="CE92" s="1" t="s">
        <v>150</v>
      </c>
      <c r="CF92" s="1" t="s">
        <v>150</v>
      </c>
      <c r="CG92" s="1" t="s">
        <v>150</v>
      </c>
      <c r="CH92" s="1" t="s">
        <v>150</v>
      </c>
      <c r="CI92" s="1" t="s">
        <v>150</v>
      </c>
      <c r="CJ92" s="1" t="s">
        <v>150</v>
      </c>
      <c r="CK92" s="1" t="s">
        <v>150</v>
      </c>
      <c r="CL92" s="1" t="s">
        <v>331</v>
      </c>
      <c r="CM92" s="7">
        <v>7.9</v>
      </c>
      <c r="CN92" s="7">
        <v>90.7</v>
      </c>
      <c r="CO92" s="7">
        <f t="shared" si="23"/>
        <v>7.1653</v>
      </c>
      <c r="CP92" s="7">
        <v>7.1</v>
      </c>
      <c r="CQ92" s="7">
        <f t="shared" si="10"/>
        <v>0.5087363</v>
      </c>
      <c r="CR92" s="7">
        <v>2.1</v>
      </c>
      <c r="CS92" s="7">
        <f t="shared" si="11"/>
        <v>0.0106834623</v>
      </c>
      <c r="CT92" s="7">
        <v>0.0</v>
      </c>
      <c r="CU92" s="7">
        <f t="shared" si="12"/>
        <v>0</v>
      </c>
      <c r="CV92" s="7">
        <f t="shared" si="13"/>
        <v>14.08450704</v>
      </c>
      <c r="CW92" s="7">
        <v>4.89</v>
      </c>
      <c r="CX92" s="7">
        <v>130.0</v>
      </c>
      <c r="CY92" s="7" t="str">
        <f t="shared" si="14"/>
        <v>Норма</v>
      </c>
      <c r="CZ92" s="9"/>
      <c r="DA92" s="7">
        <v>310.0</v>
      </c>
      <c r="DB92" s="7">
        <v>356.5</v>
      </c>
      <c r="DC92" s="7">
        <v>16.5</v>
      </c>
      <c r="DD92" s="7">
        <v>81.8</v>
      </c>
      <c r="DE92" s="7"/>
      <c r="DF92" s="7">
        <v>13.0</v>
      </c>
      <c r="DG92" s="7"/>
      <c r="DH92" s="7">
        <v>4.5</v>
      </c>
      <c r="DI92" s="7"/>
      <c r="DJ92" s="7">
        <v>0.1</v>
      </c>
      <c r="DK92" s="7"/>
      <c r="DL92" s="7"/>
      <c r="DM92" s="7">
        <v>4.38</v>
      </c>
      <c r="DN92" s="7">
        <v>118.0</v>
      </c>
      <c r="DO92" s="7" t="str">
        <f t="shared" si="15"/>
        <v>Легкая степень</v>
      </c>
      <c r="DP92" s="9"/>
      <c r="DQ92" s="7">
        <v>345.0</v>
      </c>
      <c r="DR92" s="7">
        <v>9.3</v>
      </c>
      <c r="DS92" s="13">
        <v>1000.0</v>
      </c>
      <c r="DT92" s="9"/>
      <c r="DU92" s="7">
        <v>17.1</v>
      </c>
      <c r="DV92" s="7">
        <v>1.46</v>
      </c>
      <c r="DW92" s="1" t="s">
        <v>320</v>
      </c>
      <c r="DX92" s="9"/>
      <c r="DY92" s="9"/>
      <c r="DZ92" s="7">
        <v>9.6</v>
      </c>
      <c r="EA92" s="7">
        <v>0.82</v>
      </c>
      <c r="EB92" s="7"/>
      <c r="EC92" s="7">
        <v>10.76</v>
      </c>
      <c r="ED92" s="7">
        <v>5.54</v>
      </c>
      <c r="EE92" s="7">
        <v>64.19</v>
      </c>
      <c r="EF92" s="7">
        <v>43.27</v>
      </c>
      <c r="EG92" s="7">
        <v>71.0</v>
      </c>
      <c r="EH92" s="7">
        <v>10.06</v>
      </c>
      <c r="EI92" s="7">
        <v>3.31</v>
      </c>
      <c r="EJ92" s="7">
        <v>75.29</v>
      </c>
      <c r="EK92" s="14">
        <f t="shared" si="16"/>
        <v>76.68298503</v>
      </c>
      <c r="EL92" s="11" t="str">
        <f t="shared" si="17"/>
        <v>C2</v>
      </c>
      <c r="EM92" s="7">
        <v>133.9</v>
      </c>
      <c r="EN92" s="7">
        <v>3.56</v>
      </c>
      <c r="EO92" s="7">
        <v>116.3</v>
      </c>
      <c r="EP92" s="7">
        <v>35.8</v>
      </c>
      <c r="EQ92" s="7">
        <v>66.0</v>
      </c>
      <c r="ER92" s="7">
        <v>7.6</v>
      </c>
      <c r="ES92" s="7">
        <v>3.1</v>
      </c>
      <c r="ET92" s="7">
        <v>65.0</v>
      </c>
      <c r="EU92" s="11">
        <f t="shared" si="18"/>
        <v>91.59297266</v>
      </c>
      <c r="EV92" s="11" t="str">
        <f t="shared" si="19"/>
        <v>C1</v>
      </c>
      <c r="EW92" s="7">
        <v>140.0</v>
      </c>
      <c r="EX92" s="7">
        <v>4.78</v>
      </c>
      <c r="EY92" s="9">
        <f t="shared" si="20"/>
        <v>0.7359958626</v>
      </c>
      <c r="EZ92" s="9">
        <f t="shared" si="21"/>
        <v>0.3238803582</v>
      </c>
      <c r="FA92" s="9" t="str">
        <f t="shared" si="22"/>
        <v>Благоприятный</v>
      </c>
      <c r="FB92" s="1" t="s">
        <v>150</v>
      </c>
      <c r="FC92" s="1" t="s">
        <v>148</v>
      </c>
    </row>
    <row r="93">
      <c r="A93" s="7">
        <v>92.0</v>
      </c>
      <c r="B93" s="21">
        <v>51.0</v>
      </c>
      <c r="C93" s="25">
        <v>9396.0</v>
      </c>
      <c r="D93" s="1" t="s">
        <v>148</v>
      </c>
      <c r="E93" s="7">
        <v>68.0</v>
      </c>
      <c r="F93" s="1" t="s">
        <v>161</v>
      </c>
      <c r="G93" s="7"/>
      <c r="H93" s="7">
        <v>18.0</v>
      </c>
      <c r="I93" s="1" t="s">
        <v>150</v>
      </c>
      <c r="J93" s="1" t="s">
        <v>154</v>
      </c>
      <c r="K93" s="1" t="s">
        <v>332</v>
      </c>
      <c r="L93" s="1" t="s">
        <v>150</v>
      </c>
      <c r="M93" s="1" t="s">
        <v>150</v>
      </c>
      <c r="N93" s="9"/>
      <c r="O93" s="1" t="str">
        <f t="shared" si="1"/>
        <v>нет</v>
      </c>
      <c r="P93" s="1" t="s">
        <v>150</v>
      </c>
      <c r="Q93" s="1" t="s">
        <v>154</v>
      </c>
      <c r="R93" s="7">
        <v>3.0</v>
      </c>
      <c r="S93" s="1" t="s">
        <v>154</v>
      </c>
      <c r="T93" s="1" t="s">
        <v>181</v>
      </c>
      <c r="X93" s="9"/>
      <c r="Y93" s="1" t="s">
        <v>150</v>
      </c>
      <c r="Z93" s="9"/>
      <c r="AA93" s="9"/>
      <c r="AB93" s="9"/>
      <c r="AC93" s="9"/>
      <c r="AD93" s="26"/>
      <c r="AE93" s="1" t="s">
        <v>150</v>
      </c>
      <c r="AF93" s="7">
        <v>0.0</v>
      </c>
      <c r="AG93" s="27" t="s">
        <v>151</v>
      </c>
      <c r="AH93" s="27" t="s">
        <v>152</v>
      </c>
      <c r="AI93" s="1" t="s">
        <v>168</v>
      </c>
      <c r="AJ93" s="7">
        <v>3.0</v>
      </c>
      <c r="AK93" s="1" t="s">
        <v>5</v>
      </c>
      <c r="AL93" s="1" t="s">
        <v>150</v>
      </c>
      <c r="AM93" s="9"/>
      <c r="AN93" s="1">
        <v>15.0</v>
      </c>
      <c r="AO93" s="1" t="str">
        <f t="shared" si="2"/>
        <v>нет</v>
      </c>
      <c r="AP93" s="7">
        <v>162.0</v>
      </c>
      <c r="AQ93" s="7">
        <v>90.0</v>
      </c>
      <c r="AR93" s="9">
        <f t="shared" si="3"/>
        <v>34.29355281</v>
      </c>
      <c r="AS93" s="7" t="str">
        <f t="shared" si="4"/>
        <v>Ожирение I степени</v>
      </c>
      <c r="AT93" s="7">
        <v>135.0</v>
      </c>
      <c r="AU93" s="7">
        <v>80.0</v>
      </c>
      <c r="AV93" s="3">
        <v>98.0</v>
      </c>
      <c r="AW93" s="7">
        <v>102.0</v>
      </c>
      <c r="AX93" s="7">
        <v>37.0</v>
      </c>
      <c r="AY93" s="7">
        <v>19.0</v>
      </c>
      <c r="AZ93" s="7">
        <v>74.0</v>
      </c>
      <c r="BA93" s="10" t="str">
        <f t="shared" si="5"/>
        <v>да</v>
      </c>
      <c r="BB93" s="7">
        <v>94.0</v>
      </c>
      <c r="BC93" s="11"/>
      <c r="BD93" s="12" t="str">
        <f t="shared" si="6"/>
        <v>#DIV/0!</v>
      </c>
      <c r="BE93" s="12">
        <f t="shared" si="7"/>
        <v>0</v>
      </c>
      <c r="BF93" s="12">
        <f t="shared" si="8"/>
        <v>4</v>
      </c>
      <c r="BG93" s="15" t="s">
        <v>150</v>
      </c>
      <c r="BH93" s="9"/>
      <c r="BI93" s="1" t="s">
        <v>150</v>
      </c>
      <c r="BJ93" s="9"/>
      <c r="BK93" s="1" t="s">
        <v>150</v>
      </c>
      <c r="BL93" s="9"/>
      <c r="BM93" s="1" t="s">
        <v>154</v>
      </c>
      <c r="BN93" s="1" t="s">
        <v>155</v>
      </c>
      <c r="BO93" s="1" t="s">
        <v>150</v>
      </c>
      <c r="BP93" s="9"/>
      <c r="BQ93" s="9"/>
      <c r="BR93" s="1" t="s">
        <v>154</v>
      </c>
      <c r="BS93" s="1" t="s">
        <v>306</v>
      </c>
      <c r="BT93" s="30"/>
      <c r="BU93" s="1" t="s">
        <v>333</v>
      </c>
      <c r="BV93" s="7">
        <v>16.0</v>
      </c>
      <c r="BW93" s="1" t="s">
        <v>150</v>
      </c>
      <c r="BX93" s="10" t="s">
        <v>154</v>
      </c>
      <c r="BY93" s="1" t="s">
        <v>269</v>
      </c>
      <c r="BZ93" s="29" t="s">
        <v>158</v>
      </c>
      <c r="CA93" s="1" t="s">
        <v>334</v>
      </c>
      <c r="CB93" s="1" t="s">
        <v>255</v>
      </c>
      <c r="CC93" s="1" t="s">
        <v>150</v>
      </c>
      <c r="CD93" s="9"/>
      <c r="CE93" s="1" t="s">
        <v>150</v>
      </c>
      <c r="CF93" s="1" t="s">
        <v>150</v>
      </c>
      <c r="CG93" s="1" t="s">
        <v>150</v>
      </c>
      <c r="CH93" s="1" t="s">
        <v>150</v>
      </c>
      <c r="CI93" s="1" t="s">
        <v>150</v>
      </c>
      <c r="CJ93" s="1" t="s">
        <v>150</v>
      </c>
      <c r="CK93" s="1" t="s">
        <v>150</v>
      </c>
      <c r="CL93" s="1" t="s">
        <v>335</v>
      </c>
      <c r="CM93" s="7">
        <v>4.7</v>
      </c>
      <c r="CN93" s="7">
        <v>82.1</v>
      </c>
      <c r="CO93" s="7">
        <f t="shared" si="23"/>
        <v>3.8587</v>
      </c>
      <c r="CP93" s="7">
        <v>9.6</v>
      </c>
      <c r="CQ93" s="7">
        <f t="shared" si="10"/>
        <v>0.3704352</v>
      </c>
      <c r="CR93" s="7">
        <v>8.0</v>
      </c>
      <c r="CS93" s="7">
        <f t="shared" si="11"/>
        <v>0.029634816</v>
      </c>
      <c r="CT93" s="7">
        <v>0.0</v>
      </c>
      <c r="CU93" s="7">
        <f t="shared" si="12"/>
        <v>0</v>
      </c>
      <c r="CV93" s="7">
        <f t="shared" si="13"/>
        <v>10.41666667</v>
      </c>
      <c r="CW93" s="7">
        <v>5.53</v>
      </c>
      <c r="CX93" s="7">
        <v>142.0</v>
      </c>
      <c r="CY93" s="7" t="str">
        <f t="shared" si="14"/>
        <v>Норма</v>
      </c>
      <c r="CZ93" s="7">
        <v>33.0</v>
      </c>
      <c r="DA93" s="7">
        <v>340.0</v>
      </c>
      <c r="DB93" s="7">
        <v>44.0</v>
      </c>
      <c r="DC93" s="7">
        <v>8.0</v>
      </c>
      <c r="DD93" s="7">
        <v>85.3</v>
      </c>
      <c r="DE93" s="7"/>
      <c r="DF93" s="7">
        <v>8.2</v>
      </c>
      <c r="DG93" s="7"/>
      <c r="DH93" s="7">
        <v>6.2</v>
      </c>
      <c r="DI93" s="7"/>
      <c r="DJ93" s="7">
        <v>0.0</v>
      </c>
      <c r="DK93" s="7"/>
      <c r="DL93" s="7"/>
      <c r="DM93" s="7">
        <v>5.52</v>
      </c>
      <c r="DN93" s="7">
        <v>145.0</v>
      </c>
      <c r="DO93" s="7" t="str">
        <f t="shared" si="15"/>
        <v>Норма</v>
      </c>
      <c r="DP93" s="9"/>
      <c r="DQ93" s="7">
        <v>216.0</v>
      </c>
      <c r="DR93" s="7">
        <v>8.1</v>
      </c>
      <c r="DS93" s="13">
        <v>780.0</v>
      </c>
      <c r="DT93" s="7">
        <v>25.0</v>
      </c>
      <c r="DU93" s="7">
        <v>11.5</v>
      </c>
      <c r="DV93" s="7">
        <v>0.97</v>
      </c>
      <c r="DW93" s="1" t="s">
        <v>320</v>
      </c>
      <c r="DX93" s="9"/>
      <c r="DY93" s="9"/>
      <c r="DZ93" s="7">
        <v>10.3</v>
      </c>
      <c r="EA93" s="7">
        <v>0.88</v>
      </c>
      <c r="EB93" s="7"/>
      <c r="EC93" s="7">
        <v>5.94</v>
      </c>
      <c r="ED93" s="7">
        <v>4.8</v>
      </c>
      <c r="EE93" s="7">
        <v>48.2</v>
      </c>
      <c r="EF93" s="7">
        <v>57.5</v>
      </c>
      <c r="EG93" s="7">
        <v>63.8</v>
      </c>
      <c r="EH93" s="7">
        <v>14.8</v>
      </c>
      <c r="EI93" s="7">
        <v>5.9</v>
      </c>
      <c r="EJ93" s="7">
        <v>69.0</v>
      </c>
      <c r="EK93" s="14">
        <f t="shared" si="16"/>
        <v>78.32435619</v>
      </c>
      <c r="EL93" s="11" t="str">
        <f t="shared" si="17"/>
        <v>C2</v>
      </c>
      <c r="EM93" s="7">
        <v>142.1</v>
      </c>
      <c r="EN93" s="7">
        <v>3.28</v>
      </c>
      <c r="EO93" s="7">
        <v>203.8</v>
      </c>
      <c r="EP93" s="1" t="s">
        <v>336</v>
      </c>
      <c r="EQ93" s="7">
        <v>61.8</v>
      </c>
      <c r="ER93" s="7">
        <v>9.2</v>
      </c>
      <c r="ES93" s="7">
        <v>4.0</v>
      </c>
      <c r="ET93" s="7">
        <v>78.0</v>
      </c>
      <c r="EU93" s="11">
        <f t="shared" si="18"/>
        <v>67.5340834</v>
      </c>
      <c r="EV93" s="11" t="str">
        <f t="shared" si="19"/>
        <v>C2</v>
      </c>
      <c r="EW93" s="9"/>
      <c r="EX93" s="9"/>
      <c r="EY93" s="9">
        <f t="shared" si="20"/>
        <v>-0.1683624554</v>
      </c>
      <c r="EZ93" s="9">
        <f t="shared" si="21"/>
        <v>0.5419914701</v>
      </c>
      <c r="FA93" s="9" t="str">
        <f t="shared" si="22"/>
        <v>Неблагоприятный</v>
      </c>
      <c r="FB93" s="1" t="s">
        <v>256</v>
      </c>
      <c r="FC93" s="1" t="s">
        <v>148</v>
      </c>
    </row>
    <row r="94">
      <c r="A94" s="7">
        <v>93.0</v>
      </c>
      <c r="B94" s="21">
        <v>52.0</v>
      </c>
      <c r="C94" s="25">
        <v>9921.0</v>
      </c>
      <c r="D94" s="1" t="s">
        <v>148</v>
      </c>
      <c r="E94" s="7">
        <v>36.0</v>
      </c>
      <c r="F94" s="1" t="s">
        <v>161</v>
      </c>
      <c r="G94" s="7"/>
      <c r="H94" s="7">
        <v>26.0</v>
      </c>
      <c r="I94" s="1" t="s">
        <v>150</v>
      </c>
      <c r="J94" s="1" t="s">
        <v>150</v>
      </c>
      <c r="K94" s="9"/>
      <c r="L94" s="1" t="s">
        <v>150</v>
      </c>
      <c r="M94" s="1" t="s">
        <v>150</v>
      </c>
      <c r="N94" s="9"/>
      <c r="O94" s="1" t="str">
        <f t="shared" si="1"/>
        <v>да</v>
      </c>
      <c r="P94" s="1" t="s">
        <v>150</v>
      </c>
      <c r="Q94" s="1" t="s">
        <v>150</v>
      </c>
      <c r="R94" s="9"/>
      <c r="S94" s="1" t="s">
        <v>150</v>
      </c>
      <c r="T94" s="9"/>
      <c r="U94" s="9"/>
      <c r="V94" s="9"/>
      <c r="W94" s="9"/>
      <c r="X94" s="9"/>
      <c r="Y94" s="1" t="s">
        <v>150</v>
      </c>
      <c r="Z94" s="9"/>
      <c r="AA94" s="9"/>
      <c r="AB94" s="9"/>
      <c r="AC94" s="9"/>
      <c r="AD94" s="26" t="s">
        <v>337</v>
      </c>
      <c r="AE94" s="1" t="s">
        <v>150</v>
      </c>
      <c r="AF94" s="7">
        <v>0.0</v>
      </c>
      <c r="AG94" s="27" t="s">
        <v>162</v>
      </c>
      <c r="AH94" s="27" t="s">
        <v>152</v>
      </c>
      <c r="AI94" s="1" t="s">
        <v>168</v>
      </c>
      <c r="AJ94" s="9"/>
      <c r="AK94" s="1" t="s">
        <v>5</v>
      </c>
      <c r="AL94" s="1" t="s">
        <v>150</v>
      </c>
      <c r="AM94" s="9"/>
      <c r="AN94" s="1">
        <v>15.0</v>
      </c>
      <c r="AO94" s="1" t="str">
        <f t="shared" si="2"/>
        <v>нет</v>
      </c>
      <c r="AP94" s="7">
        <v>167.0</v>
      </c>
      <c r="AQ94" s="7">
        <v>75.0</v>
      </c>
      <c r="AR94" s="9">
        <f t="shared" si="3"/>
        <v>26.89232314</v>
      </c>
      <c r="AS94" s="7" t="str">
        <f t="shared" si="4"/>
        <v>Избыточный вес (предожирение)</v>
      </c>
      <c r="AT94" s="7">
        <v>120.0</v>
      </c>
      <c r="AU94" s="7">
        <v>80.0</v>
      </c>
      <c r="AV94" s="3">
        <v>93.0</v>
      </c>
      <c r="AW94" s="7">
        <v>86.0</v>
      </c>
      <c r="AX94" s="7">
        <v>37.0</v>
      </c>
      <c r="AY94" s="7">
        <v>19.0</v>
      </c>
      <c r="AZ94" s="7">
        <v>90.0</v>
      </c>
      <c r="BA94" s="10" t="str">
        <f t="shared" si="5"/>
        <v>да</v>
      </c>
      <c r="BB94" s="7">
        <v>96.0</v>
      </c>
      <c r="BC94" s="11"/>
      <c r="BD94" s="12" t="str">
        <f t="shared" si="6"/>
        <v>#DIV/0!</v>
      </c>
      <c r="BE94" s="12">
        <f t="shared" si="7"/>
        <v>0</v>
      </c>
      <c r="BF94" s="12">
        <f t="shared" si="8"/>
        <v>3</v>
      </c>
      <c r="BG94" s="15" t="s">
        <v>154</v>
      </c>
      <c r="BH94" s="15" t="s">
        <v>338</v>
      </c>
      <c r="BI94" s="15" t="s">
        <v>154</v>
      </c>
      <c r="BJ94" s="15" t="s">
        <v>339</v>
      </c>
      <c r="BK94" s="15" t="s">
        <v>150</v>
      </c>
      <c r="BL94" s="9"/>
      <c r="BM94" s="15" t="s">
        <v>154</v>
      </c>
      <c r="BN94" s="15" t="s">
        <v>155</v>
      </c>
      <c r="BO94" s="15" t="s">
        <v>154</v>
      </c>
      <c r="BP94" s="15" t="s">
        <v>157</v>
      </c>
      <c r="BQ94" s="9"/>
      <c r="BR94" s="15" t="s">
        <v>154</v>
      </c>
      <c r="BS94" s="15" t="s">
        <v>170</v>
      </c>
      <c r="BT94" s="30"/>
      <c r="BU94" s="15" t="s">
        <v>157</v>
      </c>
      <c r="BV94" s="7">
        <v>16.0</v>
      </c>
      <c r="BW94" s="15" t="s">
        <v>150</v>
      </c>
      <c r="BX94" s="10" t="s">
        <v>154</v>
      </c>
      <c r="BY94" s="1" t="s">
        <v>275</v>
      </c>
      <c r="BZ94" s="29" t="s">
        <v>158</v>
      </c>
      <c r="CA94" s="9"/>
      <c r="CB94" s="1" t="s">
        <v>150</v>
      </c>
      <c r="CC94" s="1" t="s">
        <v>150</v>
      </c>
      <c r="CD94" s="1" t="s">
        <v>247</v>
      </c>
      <c r="CE94" s="1" t="s">
        <v>150</v>
      </c>
      <c r="CF94" s="1" t="s">
        <v>150</v>
      </c>
      <c r="CG94" s="1" t="s">
        <v>150</v>
      </c>
      <c r="CH94" s="1" t="s">
        <v>150</v>
      </c>
      <c r="CI94" s="1" t="s">
        <v>150</v>
      </c>
      <c r="CJ94" s="1" t="s">
        <v>150</v>
      </c>
      <c r="CK94" s="1" t="s">
        <v>150</v>
      </c>
      <c r="CL94" s="1" t="s">
        <v>294</v>
      </c>
      <c r="CM94" s="7">
        <v>5.01</v>
      </c>
      <c r="CN94" s="7">
        <v>81.8</v>
      </c>
      <c r="CO94" s="7">
        <f t="shared" si="23"/>
        <v>4.09818</v>
      </c>
      <c r="CP94" s="7">
        <v>12.4</v>
      </c>
      <c r="CQ94" s="7">
        <f t="shared" si="10"/>
        <v>0.50817432</v>
      </c>
      <c r="CR94" s="7">
        <v>5.8</v>
      </c>
      <c r="CS94" s="7">
        <f t="shared" si="11"/>
        <v>0.02947411056</v>
      </c>
      <c r="CT94" s="7">
        <v>0.0</v>
      </c>
      <c r="CU94" s="7">
        <f t="shared" si="12"/>
        <v>0</v>
      </c>
      <c r="CV94" s="7">
        <f t="shared" si="13"/>
        <v>8.064516129</v>
      </c>
      <c r="CW94" s="7">
        <v>4.16</v>
      </c>
      <c r="CX94" s="7">
        <v>120.0</v>
      </c>
      <c r="CY94" s="7" t="str">
        <f t="shared" si="14"/>
        <v>Легкая степень</v>
      </c>
      <c r="CZ94" s="9"/>
      <c r="DA94" s="7">
        <v>219.0</v>
      </c>
      <c r="DB94" s="7">
        <v>107.2</v>
      </c>
      <c r="DC94" s="7">
        <v>10.6</v>
      </c>
      <c r="DD94" s="7">
        <v>90.7</v>
      </c>
      <c r="DE94" s="7"/>
      <c r="DF94" s="7">
        <v>6.1</v>
      </c>
      <c r="DG94" s="7"/>
      <c r="DH94" s="7">
        <v>3.1</v>
      </c>
      <c r="DI94" s="7"/>
      <c r="DJ94" s="7">
        <v>0.0</v>
      </c>
      <c r="DK94" s="7"/>
      <c r="DL94" s="7"/>
      <c r="DM94" s="7">
        <v>4.32</v>
      </c>
      <c r="DN94" s="7">
        <v>130.0</v>
      </c>
      <c r="DO94" s="7" t="str">
        <f t="shared" si="15"/>
        <v>Норма</v>
      </c>
      <c r="DP94" s="7">
        <v>7.0</v>
      </c>
      <c r="DQ94" s="7">
        <v>96.0</v>
      </c>
      <c r="DR94" s="7">
        <v>8.8</v>
      </c>
      <c r="DS94" s="13">
        <v>730.0</v>
      </c>
      <c r="DT94" s="7">
        <v>37.7</v>
      </c>
      <c r="DU94" s="7">
        <v>17.1</v>
      </c>
      <c r="DV94" s="7">
        <v>1.46</v>
      </c>
      <c r="DW94" s="1" t="s">
        <v>320</v>
      </c>
      <c r="DX94" s="9"/>
      <c r="DY94" s="7">
        <v>20.7</v>
      </c>
      <c r="DZ94" s="7">
        <v>11.4</v>
      </c>
      <c r="EA94" s="7">
        <v>0.97</v>
      </c>
      <c r="EB94" s="7"/>
      <c r="EC94" s="7">
        <v>6.66</v>
      </c>
      <c r="ED94" s="7">
        <v>7.75</v>
      </c>
      <c r="EE94" s="7">
        <v>55.82</v>
      </c>
      <c r="EF94" s="7">
        <v>64.0</v>
      </c>
      <c r="EG94" s="7">
        <v>68.4</v>
      </c>
      <c r="EH94" s="7">
        <v>4.8</v>
      </c>
      <c r="EI94" s="7">
        <v>2.5</v>
      </c>
      <c r="EJ94" s="7">
        <v>82.5</v>
      </c>
      <c r="EK94" s="14">
        <f t="shared" si="16"/>
        <v>79.01264654</v>
      </c>
      <c r="EL94" s="11" t="str">
        <f t="shared" si="17"/>
        <v>C2</v>
      </c>
      <c r="EM94" s="7">
        <v>136.3</v>
      </c>
      <c r="EN94" s="7">
        <v>4.02</v>
      </c>
      <c r="EO94" s="7">
        <v>48.5</v>
      </c>
      <c r="EP94" s="7">
        <v>17.5</v>
      </c>
      <c r="EQ94" s="7">
        <v>56.7</v>
      </c>
      <c r="ER94" s="7">
        <v>11.9</v>
      </c>
      <c r="ES94" s="9"/>
      <c r="ET94" s="7">
        <v>65.0</v>
      </c>
      <c r="EU94" s="11">
        <f t="shared" si="18"/>
        <v>105.4088765</v>
      </c>
      <c r="EV94" s="11" t="str">
        <f t="shared" si="19"/>
        <v>C1</v>
      </c>
      <c r="EW94" s="7">
        <v>141.3</v>
      </c>
      <c r="EX94" s="7">
        <v>3.91</v>
      </c>
      <c r="EY94" s="9">
        <f t="shared" si="20"/>
        <v>2.901740031</v>
      </c>
      <c r="EZ94" s="9">
        <f t="shared" si="21"/>
        <v>0.05206761412</v>
      </c>
      <c r="FA94" s="9" t="str">
        <f t="shared" si="22"/>
        <v>Благоприятный</v>
      </c>
      <c r="FB94" s="1" t="s">
        <v>150</v>
      </c>
      <c r="FC94" s="1" t="s">
        <v>148</v>
      </c>
    </row>
    <row r="95">
      <c r="A95" s="7">
        <v>94.0</v>
      </c>
      <c r="B95" s="21">
        <v>53.0</v>
      </c>
      <c r="C95" s="25">
        <v>8164.0</v>
      </c>
      <c r="D95" s="1" t="s">
        <v>148</v>
      </c>
      <c r="E95" s="7">
        <v>66.0</v>
      </c>
      <c r="F95" s="1" t="s">
        <v>149</v>
      </c>
      <c r="G95" s="7"/>
      <c r="H95" s="7">
        <v>53.0</v>
      </c>
      <c r="I95" s="1" t="s">
        <v>154</v>
      </c>
      <c r="J95" s="1" t="s">
        <v>150</v>
      </c>
      <c r="K95" s="9"/>
      <c r="L95" s="1" t="s">
        <v>154</v>
      </c>
      <c r="M95" s="1" t="s">
        <v>154</v>
      </c>
      <c r="N95" s="9"/>
      <c r="O95" s="1" t="str">
        <f t="shared" si="1"/>
        <v>нет</v>
      </c>
      <c r="P95" s="1" t="s">
        <v>154</v>
      </c>
      <c r="Q95" s="1" t="s">
        <v>154</v>
      </c>
      <c r="R95" s="7">
        <v>3.0</v>
      </c>
      <c r="S95" s="1" t="s">
        <v>154</v>
      </c>
      <c r="T95" s="1" t="s">
        <v>340</v>
      </c>
      <c r="U95" s="7"/>
      <c r="V95" s="7">
        <v>2.0</v>
      </c>
      <c r="W95" s="7">
        <v>3.0</v>
      </c>
      <c r="X95" s="9"/>
      <c r="Y95" s="1" t="s">
        <v>150</v>
      </c>
      <c r="Z95" s="9"/>
      <c r="AA95" s="9"/>
      <c r="AB95" s="9"/>
      <c r="AC95" s="9"/>
      <c r="AD95" s="26"/>
      <c r="AE95" s="1" t="s">
        <v>150</v>
      </c>
      <c r="AF95" s="7">
        <v>0.0</v>
      </c>
      <c r="AG95" s="27" t="s">
        <v>162</v>
      </c>
      <c r="AH95" s="27" t="s">
        <v>152</v>
      </c>
      <c r="AI95" s="1" t="s">
        <v>168</v>
      </c>
      <c r="AJ95" s="7">
        <v>3.0</v>
      </c>
      <c r="AK95" s="1" t="s">
        <v>5</v>
      </c>
      <c r="AL95" s="1" t="s">
        <v>154</v>
      </c>
      <c r="AM95" s="1" t="s">
        <v>261</v>
      </c>
      <c r="AN95" s="1">
        <v>15.0</v>
      </c>
      <c r="AO95" s="1" t="str">
        <f t="shared" si="2"/>
        <v>нет</v>
      </c>
      <c r="AP95" s="7">
        <v>178.0</v>
      </c>
      <c r="AQ95" s="7">
        <v>95.0</v>
      </c>
      <c r="AR95" s="9">
        <f t="shared" si="3"/>
        <v>29.98358793</v>
      </c>
      <c r="AS95" s="7" t="str">
        <f t="shared" si="4"/>
        <v>Избыточный вес (предожирение)</v>
      </c>
      <c r="AT95" s="7">
        <v>130.0</v>
      </c>
      <c r="AU95" s="7">
        <v>90.0</v>
      </c>
      <c r="AV95" s="3">
        <v>103.0</v>
      </c>
      <c r="AW95" s="7">
        <v>105.0</v>
      </c>
      <c r="AX95" s="7">
        <v>37.0</v>
      </c>
      <c r="AY95" s="7">
        <v>23.0</v>
      </c>
      <c r="AZ95" s="7">
        <v>80.0</v>
      </c>
      <c r="BA95" s="10" t="str">
        <f t="shared" si="5"/>
        <v>да</v>
      </c>
      <c r="BB95" s="7">
        <v>94.0</v>
      </c>
      <c r="BC95" s="11"/>
      <c r="BD95" s="12" t="str">
        <f t="shared" si="6"/>
        <v>#DIV/0!</v>
      </c>
      <c r="BE95" s="12">
        <f t="shared" si="7"/>
        <v>1</v>
      </c>
      <c r="BF95" s="12">
        <f t="shared" si="8"/>
        <v>6</v>
      </c>
      <c r="BG95" s="15" t="s">
        <v>154</v>
      </c>
      <c r="BH95" s="15" t="s">
        <v>175</v>
      </c>
      <c r="BI95" s="1" t="s">
        <v>154</v>
      </c>
      <c r="BJ95" s="1" t="s">
        <v>341</v>
      </c>
      <c r="BK95" s="1" t="s">
        <v>154</v>
      </c>
      <c r="BL95" s="1" t="s">
        <v>342</v>
      </c>
      <c r="BM95" s="1" t="s">
        <v>154</v>
      </c>
      <c r="BN95" s="1" t="s">
        <v>155</v>
      </c>
      <c r="BO95" s="1" t="s">
        <v>154</v>
      </c>
      <c r="BP95" s="1" t="s">
        <v>157</v>
      </c>
      <c r="BQ95" s="9"/>
      <c r="BR95" s="1" t="s">
        <v>154</v>
      </c>
      <c r="BS95" s="1" t="s">
        <v>170</v>
      </c>
      <c r="BT95" s="28">
        <v>12.0</v>
      </c>
      <c r="BU95" s="9"/>
      <c r="BV95" s="9"/>
      <c r="BW95" s="1" t="s">
        <v>154</v>
      </c>
      <c r="BX95" s="10" t="s">
        <v>154</v>
      </c>
      <c r="BY95" s="1" t="s">
        <v>173</v>
      </c>
      <c r="BZ95" s="29" t="s">
        <v>158</v>
      </c>
      <c r="CA95" s="1" t="s">
        <v>343</v>
      </c>
      <c r="CB95" s="1" t="s">
        <v>255</v>
      </c>
      <c r="CC95" s="1" t="s">
        <v>150</v>
      </c>
      <c r="CD95" s="9"/>
      <c r="CE95" s="1" t="s">
        <v>150</v>
      </c>
      <c r="CF95" s="1" t="s">
        <v>150</v>
      </c>
      <c r="CG95" s="1" t="s">
        <v>150</v>
      </c>
      <c r="CH95" s="1" t="s">
        <v>150</v>
      </c>
      <c r="CI95" s="1" t="s">
        <v>150</v>
      </c>
      <c r="CJ95" s="1" t="s">
        <v>150</v>
      </c>
      <c r="CK95" s="1" t="s">
        <v>150</v>
      </c>
      <c r="CL95" s="1" t="s">
        <v>344</v>
      </c>
      <c r="CM95" s="7">
        <v>8.0</v>
      </c>
      <c r="CN95" s="7">
        <v>88.0</v>
      </c>
      <c r="CO95" s="7">
        <f t="shared" si="23"/>
        <v>7.04</v>
      </c>
      <c r="CP95" s="7">
        <v>5.0</v>
      </c>
      <c r="CQ95" s="7">
        <f t="shared" si="10"/>
        <v>0.352</v>
      </c>
      <c r="CR95" s="7">
        <v>6.8</v>
      </c>
      <c r="CS95" s="7">
        <f t="shared" si="11"/>
        <v>0.023936</v>
      </c>
      <c r="CT95" s="7">
        <v>0.0</v>
      </c>
      <c r="CU95" s="7">
        <f t="shared" si="12"/>
        <v>0</v>
      </c>
      <c r="CV95" s="7">
        <f t="shared" si="13"/>
        <v>20</v>
      </c>
      <c r="CW95" s="7">
        <v>4.73</v>
      </c>
      <c r="CX95" s="7">
        <v>137.0</v>
      </c>
      <c r="CY95" s="7" t="str">
        <f t="shared" si="14"/>
        <v>Норма</v>
      </c>
      <c r="CZ95" s="7">
        <v>20.0</v>
      </c>
      <c r="DA95" s="7">
        <v>248.0</v>
      </c>
      <c r="DB95" s="7">
        <v>72.0</v>
      </c>
      <c r="DC95" s="7">
        <v>9.0</v>
      </c>
      <c r="DD95" s="7">
        <v>52.0</v>
      </c>
      <c r="DE95" s="7"/>
      <c r="DF95" s="7">
        <v>36.8</v>
      </c>
      <c r="DG95" s="7"/>
      <c r="DH95" s="7">
        <v>10.3</v>
      </c>
      <c r="DI95" s="7"/>
      <c r="DJ95" s="7">
        <v>0.3</v>
      </c>
      <c r="DK95" s="7"/>
      <c r="DL95" s="7"/>
      <c r="DM95" s="7">
        <v>3.11</v>
      </c>
      <c r="DN95" s="7">
        <v>90.0</v>
      </c>
      <c r="DO95" s="7" t="str">
        <f t="shared" si="15"/>
        <v>Средняя степень</v>
      </c>
      <c r="DP95" s="7">
        <v>60.0</v>
      </c>
      <c r="DQ95" s="7">
        <v>252.0</v>
      </c>
      <c r="DR95" s="9"/>
      <c r="DS95" s="13">
        <v>760.0</v>
      </c>
      <c r="DT95" s="9"/>
      <c r="DU95" s="7">
        <v>16.8</v>
      </c>
      <c r="DV95" s="7">
        <v>1.44</v>
      </c>
      <c r="DW95" s="1" t="s">
        <v>320</v>
      </c>
      <c r="DX95" s="9"/>
      <c r="DY95" s="9"/>
      <c r="DZ95" s="7">
        <v>15.4</v>
      </c>
      <c r="EA95" s="7">
        <v>1.32</v>
      </c>
      <c r="EB95" s="7"/>
      <c r="EC95" s="7">
        <v>13.96</v>
      </c>
      <c r="ED95" s="7">
        <v>9.98</v>
      </c>
      <c r="EE95" s="7">
        <v>21.88</v>
      </c>
      <c r="EF95" s="7">
        <v>28.87</v>
      </c>
      <c r="EG95" s="7">
        <v>64.0</v>
      </c>
      <c r="EH95" s="7">
        <v>10.45</v>
      </c>
      <c r="EI95" s="7">
        <v>9.39</v>
      </c>
      <c r="EJ95" s="7">
        <v>102.91</v>
      </c>
      <c r="EK95" s="14">
        <f t="shared" si="16"/>
        <v>48.98980101</v>
      </c>
      <c r="EL95" s="11" t="str">
        <f t="shared" si="17"/>
        <v>C3a</v>
      </c>
      <c r="EM95" s="7">
        <v>133.0</v>
      </c>
      <c r="EN95" s="7">
        <v>3.79</v>
      </c>
      <c r="EO95" s="7">
        <v>23.0</v>
      </c>
      <c r="EP95" s="7">
        <v>16.0</v>
      </c>
      <c r="EQ95" s="7">
        <v>59.4</v>
      </c>
      <c r="ER95" s="7">
        <v>7.7</v>
      </c>
      <c r="ES95" s="7">
        <v>3.1</v>
      </c>
      <c r="ET95" s="7">
        <v>69.0</v>
      </c>
      <c r="EU95" s="11">
        <f t="shared" si="18"/>
        <v>79.43251926</v>
      </c>
      <c r="EV95" s="11" t="str">
        <f t="shared" si="19"/>
        <v>C2</v>
      </c>
      <c r="EW95" s="7">
        <v>136.5</v>
      </c>
      <c r="EX95" s="7">
        <v>4.12</v>
      </c>
      <c r="EY95" s="9">
        <f t="shared" si="20"/>
        <v>0.09303941813</v>
      </c>
      <c r="EZ95" s="9">
        <f t="shared" si="21"/>
        <v>0.4767569097</v>
      </c>
      <c r="FA95" s="9" t="str">
        <f t="shared" si="22"/>
        <v>Благоприятный</v>
      </c>
      <c r="FB95" s="1" t="s">
        <v>150</v>
      </c>
      <c r="FC95" s="1" t="s">
        <v>148</v>
      </c>
    </row>
    <row r="96">
      <c r="A96" s="7">
        <v>95.0</v>
      </c>
      <c r="B96" s="21">
        <v>54.0</v>
      </c>
      <c r="C96" s="25">
        <v>8936.0</v>
      </c>
      <c r="D96" s="1" t="s">
        <v>148</v>
      </c>
      <c r="E96" s="7">
        <v>45.0</v>
      </c>
      <c r="F96" s="1" t="s">
        <v>149</v>
      </c>
      <c r="G96" s="7"/>
      <c r="H96" s="7">
        <v>16.0</v>
      </c>
      <c r="I96" s="1" t="s">
        <v>150</v>
      </c>
      <c r="J96" s="1" t="s">
        <v>150</v>
      </c>
      <c r="K96" s="9"/>
      <c r="L96" s="1" t="s">
        <v>150</v>
      </c>
      <c r="M96" s="1" t="s">
        <v>150</v>
      </c>
      <c r="N96" s="9"/>
      <c r="O96" s="1" t="str">
        <f t="shared" si="1"/>
        <v>нет</v>
      </c>
      <c r="P96" s="1" t="s">
        <v>150</v>
      </c>
      <c r="Q96" s="1" t="s">
        <v>150</v>
      </c>
      <c r="R96" s="9"/>
      <c r="S96" s="1" t="s">
        <v>150</v>
      </c>
      <c r="T96" s="9"/>
      <c r="U96" s="9"/>
      <c r="V96" s="9"/>
      <c r="W96" s="9"/>
      <c r="X96" s="9"/>
      <c r="Y96" s="1" t="s">
        <v>150</v>
      </c>
      <c r="Z96" s="9"/>
      <c r="AA96" s="9"/>
      <c r="AB96" s="9"/>
      <c r="AC96" s="9"/>
      <c r="AD96" s="26"/>
      <c r="AE96" s="1" t="s">
        <v>150</v>
      </c>
      <c r="AF96" s="7">
        <v>0.0</v>
      </c>
      <c r="AG96" s="27" t="s">
        <v>162</v>
      </c>
      <c r="AH96" s="27" t="s">
        <v>152</v>
      </c>
      <c r="AI96" s="1" t="s">
        <v>168</v>
      </c>
      <c r="AJ96" s="7">
        <v>2.0</v>
      </c>
      <c r="AK96" s="1" t="s">
        <v>5</v>
      </c>
      <c r="AL96" s="1" t="s">
        <v>150</v>
      </c>
      <c r="AM96" s="9"/>
      <c r="AN96" s="1">
        <v>15.0</v>
      </c>
      <c r="AO96" s="1" t="str">
        <f t="shared" si="2"/>
        <v>нет</v>
      </c>
      <c r="AP96" s="7">
        <v>179.0</v>
      </c>
      <c r="AQ96" s="7">
        <v>90.0</v>
      </c>
      <c r="AR96" s="9">
        <f t="shared" si="3"/>
        <v>28.08901095</v>
      </c>
      <c r="AS96" s="7" t="str">
        <f t="shared" si="4"/>
        <v>Избыточный вес (предожирение)</v>
      </c>
      <c r="AT96" s="7">
        <v>120.0</v>
      </c>
      <c r="AU96" s="7">
        <v>80.0</v>
      </c>
      <c r="AV96" s="3">
        <v>93.0</v>
      </c>
      <c r="AW96" s="7">
        <v>88.0</v>
      </c>
      <c r="AX96" s="7">
        <v>37.0</v>
      </c>
      <c r="AY96" s="7">
        <v>24.0</v>
      </c>
      <c r="AZ96" s="7">
        <v>78.0</v>
      </c>
      <c r="BA96" s="10" t="str">
        <f t="shared" si="5"/>
        <v>да</v>
      </c>
      <c r="BB96" s="7">
        <v>94.0</v>
      </c>
      <c r="BC96" s="11"/>
      <c r="BD96" s="12" t="str">
        <f t="shared" si="6"/>
        <v>#DIV/0!</v>
      </c>
      <c r="BE96" s="12">
        <f t="shared" si="7"/>
        <v>1</v>
      </c>
      <c r="BF96" s="12">
        <f t="shared" si="8"/>
        <v>5</v>
      </c>
      <c r="BG96" s="15" t="s">
        <v>154</v>
      </c>
      <c r="BH96" s="15" t="s">
        <v>175</v>
      </c>
      <c r="BI96" s="15" t="s">
        <v>154</v>
      </c>
      <c r="BJ96" s="15" t="s">
        <v>175</v>
      </c>
      <c r="BK96" s="15" t="s">
        <v>150</v>
      </c>
      <c r="BL96" s="9"/>
      <c r="BM96" s="15" t="s">
        <v>154</v>
      </c>
      <c r="BN96" s="15" t="s">
        <v>155</v>
      </c>
      <c r="BO96" s="15" t="s">
        <v>154</v>
      </c>
      <c r="BP96" s="15" t="s">
        <v>157</v>
      </c>
      <c r="BQ96" s="9"/>
      <c r="BR96" s="15" t="s">
        <v>154</v>
      </c>
      <c r="BS96" s="15" t="s">
        <v>170</v>
      </c>
      <c r="BT96" s="28">
        <v>12.0</v>
      </c>
      <c r="BU96" s="15" t="s">
        <v>157</v>
      </c>
      <c r="BV96" s="7">
        <v>12.0</v>
      </c>
      <c r="BW96" s="15" t="s">
        <v>150</v>
      </c>
      <c r="BX96" s="10" t="s">
        <v>154</v>
      </c>
      <c r="BY96" s="1" t="s">
        <v>258</v>
      </c>
      <c r="BZ96" s="29" t="s">
        <v>158</v>
      </c>
      <c r="CA96" s="9"/>
      <c r="CB96" s="1" t="s">
        <v>150</v>
      </c>
      <c r="CC96" s="1" t="s">
        <v>150</v>
      </c>
      <c r="CD96" s="9"/>
      <c r="CE96" s="1" t="s">
        <v>150</v>
      </c>
      <c r="CF96" s="1" t="s">
        <v>150</v>
      </c>
      <c r="CG96" s="1" t="s">
        <v>150</v>
      </c>
      <c r="CH96" s="1" t="s">
        <v>150</v>
      </c>
      <c r="CI96" s="1" t="s">
        <v>150</v>
      </c>
      <c r="CJ96" s="1" t="s">
        <v>150</v>
      </c>
      <c r="CK96" s="1" t="s">
        <v>150</v>
      </c>
      <c r="CL96" s="1" t="s">
        <v>273</v>
      </c>
      <c r="CM96" s="7">
        <v>10.7</v>
      </c>
      <c r="CN96" s="7">
        <v>84.2</v>
      </c>
      <c r="CO96" s="7">
        <f t="shared" si="23"/>
        <v>9.0094</v>
      </c>
      <c r="CP96" s="7">
        <v>6.7</v>
      </c>
      <c r="CQ96" s="7">
        <f t="shared" si="10"/>
        <v>0.6036298</v>
      </c>
      <c r="CR96" s="7">
        <v>8.8</v>
      </c>
      <c r="CS96" s="7">
        <f t="shared" si="11"/>
        <v>0.0531194224</v>
      </c>
      <c r="CT96" s="7">
        <v>0.1</v>
      </c>
      <c r="CU96" s="7">
        <f t="shared" si="12"/>
        <v>0.0000531194224</v>
      </c>
      <c r="CV96" s="7">
        <f t="shared" si="13"/>
        <v>14.92537313</v>
      </c>
      <c r="CW96" s="7">
        <v>5.26</v>
      </c>
      <c r="CX96" s="7">
        <v>158.0</v>
      </c>
      <c r="CY96" s="7" t="str">
        <f t="shared" si="14"/>
        <v>Норма</v>
      </c>
      <c r="CZ96" s="9"/>
      <c r="DA96" s="7">
        <v>337.0</v>
      </c>
      <c r="DB96" s="7">
        <v>63.7</v>
      </c>
      <c r="DC96" s="7">
        <v>14.5</v>
      </c>
      <c r="DD96" s="7">
        <v>87.1</v>
      </c>
      <c r="DE96" s="7"/>
      <c r="DF96" s="7">
        <v>5.8</v>
      </c>
      <c r="DG96" s="7"/>
      <c r="DH96" s="7">
        <v>6.8</v>
      </c>
      <c r="DI96" s="7"/>
      <c r="DJ96" s="7">
        <v>0.0</v>
      </c>
      <c r="DK96" s="7"/>
      <c r="DL96" s="7"/>
      <c r="DM96" s="7">
        <v>5.3</v>
      </c>
      <c r="DN96" s="7">
        <v>158.0</v>
      </c>
      <c r="DO96" s="7" t="str">
        <f t="shared" si="15"/>
        <v>Норма</v>
      </c>
      <c r="DP96" s="9"/>
      <c r="DQ96" s="7">
        <v>320.0</v>
      </c>
      <c r="DR96" s="7">
        <v>5.2</v>
      </c>
      <c r="DS96" s="13">
        <v>670.0</v>
      </c>
      <c r="DT96" s="9"/>
      <c r="DU96" s="7">
        <v>15.9</v>
      </c>
      <c r="DV96" s="7">
        <v>1.3</v>
      </c>
      <c r="DW96" s="1" t="s">
        <v>320</v>
      </c>
      <c r="DX96" s="9"/>
      <c r="DY96" s="9"/>
      <c r="DZ96" s="7">
        <v>11.8</v>
      </c>
      <c r="EA96" s="7">
        <v>1.01</v>
      </c>
      <c r="EB96" s="7"/>
      <c r="EC96" s="7">
        <v>5.19</v>
      </c>
      <c r="ED96" s="7">
        <v>4.2</v>
      </c>
      <c r="EE96" s="7">
        <v>51.3</v>
      </c>
      <c r="EF96" s="7">
        <v>38.4</v>
      </c>
      <c r="EG96" s="7">
        <v>63.4</v>
      </c>
      <c r="EH96" s="7">
        <v>14.2</v>
      </c>
      <c r="EI96" s="7">
        <v>5.4</v>
      </c>
      <c r="EJ96" s="7">
        <v>89.0</v>
      </c>
      <c r="EK96" s="14">
        <f t="shared" si="16"/>
        <v>67.67373572</v>
      </c>
      <c r="EL96" s="11" t="str">
        <f t="shared" si="17"/>
        <v>C2</v>
      </c>
      <c r="EM96" s="9"/>
      <c r="EN96" s="9"/>
      <c r="EO96" s="7">
        <v>28.5</v>
      </c>
      <c r="EP96" s="7">
        <v>12.8</v>
      </c>
      <c r="EQ96" s="7">
        <v>54.7</v>
      </c>
      <c r="ER96" s="7">
        <v>17.1</v>
      </c>
      <c r="ES96" s="7">
        <v>5.1</v>
      </c>
      <c r="ET96" s="7">
        <v>97.0</v>
      </c>
      <c r="EU96" s="11">
        <f t="shared" si="18"/>
        <v>60.98536709</v>
      </c>
      <c r="EV96" s="11" t="str">
        <f t="shared" si="19"/>
        <v>C2</v>
      </c>
      <c r="EW96" s="7">
        <v>139.4</v>
      </c>
      <c r="EX96" s="7">
        <v>4.7</v>
      </c>
      <c r="EY96" s="9">
        <f t="shared" si="20"/>
        <v>2.274941213</v>
      </c>
      <c r="EZ96" s="9">
        <f t="shared" si="21"/>
        <v>0.09321969223</v>
      </c>
      <c r="FA96" s="9" t="str">
        <f t="shared" si="22"/>
        <v>Благоприятный</v>
      </c>
      <c r="FB96" s="1" t="s">
        <v>150</v>
      </c>
      <c r="FC96" s="1" t="s">
        <v>148</v>
      </c>
    </row>
    <row r="97">
      <c r="A97" s="7">
        <v>96.0</v>
      </c>
      <c r="B97" s="21">
        <v>55.0</v>
      </c>
      <c r="C97" s="25">
        <v>8145.0</v>
      </c>
      <c r="D97" s="1" t="s">
        <v>148</v>
      </c>
      <c r="E97" s="7">
        <v>27.0</v>
      </c>
      <c r="F97" s="1" t="s">
        <v>149</v>
      </c>
      <c r="G97" s="7"/>
      <c r="H97" s="7">
        <v>32.0</v>
      </c>
      <c r="I97" s="1" t="s">
        <v>150</v>
      </c>
      <c r="J97" s="1" t="s">
        <v>150</v>
      </c>
      <c r="K97" s="9"/>
      <c r="L97" s="1" t="s">
        <v>150</v>
      </c>
      <c r="M97" s="1" t="s">
        <v>150</v>
      </c>
      <c r="N97" s="9"/>
      <c r="O97" s="1" t="str">
        <f t="shared" si="1"/>
        <v>нет</v>
      </c>
      <c r="P97" s="1" t="s">
        <v>150</v>
      </c>
      <c r="Q97" s="1" t="s">
        <v>150</v>
      </c>
      <c r="R97" s="9"/>
      <c r="S97" s="1" t="s">
        <v>150</v>
      </c>
      <c r="T97" s="9"/>
      <c r="U97" s="9"/>
      <c r="V97" s="9"/>
      <c r="W97" s="9"/>
      <c r="X97" s="9"/>
      <c r="Y97" s="1" t="s">
        <v>150</v>
      </c>
      <c r="Z97" s="9"/>
      <c r="AA97" s="9"/>
      <c r="AB97" s="9"/>
      <c r="AC97" s="9"/>
      <c r="AD97" s="26" t="s">
        <v>345</v>
      </c>
      <c r="AE97" s="1" t="s">
        <v>154</v>
      </c>
      <c r="AF97" s="7">
        <v>15.0</v>
      </c>
      <c r="AG97" s="27" t="s">
        <v>151</v>
      </c>
      <c r="AH97" s="27" t="s">
        <v>152</v>
      </c>
      <c r="AI97" s="1" t="s">
        <v>168</v>
      </c>
      <c r="AJ97" s="7">
        <v>2.0</v>
      </c>
      <c r="AK97" s="1" t="s">
        <v>5</v>
      </c>
      <c r="AL97" s="1" t="s">
        <v>150</v>
      </c>
      <c r="AM97" s="9"/>
      <c r="AN97" s="1">
        <v>15.0</v>
      </c>
      <c r="AO97" s="1" t="str">
        <f t="shared" si="2"/>
        <v>нет</v>
      </c>
      <c r="AP97" s="7">
        <v>183.0</v>
      </c>
      <c r="AQ97" s="7">
        <v>110.0</v>
      </c>
      <c r="AR97" s="9">
        <f t="shared" si="3"/>
        <v>32.84660635</v>
      </c>
      <c r="AS97" s="7" t="str">
        <f t="shared" si="4"/>
        <v>Ожирение I степени</v>
      </c>
      <c r="AT97" s="7">
        <v>120.0</v>
      </c>
      <c r="AU97" s="7">
        <v>72.0</v>
      </c>
      <c r="AV97" s="3">
        <v>88.0</v>
      </c>
      <c r="AW97" s="7">
        <v>109.0</v>
      </c>
      <c r="AX97" s="7">
        <v>38.8</v>
      </c>
      <c r="AY97" s="7">
        <v>20.0</v>
      </c>
      <c r="AZ97" s="7">
        <v>91.0</v>
      </c>
      <c r="BA97" s="10" t="str">
        <f t="shared" si="5"/>
        <v>да</v>
      </c>
      <c r="BB97" s="7">
        <v>95.0</v>
      </c>
      <c r="BC97" s="11"/>
      <c r="BD97" s="12" t="str">
        <f t="shared" si="6"/>
        <v>#DIV/0!</v>
      </c>
      <c r="BE97" s="12">
        <f t="shared" si="7"/>
        <v>0</v>
      </c>
      <c r="BF97" s="12">
        <f t="shared" si="8"/>
        <v>5</v>
      </c>
      <c r="BG97" s="15" t="s">
        <v>154</v>
      </c>
      <c r="BH97" s="30"/>
      <c r="BI97" s="1" t="s">
        <v>154</v>
      </c>
      <c r="BJ97" s="1" t="s">
        <v>346</v>
      </c>
      <c r="BK97" s="1" t="s">
        <v>150</v>
      </c>
      <c r="BL97" s="9"/>
      <c r="BM97" s="1" t="s">
        <v>154</v>
      </c>
      <c r="BN97" s="1" t="s">
        <v>155</v>
      </c>
      <c r="BO97" s="1" t="s">
        <v>154</v>
      </c>
      <c r="BP97" s="1" t="s">
        <v>347</v>
      </c>
      <c r="BQ97" s="9"/>
      <c r="BR97" s="1" t="s">
        <v>154</v>
      </c>
      <c r="BS97" s="1" t="s">
        <v>348</v>
      </c>
      <c r="BT97" s="28">
        <v>12.0</v>
      </c>
      <c r="BU97" s="1" t="s">
        <v>157</v>
      </c>
      <c r="BV97" s="7">
        <v>20.0</v>
      </c>
      <c r="BW97" s="1" t="s">
        <v>150</v>
      </c>
      <c r="BX97" s="10" t="s">
        <v>154</v>
      </c>
      <c r="BY97" s="1" t="s">
        <v>173</v>
      </c>
      <c r="BZ97" s="29" t="s">
        <v>158</v>
      </c>
      <c r="CA97" s="9"/>
      <c r="CB97" s="1" t="s">
        <v>150</v>
      </c>
      <c r="CC97" s="1" t="s">
        <v>150</v>
      </c>
      <c r="CD97" s="1" t="s">
        <v>247</v>
      </c>
      <c r="CE97" s="1" t="s">
        <v>150</v>
      </c>
      <c r="CF97" s="1" t="s">
        <v>240</v>
      </c>
      <c r="CG97" s="1" t="s">
        <v>154</v>
      </c>
      <c r="CH97" s="1" t="s">
        <v>150</v>
      </c>
      <c r="CI97" s="1" t="s">
        <v>150</v>
      </c>
      <c r="CJ97" s="1" t="s">
        <v>150</v>
      </c>
      <c r="CK97" s="1" t="s">
        <v>150</v>
      </c>
      <c r="CL97" s="1" t="s">
        <v>349</v>
      </c>
      <c r="CM97" s="7">
        <v>12.1</v>
      </c>
      <c r="CN97" s="7">
        <v>88.6</v>
      </c>
      <c r="CO97" s="7">
        <f t="shared" si="23"/>
        <v>10.7206</v>
      </c>
      <c r="CP97" s="7">
        <v>5.9</v>
      </c>
      <c r="CQ97" s="7">
        <f t="shared" si="10"/>
        <v>0.6325154</v>
      </c>
      <c r="CR97" s="7">
        <v>4.7</v>
      </c>
      <c r="CS97" s="7">
        <f t="shared" si="11"/>
        <v>0.0297282238</v>
      </c>
      <c r="CT97" s="7">
        <v>0.0</v>
      </c>
      <c r="CU97" s="7">
        <f t="shared" si="12"/>
        <v>0</v>
      </c>
      <c r="CV97" s="7">
        <f t="shared" si="13"/>
        <v>16.94915254</v>
      </c>
      <c r="CW97" s="7">
        <v>5.0</v>
      </c>
      <c r="CX97" s="7">
        <v>143.0</v>
      </c>
      <c r="CY97" s="7" t="str">
        <f t="shared" si="14"/>
        <v>Норма</v>
      </c>
      <c r="CZ97" s="9"/>
      <c r="DA97" s="7">
        <v>277.0</v>
      </c>
      <c r="DB97" s="9"/>
      <c r="DC97" s="7">
        <v>15.4</v>
      </c>
      <c r="DD97" s="7">
        <v>84.2</v>
      </c>
      <c r="DE97" s="7"/>
      <c r="DF97" s="7">
        <v>8.2</v>
      </c>
      <c r="DG97" s="7"/>
      <c r="DH97" s="7">
        <v>6.3</v>
      </c>
      <c r="DI97" s="7"/>
      <c r="DJ97" s="7">
        <v>1.1</v>
      </c>
      <c r="DK97" s="7"/>
      <c r="DL97" s="7"/>
      <c r="DM97" s="7">
        <v>4.22</v>
      </c>
      <c r="DN97" s="7">
        <v>123.0</v>
      </c>
      <c r="DO97" s="7" t="str">
        <f t="shared" si="15"/>
        <v>Легкая степень</v>
      </c>
      <c r="DP97" s="9"/>
      <c r="DQ97" s="7">
        <v>154.0</v>
      </c>
      <c r="DR97" s="9"/>
      <c r="DS97" s="13">
        <v>588.0</v>
      </c>
      <c r="DT97" s="7">
        <v>18.7</v>
      </c>
      <c r="DU97" s="7">
        <v>12.7</v>
      </c>
      <c r="DV97" s="7">
        <v>1.026</v>
      </c>
      <c r="DW97" s="1" t="s">
        <v>320</v>
      </c>
      <c r="DX97" s="9"/>
      <c r="DY97" s="7">
        <v>26.0</v>
      </c>
      <c r="DZ97" s="7">
        <v>12.0</v>
      </c>
      <c r="EA97" s="7">
        <v>1.02</v>
      </c>
      <c r="EB97" s="7"/>
      <c r="EC97" s="7">
        <v>9.93</v>
      </c>
      <c r="ED97" s="7">
        <v>4.81</v>
      </c>
      <c r="EE97" s="7">
        <v>98.11</v>
      </c>
      <c r="EF97" s="7">
        <v>129.62</v>
      </c>
      <c r="EG97" s="7">
        <v>77.2</v>
      </c>
      <c r="EH97" s="7">
        <v>9.42</v>
      </c>
      <c r="EI97" s="7">
        <v>2.6</v>
      </c>
      <c r="EJ97" s="7">
        <v>106.36</v>
      </c>
      <c r="EK97" s="14">
        <f t="shared" si="16"/>
        <v>61.91148154</v>
      </c>
      <c r="EL97" s="11" t="str">
        <f t="shared" si="17"/>
        <v>C2</v>
      </c>
      <c r="EM97" s="7">
        <v>129.0</v>
      </c>
      <c r="EN97" s="7">
        <v>3.92</v>
      </c>
      <c r="EO97" s="7">
        <v>50.8</v>
      </c>
      <c r="EP97" s="7">
        <v>13.4</v>
      </c>
      <c r="EQ97" s="7">
        <v>54.8</v>
      </c>
      <c r="ER97" s="7">
        <v>8.5</v>
      </c>
      <c r="ES97" s="7">
        <v>2.9</v>
      </c>
      <c r="ET97" s="7">
        <v>76.0</v>
      </c>
      <c r="EU97" s="11">
        <f t="shared" si="18"/>
        <v>92.948538</v>
      </c>
      <c r="EV97" s="11" t="str">
        <f t="shared" si="19"/>
        <v>C1</v>
      </c>
      <c r="EW97" s="7">
        <v>128.3</v>
      </c>
      <c r="EX97" s="7">
        <v>3.91</v>
      </c>
      <c r="EY97" s="9">
        <f t="shared" si="20"/>
        <v>0.5493917541</v>
      </c>
      <c r="EZ97" s="9">
        <f t="shared" si="21"/>
        <v>0.3660055382</v>
      </c>
      <c r="FA97" s="9" t="str">
        <f t="shared" si="22"/>
        <v>Благоприятный</v>
      </c>
      <c r="FB97" s="1" t="s">
        <v>150</v>
      </c>
      <c r="FC97" s="1" t="s">
        <v>148</v>
      </c>
    </row>
    <row r="98">
      <c r="A98" s="7">
        <v>97.0</v>
      </c>
      <c r="B98" s="21">
        <v>56.0</v>
      </c>
      <c r="C98" s="25">
        <v>7444.0</v>
      </c>
      <c r="D98" s="1" t="s">
        <v>148</v>
      </c>
      <c r="E98" s="7">
        <v>62.0</v>
      </c>
      <c r="F98" s="1" t="s">
        <v>161</v>
      </c>
      <c r="G98" s="7"/>
      <c r="H98" s="7">
        <v>37.0</v>
      </c>
      <c r="I98" s="1" t="s">
        <v>150</v>
      </c>
      <c r="J98" s="1" t="s">
        <v>150</v>
      </c>
      <c r="K98" s="9"/>
      <c r="L98" s="1" t="s">
        <v>150</v>
      </c>
      <c r="M98" s="1" t="s">
        <v>150</v>
      </c>
      <c r="N98" s="9"/>
      <c r="O98" s="1" t="str">
        <f t="shared" si="1"/>
        <v>нет</v>
      </c>
      <c r="P98" s="1" t="s">
        <v>154</v>
      </c>
      <c r="Q98" s="1" t="s">
        <v>154</v>
      </c>
      <c r="R98" s="7">
        <v>2.0</v>
      </c>
      <c r="S98" s="1" t="s">
        <v>150</v>
      </c>
      <c r="T98" s="9"/>
      <c r="U98" s="9"/>
      <c r="V98" s="9"/>
      <c r="W98" s="9"/>
      <c r="X98" s="9"/>
      <c r="Y98" s="1" t="s">
        <v>150</v>
      </c>
      <c r="Z98" s="9"/>
      <c r="AA98" s="9"/>
      <c r="AB98" s="9"/>
      <c r="AC98" s="9"/>
      <c r="AD98" s="26"/>
      <c r="AE98" s="1" t="s">
        <v>150</v>
      </c>
      <c r="AF98" s="7">
        <v>0.0</v>
      </c>
      <c r="AG98" s="27" t="s">
        <v>162</v>
      </c>
      <c r="AH98" s="27" t="s">
        <v>152</v>
      </c>
      <c r="AI98" s="1" t="s">
        <v>168</v>
      </c>
      <c r="AJ98" s="7">
        <v>2.0</v>
      </c>
      <c r="AK98" s="1" t="s">
        <v>5</v>
      </c>
      <c r="AL98" s="1" t="s">
        <v>150</v>
      </c>
      <c r="AM98" s="9"/>
      <c r="AN98" s="1">
        <v>15.0</v>
      </c>
      <c r="AO98" s="1" t="str">
        <f t="shared" si="2"/>
        <v>нет</v>
      </c>
      <c r="AP98" s="7">
        <v>152.0</v>
      </c>
      <c r="AQ98" s="7">
        <v>70.0</v>
      </c>
      <c r="AR98" s="9">
        <f t="shared" si="3"/>
        <v>30.29778393</v>
      </c>
      <c r="AS98" s="7" t="str">
        <f t="shared" si="4"/>
        <v>Ожирение I степени</v>
      </c>
      <c r="AT98" s="7">
        <v>140.0</v>
      </c>
      <c r="AU98" s="7">
        <v>80.0</v>
      </c>
      <c r="AV98" s="3">
        <v>100.0</v>
      </c>
      <c r="AW98" s="7">
        <v>80.0</v>
      </c>
      <c r="AX98" s="7">
        <v>37.0</v>
      </c>
      <c r="AY98" s="7">
        <v>18.0</v>
      </c>
      <c r="AZ98" s="7">
        <v>92.0</v>
      </c>
      <c r="BA98" s="10" t="str">
        <f t="shared" si="5"/>
        <v>да</v>
      </c>
      <c r="BB98" s="9"/>
      <c r="BC98" s="11"/>
      <c r="BD98" s="12" t="str">
        <f t="shared" si="6"/>
        <v>#DIV/0!</v>
      </c>
      <c r="BE98" s="12">
        <f t="shared" si="7"/>
        <v>0</v>
      </c>
      <c r="BF98" s="12">
        <f t="shared" si="8"/>
        <v>2</v>
      </c>
      <c r="BG98" s="15" t="s">
        <v>150</v>
      </c>
      <c r="BH98" s="9"/>
      <c r="BI98" s="15" t="s">
        <v>154</v>
      </c>
      <c r="BJ98" s="15" t="s">
        <v>175</v>
      </c>
      <c r="BK98" s="15" t="s">
        <v>150</v>
      </c>
      <c r="BL98" s="9"/>
      <c r="BM98" s="15" t="s">
        <v>154</v>
      </c>
      <c r="BN98" s="15" t="s">
        <v>155</v>
      </c>
      <c r="BO98" s="15" t="s">
        <v>150</v>
      </c>
      <c r="BP98" s="9"/>
      <c r="BQ98" s="9"/>
      <c r="BR98" s="15" t="s">
        <v>154</v>
      </c>
      <c r="BS98" s="15" t="s">
        <v>170</v>
      </c>
      <c r="BT98" s="30"/>
      <c r="BU98" s="15" t="s">
        <v>350</v>
      </c>
      <c r="BV98" s="7">
        <v>12.0</v>
      </c>
      <c r="BW98" s="15" t="s">
        <v>150</v>
      </c>
      <c r="BX98" s="10" t="s">
        <v>154</v>
      </c>
      <c r="BY98" s="1" t="s">
        <v>275</v>
      </c>
      <c r="BZ98" s="29" t="s">
        <v>158</v>
      </c>
      <c r="CA98" s="1" t="s">
        <v>176</v>
      </c>
      <c r="CB98" s="1" t="s">
        <v>150</v>
      </c>
      <c r="CC98" s="1" t="s">
        <v>150</v>
      </c>
      <c r="CD98" s="1" t="s">
        <v>212</v>
      </c>
      <c r="CE98" s="1" t="s">
        <v>150</v>
      </c>
      <c r="CF98" s="1" t="s">
        <v>150</v>
      </c>
      <c r="CG98" s="1" t="s">
        <v>150</v>
      </c>
      <c r="CH98" s="1" t="s">
        <v>150</v>
      </c>
      <c r="CI98" s="1" t="s">
        <v>150</v>
      </c>
      <c r="CJ98" s="1" t="s">
        <v>150</v>
      </c>
      <c r="CK98" s="1" t="s">
        <v>150</v>
      </c>
      <c r="CL98" s="9"/>
      <c r="CM98" s="7">
        <v>7.0</v>
      </c>
      <c r="CN98" s="7">
        <v>78.7</v>
      </c>
      <c r="CO98" s="7">
        <f t="shared" si="23"/>
        <v>5.509</v>
      </c>
      <c r="CP98" s="7">
        <v>16.4</v>
      </c>
      <c r="CQ98" s="7">
        <f t="shared" si="10"/>
        <v>0.903476</v>
      </c>
      <c r="CR98" s="7">
        <v>4.5</v>
      </c>
      <c r="CS98" s="7">
        <f t="shared" si="11"/>
        <v>0.04065642</v>
      </c>
      <c r="CT98" s="7">
        <v>0.0</v>
      </c>
      <c r="CU98" s="7">
        <f t="shared" si="12"/>
        <v>0</v>
      </c>
      <c r="CV98" s="7">
        <f t="shared" si="13"/>
        <v>6.097560976</v>
      </c>
      <c r="CW98" s="7">
        <v>4.53</v>
      </c>
      <c r="CX98" s="7">
        <v>114.0</v>
      </c>
      <c r="CY98" s="7" t="str">
        <f t="shared" si="14"/>
        <v>Легкая степень</v>
      </c>
      <c r="CZ98" s="7">
        <v>32.0</v>
      </c>
      <c r="DA98" s="7">
        <v>254.0</v>
      </c>
      <c r="DB98" s="7">
        <v>47.4</v>
      </c>
      <c r="DC98" s="7">
        <v>9.6</v>
      </c>
      <c r="DD98" s="7">
        <v>88.6</v>
      </c>
      <c r="DE98" s="7"/>
      <c r="DF98" s="7">
        <v>8.3</v>
      </c>
      <c r="DG98" s="7"/>
      <c r="DH98" s="7">
        <v>5.5</v>
      </c>
      <c r="DI98" s="7"/>
      <c r="DJ98" s="7">
        <v>0.0</v>
      </c>
      <c r="DK98" s="7"/>
      <c r="DL98" s="7"/>
      <c r="DM98" s="7">
        <v>3.76</v>
      </c>
      <c r="DN98" s="7">
        <v>108.0</v>
      </c>
      <c r="DO98" s="7" t="str">
        <f t="shared" si="15"/>
        <v>Средняя степень</v>
      </c>
      <c r="DP98" s="9"/>
      <c r="DQ98" s="7">
        <v>277.0</v>
      </c>
      <c r="DR98" s="9"/>
      <c r="DS98" s="13">
        <v>540.0</v>
      </c>
      <c r="DT98" s="7">
        <v>20.1</v>
      </c>
      <c r="DU98" s="7">
        <v>14.4</v>
      </c>
      <c r="DV98" s="7">
        <v>1.23</v>
      </c>
      <c r="DW98" s="1" t="s">
        <v>320</v>
      </c>
      <c r="DX98" s="9"/>
      <c r="DY98" s="9"/>
      <c r="DZ98" s="7">
        <v>10.8</v>
      </c>
      <c r="EA98" s="7">
        <v>0.92</v>
      </c>
      <c r="EB98" s="7"/>
      <c r="EC98" s="7">
        <v>7.15</v>
      </c>
      <c r="ED98" s="7">
        <v>11.97</v>
      </c>
      <c r="EE98" s="7">
        <v>18.92</v>
      </c>
      <c r="EF98" s="7">
        <v>42.33</v>
      </c>
      <c r="EG98" s="7">
        <v>68.4</v>
      </c>
      <c r="EH98" s="7">
        <v>9.24</v>
      </c>
      <c r="EI98" s="9"/>
      <c r="EJ98" s="7">
        <v>116.41</v>
      </c>
      <c r="EK98" s="14">
        <f t="shared" si="16"/>
        <v>43.40978489</v>
      </c>
      <c r="EL98" s="11" t="str">
        <f t="shared" si="17"/>
        <v>C3b</v>
      </c>
      <c r="EM98" s="7">
        <v>137.2</v>
      </c>
      <c r="EN98" s="7">
        <v>3.12</v>
      </c>
      <c r="EO98" s="7">
        <v>46.92</v>
      </c>
      <c r="EP98" s="7">
        <v>13.8</v>
      </c>
      <c r="EQ98" s="7">
        <v>53.1</v>
      </c>
      <c r="ER98" s="7">
        <v>13.33</v>
      </c>
      <c r="ES98" s="9"/>
      <c r="ET98" s="7">
        <v>53.16</v>
      </c>
      <c r="EU98" s="11">
        <f t="shared" si="18"/>
        <v>97.94102988</v>
      </c>
      <c r="EV98" s="11" t="str">
        <f t="shared" si="19"/>
        <v>C1</v>
      </c>
      <c r="EW98" s="7">
        <v>139.2</v>
      </c>
      <c r="EX98" s="7">
        <v>3.55</v>
      </c>
      <c r="EY98" s="9">
        <f t="shared" si="20"/>
        <v>1.301459388</v>
      </c>
      <c r="EZ98" s="9">
        <f t="shared" si="21"/>
        <v>0.2139195068</v>
      </c>
      <c r="FA98" s="9" t="str">
        <f t="shared" si="22"/>
        <v>Благоприятный</v>
      </c>
      <c r="FB98" s="1" t="s">
        <v>150</v>
      </c>
      <c r="FC98" s="1" t="s">
        <v>148</v>
      </c>
    </row>
    <row r="99">
      <c r="A99" s="7">
        <v>98.0</v>
      </c>
      <c r="B99" s="21">
        <v>57.0</v>
      </c>
      <c r="C99" s="25">
        <v>8986.0</v>
      </c>
      <c r="D99" s="1" t="s">
        <v>148</v>
      </c>
      <c r="E99" s="7">
        <v>42.0</v>
      </c>
      <c r="F99" s="1" t="s">
        <v>149</v>
      </c>
      <c r="G99" s="7"/>
      <c r="H99" s="7">
        <v>36.0</v>
      </c>
      <c r="I99" s="1" t="s">
        <v>150</v>
      </c>
      <c r="J99" s="1" t="s">
        <v>150</v>
      </c>
      <c r="K99" s="9"/>
      <c r="L99" s="1" t="s">
        <v>150</v>
      </c>
      <c r="M99" s="1" t="s">
        <v>314</v>
      </c>
      <c r="O99" s="1" t="str">
        <f t="shared" si="1"/>
        <v>нет</v>
      </c>
      <c r="P99" s="1" t="s">
        <v>154</v>
      </c>
      <c r="Q99" s="1" t="s">
        <v>150</v>
      </c>
      <c r="R99" s="9"/>
      <c r="S99" s="1" t="s">
        <v>150</v>
      </c>
      <c r="T99" s="9"/>
      <c r="U99" s="9"/>
      <c r="V99" s="9"/>
      <c r="W99" s="9"/>
      <c r="X99" s="9"/>
      <c r="Y99" s="1" t="s">
        <v>150</v>
      </c>
      <c r="Z99" s="9"/>
      <c r="AA99" s="9"/>
      <c r="AB99" s="9"/>
      <c r="AC99" s="9"/>
      <c r="AD99" s="26"/>
      <c r="AE99" s="1" t="s">
        <v>150</v>
      </c>
      <c r="AF99" s="7">
        <v>0.0</v>
      </c>
      <c r="AG99" s="27" t="s">
        <v>162</v>
      </c>
      <c r="AH99" s="27" t="s">
        <v>152</v>
      </c>
      <c r="AI99" s="1" t="s">
        <v>168</v>
      </c>
      <c r="AJ99" s="7">
        <v>3.0</v>
      </c>
      <c r="AK99" s="1" t="s">
        <v>5</v>
      </c>
      <c r="AL99" s="1" t="s">
        <v>150</v>
      </c>
      <c r="AM99" s="9"/>
      <c r="AN99" s="1">
        <v>15.0</v>
      </c>
      <c r="AO99" s="1" t="str">
        <f t="shared" si="2"/>
        <v>нет</v>
      </c>
      <c r="AP99" s="7">
        <v>192.0</v>
      </c>
      <c r="AQ99" s="7">
        <v>94.0</v>
      </c>
      <c r="AR99" s="9">
        <f t="shared" si="3"/>
        <v>25.49913194</v>
      </c>
      <c r="AS99" s="7" t="str">
        <f t="shared" si="4"/>
        <v>Избыточный вес (предожирение)</v>
      </c>
      <c r="AT99" s="7">
        <v>135.0</v>
      </c>
      <c r="AU99" s="7">
        <v>89.0</v>
      </c>
      <c r="AV99" s="3">
        <v>104.0</v>
      </c>
      <c r="AW99" s="7">
        <v>100.0</v>
      </c>
      <c r="AX99" s="7">
        <v>37.3</v>
      </c>
      <c r="AY99" s="7">
        <v>20.0</v>
      </c>
      <c r="AZ99" s="7">
        <v>88.0</v>
      </c>
      <c r="BA99" s="10" t="str">
        <f t="shared" si="5"/>
        <v>да</v>
      </c>
      <c r="BB99" s="7">
        <v>93.0</v>
      </c>
      <c r="BC99" s="11"/>
      <c r="BD99" s="12" t="str">
        <f t="shared" si="6"/>
        <v>#DIV/0!</v>
      </c>
      <c r="BE99" s="12">
        <f t="shared" si="7"/>
        <v>0</v>
      </c>
      <c r="BF99" s="12">
        <f t="shared" si="8"/>
        <v>4</v>
      </c>
      <c r="BG99" s="15" t="s">
        <v>154</v>
      </c>
      <c r="BH99" s="15" t="s">
        <v>175</v>
      </c>
      <c r="BI99" s="1" t="s">
        <v>154</v>
      </c>
      <c r="BJ99" s="1" t="s">
        <v>351</v>
      </c>
      <c r="BK99" s="1" t="s">
        <v>150</v>
      </c>
      <c r="BL99" s="9"/>
      <c r="BM99" s="1" t="s">
        <v>154</v>
      </c>
      <c r="BN99" s="1" t="s">
        <v>155</v>
      </c>
      <c r="BO99" s="1" t="s">
        <v>154</v>
      </c>
      <c r="BP99" s="1" t="s">
        <v>157</v>
      </c>
      <c r="BQ99" s="9"/>
      <c r="BR99" s="1" t="s">
        <v>154</v>
      </c>
      <c r="BS99" s="1" t="s">
        <v>306</v>
      </c>
      <c r="BT99" s="28">
        <v>12.0</v>
      </c>
      <c r="BU99" s="1" t="s">
        <v>157</v>
      </c>
      <c r="BV99" s="7">
        <v>16.0</v>
      </c>
      <c r="BW99" s="1" t="s">
        <v>154</v>
      </c>
      <c r="BX99" s="10" t="s">
        <v>154</v>
      </c>
      <c r="BY99" s="1" t="s">
        <v>173</v>
      </c>
      <c r="BZ99" s="29" t="s">
        <v>158</v>
      </c>
      <c r="CA99" s="9"/>
      <c r="CB99" s="1" t="s">
        <v>150</v>
      </c>
      <c r="CC99" s="1" t="s">
        <v>150</v>
      </c>
      <c r="CD99" s="9"/>
      <c r="CE99" s="1" t="s">
        <v>150</v>
      </c>
      <c r="CF99" s="1" t="s">
        <v>150</v>
      </c>
      <c r="CG99" s="1" t="s">
        <v>150</v>
      </c>
      <c r="CH99" s="1" t="s">
        <v>150</v>
      </c>
      <c r="CI99" s="1" t="s">
        <v>150</v>
      </c>
      <c r="CJ99" s="1" t="s">
        <v>150</v>
      </c>
      <c r="CK99" s="1" t="s">
        <v>150</v>
      </c>
      <c r="CL99" s="1" t="s">
        <v>352</v>
      </c>
      <c r="CM99" s="7">
        <v>14.9</v>
      </c>
      <c r="CN99" s="7">
        <v>88.6</v>
      </c>
      <c r="CO99" s="7">
        <f t="shared" si="23"/>
        <v>13.2014</v>
      </c>
      <c r="CP99" s="7">
        <v>4.8</v>
      </c>
      <c r="CQ99" s="7">
        <f t="shared" si="10"/>
        <v>0.6336672</v>
      </c>
      <c r="CR99" s="7">
        <v>6.4</v>
      </c>
      <c r="CS99" s="7">
        <f t="shared" si="11"/>
        <v>0.0405547008</v>
      </c>
      <c r="CT99" s="7">
        <v>0.0</v>
      </c>
      <c r="CU99" s="7">
        <f t="shared" si="12"/>
        <v>0</v>
      </c>
      <c r="CV99" s="7">
        <f t="shared" si="13"/>
        <v>20.83333333</v>
      </c>
      <c r="CW99" s="7">
        <v>5.26</v>
      </c>
      <c r="CX99" s="7">
        <v>165.0</v>
      </c>
      <c r="CY99" s="7" t="str">
        <f t="shared" si="14"/>
        <v>Норма</v>
      </c>
      <c r="CZ99" s="7">
        <v>40.0</v>
      </c>
      <c r="DA99" s="7">
        <v>201.0</v>
      </c>
      <c r="DB99" s="7">
        <v>23.9</v>
      </c>
      <c r="DC99" s="7">
        <v>10.9</v>
      </c>
      <c r="DD99" s="7">
        <v>74.0</v>
      </c>
      <c r="DE99" s="7"/>
      <c r="DF99" s="7">
        <v>20.1</v>
      </c>
      <c r="DG99" s="7"/>
      <c r="DH99" s="7">
        <v>5.5</v>
      </c>
      <c r="DI99" s="7"/>
      <c r="DJ99" s="7">
        <v>0.2</v>
      </c>
      <c r="DK99" s="7"/>
      <c r="DL99" s="7"/>
      <c r="DM99" s="7">
        <v>5.21</v>
      </c>
      <c r="DN99" s="7">
        <v>162.0</v>
      </c>
      <c r="DO99" s="7" t="str">
        <f t="shared" si="15"/>
        <v>Норма</v>
      </c>
      <c r="DP99" s="7">
        <v>6.0</v>
      </c>
      <c r="DQ99" s="7">
        <v>197.0</v>
      </c>
      <c r="DR99" s="7">
        <v>2.3</v>
      </c>
      <c r="DS99" s="13">
        <v>617.0</v>
      </c>
      <c r="DT99" s="7">
        <v>30.6</v>
      </c>
      <c r="DU99" s="7">
        <v>21.8</v>
      </c>
      <c r="DV99" s="7">
        <v>1.86</v>
      </c>
      <c r="DW99" s="1" t="s">
        <v>320</v>
      </c>
      <c r="DX99" s="9"/>
      <c r="DY99" s="7">
        <v>29.0</v>
      </c>
      <c r="DZ99" s="7">
        <v>12.1</v>
      </c>
      <c r="EA99" s="7">
        <v>1.1</v>
      </c>
      <c r="EB99" s="7"/>
      <c r="EC99" s="7">
        <v>25.0</v>
      </c>
      <c r="ED99" s="7">
        <v>5.92</v>
      </c>
      <c r="EE99" s="7">
        <v>49.33</v>
      </c>
      <c r="EF99" s="7">
        <v>37.26</v>
      </c>
      <c r="EG99" s="7">
        <v>74.6</v>
      </c>
      <c r="EH99" s="7">
        <v>13.2</v>
      </c>
      <c r="EI99" s="7">
        <v>5.6</v>
      </c>
      <c r="EJ99" s="7">
        <v>141.47</v>
      </c>
      <c r="EK99" s="14">
        <f t="shared" si="16"/>
        <v>39.4667823</v>
      </c>
      <c r="EL99" s="11" t="str">
        <f t="shared" si="17"/>
        <v>C3b</v>
      </c>
      <c r="EM99" s="7">
        <v>140.7</v>
      </c>
      <c r="EN99" s="7">
        <v>3.9</v>
      </c>
      <c r="EO99" s="7">
        <v>56.5</v>
      </c>
      <c r="EP99" s="7">
        <v>14.8</v>
      </c>
      <c r="EQ99" s="7">
        <v>68.3</v>
      </c>
      <c r="ER99" s="7">
        <v>13.8</v>
      </c>
      <c r="ES99" s="7">
        <v>6.8</v>
      </c>
      <c r="ET99" s="7">
        <v>53.0</v>
      </c>
      <c r="EU99" s="11">
        <f t="shared" si="18"/>
        <v>112.8263117</v>
      </c>
      <c r="EV99" s="11" t="str">
        <f t="shared" si="19"/>
        <v>C1</v>
      </c>
      <c r="EW99" s="7">
        <v>139.7</v>
      </c>
      <c r="EX99" s="7">
        <v>4.2</v>
      </c>
      <c r="EY99" s="9">
        <f t="shared" si="20"/>
        <v>3.141935997</v>
      </c>
      <c r="EZ99" s="9">
        <f t="shared" si="21"/>
        <v>0.04141020089</v>
      </c>
      <c r="FA99" s="9" t="str">
        <f t="shared" si="22"/>
        <v>Благоприятный</v>
      </c>
      <c r="FB99" s="1" t="s">
        <v>150</v>
      </c>
      <c r="FC99" s="1" t="s">
        <v>148</v>
      </c>
    </row>
    <row r="100">
      <c r="A100" s="7">
        <v>99.0</v>
      </c>
      <c r="B100" s="21">
        <v>58.0</v>
      </c>
      <c r="C100" s="25">
        <v>8592.0</v>
      </c>
      <c r="D100" s="1" t="s">
        <v>148</v>
      </c>
      <c r="E100" s="7">
        <v>67.0</v>
      </c>
      <c r="F100" s="1" t="s">
        <v>161</v>
      </c>
      <c r="G100" s="7"/>
      <c r="H100" s="7">
        <v>25.0</v>
      </c>
      <c r="I100" s="1" t="s">
        <v>150</v>
      </c>
      <c r="J100" s="1" t="s">
        <v>150</v>
      </c>
      <c r="K100" s="9"/>
      <c r="L100" s="1" t="s">
        <v>154</v>
      </c>
      <c r="M100" s="1" t="s">
        <v>154</v>
      </c>
      <c r="N100" s="1" t="s">
        <v>178</v>
      </c>
      <c r="O100" s="1" t="str">
        <f t="shared" si="1"/>
        <v>нет</v>
      </c>
      <c r="P100" s="1" t="s">
        <v>154</v>
      </c>
      <c r="Q100" s="1" t="s">
        <v>154</v>
      </c>
      <c r="R100" s="7">
        <v>3.0</v>
      </c>
      <c r="S100" s="1" t="s">
        <v>154</v>
      </c>
      <c r="T100" s="1" t="s">
        <v>265</v>
      </c>
      <c r="U100" s="7"/>
      <c r="V100" s="7">
        <v>2.0</v>
      </c>
      <c r="W100" s="7">
        <v>2.0</v>
      </c>
      <c r="X100" s="1" t="s">
        <v>154</v>
      </c>
      <c r="Y100" s="1" t="s">
        <v>150</v>
      </c>
      <c r="Z100" s="9"/>
      <c r="AA100" s="9"/>
      <c r="AB100" s="9"/>
      <c r="AC100" s="9"/>
      <c r="AD100" s="26" t="s">
        <v>353</v>
      </c>
      <c r="AE100" s="1" t="s">
        <v>150</v>
      </c>
      <c r="AF100" s="7">
        <v>0.0</v>
      </c>
      <c r="AG100" s="27" t="s">
        <v>162</v>
      </c>
      <c r="AH100" s="27" t="s">
        <v>152</v>
      </c>
      <c r="AI100" s="1" t="s">
        <v>168</v>
      </c>
      <c r="AJ100" s="7">
        <v>2.0</v>
      </c>
      <c r="AK100" s="1" t="s">
        <v>5</v>
      </c>
      <c r="AL100" s="1" t="s">
        <v>150</v>
      </c>
      <c r="AM100" s="9"/>
      <c r="AN100" s="1">
        <v>15.0</v>
      </c>
      <c r="AO100" s="1" t="str">
        <f t="shared" si="2"/>
        <v>нет</v>
      </c>
      <c r="AP100" s="7">
        <v>165.0</v>
      </c>
      <c r="AQ100" s="7">
        <v>105.0</v>
      </c>
      <c r="AR100" s="9">
        <f t="shared" si="3"/>
        <v>38.56749311</v>
      </c>
      <c r="AS100" s="7" t="str">
        <f t="shared" si="4"/>
        <v>Ожирение II степени</v>
      </c>
      <c r="AT100" s="7">
        <v>130.0</v>
      </c>
      <c r="AU100" s="7">
        <v>62.0</v>
      </c>
      <c r="AV100" s="3">
        <v>85.0</v>
      </c>
      <c r="AW100" s="7">
        <v>88.0</v>
      </c>
      <c r="AX100" s="7">
        <v>38.7</v>
      </c>
      <c r="AY100" s="7">
        <v>20.0</v>
      </c>
      <c r="AZ100" s="7">
        <v>89.0</v>
      </c>
      <c r="BA100" s="10" t="str">
        <f t="shared" si="5"/>
        <v>да</v>
      </c>
      <c r="BB100" s="9"/>
      <c r="BC100" s="11"/>
      <c r="BD100" s="12" t="str">
        <f t="shared" si="6"/>
        <v>#DIV/0!</v>
      </c>
      <c r="BE100" s="12">
        <f t="shared" si="7"/>
        <v>0</v>
      </c>
      <c r="BF100" s="12">
        <f t="shared" si="8"/>
        <v>4</v>
      </c>
      <c r="BG100" s="15" t="s">
        <v>154</v>
      </c>
      <c r="BH100" s="15" t="s">
        <v>198</v>
      </c>
      <c r="BI100" s="15" t="s">
        <v>154</v>
      </c>
      <c r="BJ100" s="15" t="s">
        <v>285</v>
      </c>
      <c r="BK100" s="15" t="s">
        <v>154</v>
      </c>
      <c r="BL100" s="15" t="s">
        <v>189</v>
      </c>
      <c r="BM100" s="15" t="s">
        <v>154</v>
      </c>
      <c r="BN100" s="15" t="s">
        <v>155</v>
      </c>
      <c r="BO100" s="15" t="s">
        <v>150</v>
      </c>
      <c r="BP100" s="9"/>
      <c r="BQ100" s="9"/>
      <c r="BR100" s="15" t="s">
        <v>154</v>
      </c>
      <c r="BS100" s="15" t="s">
        <v>170</v>
      </c>
      <c r="BT100" s="28">
        <v>12.0</v>
      </c>
      <c r="BU100" s="15" t="s">
        <v>157</v>
      </c>
      <c r="BV100" s="7">
        <v>12.0</v>
      </c>
      <c r="BW100" s="15" t="s">
        <v>154</v>
      </c>
      <c r="BX100" s="10" t="s">
        <v>154</v>
      </c>
      <c r="BY100" s="1" t="s">
        <v>173</v>
      </c>
      <c r="BZ100" s="29" t="s">
        <v>158</v>
      </c>
      <c r="CA100" s="1" t="s">
        <v>176</v>
      </c>
      <c r="CB100" s="1" t="s">
        <v>185</v>
      </c>
      <c r="CC100" s="1" t="s">
        <v>150</v>
      </c>
      <c r="CD100" s="1" t="s">
        <v>212</v>
      </c>
      <c r="CE100" s="1" t="s">
        <v>150</v>
      </c>
      <c r="CF100" s="1" t="s">
        <v>240</v>
      </c>
      <c r="CG100" s="1" t="s">
        <v>150</v>
      </c>
      <c r="CH100" s="1" t="s">
        <v>150</v>
      </c>
      <c r="CI100" s="1" t="s">
        <v>150</v>
      </c>
      <c r="CJ100" s="1" t="s">
        <v>150</v>
      </c>
      <c r="CK100" s="1" t="s">
        <v>150</v>
      </c>
      <c r="CL100" s="1" t="s">
        <v>354</v>
      </c>
      <c r="CM100" s="7">
        <v>5.3</v>
      </c>
      <c r="CN100" s="7">
        <v>86.2</v>
      </c>
      <c r="CO100" s="7">
        <f t="shared" si="23"/>
        <v>4.5686</v>
      </c>
      <c r="CP100" s="7">
        <v>8.9</v>
      </c>
      <c r="CQ100" s="7">
        <f t="shared" si="10"/>
        <v>0.4066054</v>
      </c>
      <c r="CR100" s="7">
        <v>4.5</v>
      </c>
      <c r="CS100" s="7">
        <f t="shared" si="11"/>
        <v>0.018297243</v>
      </c>
      <c r="CT100" s="7">
        <v>0.2</v>
      </c>
      <c r="CU100" s="7">
        <f t="shared" si="12"/>
        <v>0.000036594486</v>
      </c>
      <c r="CV100" s="7">
        <f t="shared" si="13"/>
        <v>11.23595506</v>
      </c>
      <c r="CW100" s="7">
        <v>3.9</v>
      </c>
      <c r="CX100" s="7">
        <v>116.0</v>
      </c>
      <c r="CY100" s="7" t="str">
        <f t="shared" si="14"/>
        <v>Легкая степень</v>
      </c>
      <c r="CZ100" s="9"/>
      <c r="DA100" s="7">
        <v>116.0</v>
      </c>
      <c r="DB100" s="7">
        <v>111.6</v>
      </c>
      <c r="DC100" s="7">
        <v>5.3</v>
      </c>
      <c r="DD100" s="7">
        <v>86.6</v>
      </c>
      <c r="DE100" s="7"/>
      <c r="DF100" s="7">
        <v>8.2</v>
      </c>
      <c r="DG100" s="7"/>
      <c r="DH100" s="7">
        <v>3.8</v>
      </c>
      <c r="DI100" s="7"/>
      <c r="DJ100" s="7">
        <v>0.5</v>
      </c>
      <c r="DK100" s="7"/>
      <c r="DL100" s="7"/>
      <c r="DM100" s="7">
        <v>3.88</v>
      </c>
      <c r="DN100" s="7">
        <v>115.0</v>
      </c>
      <c r="DO100" s="7" t="str">
        <f t="shared" si="15"/>
        <v>Легкая степень</v>
      </c>
      <c r="DP100" s="9"/>
      <c r="DQ100" s="7">
        <v>194.0</v>
      </c>
      <c r="DR100" s="7">
        <v>9.5</v>
      </c>
      <c r="DS100" s="13">
        <v>607.0</v>
      </c>
      <c r="DT100" s="9"/>
      <c r="DU100" s="7">
        <v>11.9</v>
      </c>
      <c r="DV100" s="7">
        <v>1.017</v>
      </c>
      <c r="DW100" s="1" t="s">
        <v>320</v>
      </c>
      <c r="DX100" s="9"/>
      <c r="DY100" s="9"/>
      <c r="DZ100" s="7">
        <v>11.3</v>
      </c>
      <c r="EA100" s="7">
        <v>0.95</v>
      </c>
      <c r="EB100" s="7"/>
      <c r="EC100" s="7">
        <v>13.8</v>
      </c>
      <c r="ED100" s="7">
        <v>6.9</v>
      </c>
      <c r="EE100" s="7">
        <v>30.4</v>
      </c>
      <c r="EF100" s="7">
        <v>39.6</v>
      </c>
      <c r="EG100" s="7">
        <v>74.1</v>
      </c>
      <c r="EH100" s="7">
        <v>10.5</v>
      </c>
      <c r="EI100" s="7">
        <v>4.3</v>
      </c>
      <c r="EJ100" s="7">
        <v>262.0</v>
      </c>
      <c r="EK100" s="14">
        <f t="shared" si="16"/>
        <v>15.71773183</v>
      </c>
      <c r="EL100" s="11" t="str">
        <f t="shared" si="17"/>
        <v>C4</v>
      </c>
      <c r="EM100" s="9"/>
      <c r="EN100" s="9"/>
      <c r="EO100" s="7">
        <v>40.9</v>
      </c>
      <c r="EP100" s="7">
        <v>13.7</v>
      </c>
      <c r="EQ100" s="7">
        <v>53.0</v>
      </c>
      <c r="ER100" s="7">
        <v>14.3</v>
      </c>
      <c r="ES100" s="7">
        <v>4.4</v>
      </c>
      <c r="ET100" s="7">
        <v>99.0</v>
      </c>
      <c r="EU100" s="11">
        <f t="shared" si="18"/>
        <v>50.97921992</v>
      </c>
      <c r="EV100" s="11" t="str">
        <f t="shared" si="19"/>
        <v>C3a</v>
      </c>
      <c r="EW100" s="7">
        <v>141.0</v>
      </c>
      <c r="EX100" s="7">
        <v>4.42</v>
      </c>
      <c r="EY100" s="9">
        <f t="shared" si="20"/>
        <v>-0.3790004408</v>
      </c>
      <c r="EZ100" s="9">
        <f t="shared" si="21"/>
        <v>0.5936319988</v>
      </c>
      <c r="FA100" s="9" t="str">
        <f t="shared" si="22"/>
        <v>Неблагоприятный</v>
      </c>
      <c r="FB100" s="1" t="s">
        <v>256</v>
      </c>
      <c r="FC100" s="1" t="s">
        <v>148</v>
      </c>
    </row>
    <row r="101">
      <c r="A101" s="7">
        <v>100.0</v>
      </c>
      <c r="B101" s="21">
        <v>59.0</v>
      </c>
      <c r="C101" s="25">
        <v>8156.0</v>
      </c>
      <c r="D101" s="1" t="s">
        <v>148</v>
      </c>
      <c r="E101" s="7">
        <v>54.0</v>
      </c>
      <c r="F101" s="1" t="s">
        <v>149</v>
      </c>
      <c r="G101" s="7"/>
      <c r="H101" s="7">
        <v>25.0</v>
      </c>
      <c r="I101" s="1" t="s">
        <v>154</v>
      </c>
      <c r="J101" s="1" t="s">
        <v>150</v>
      </c>
      <c r="K101" s="9"/>
      <c r="L101" s="1" t="s">
        <v>150</v>
      </c>
      <c r="M101" s="1" t="s">
        <v>150</v>
      </c>
      <c r="N101" s="9"/>
      <c r="O101" s="1" t="str">
        <f t="shared" si="1"/>
        <v>нет</v>
      </c>
      <c r="P101" s="1" t="s">
        <v>150</v>
      </c>
      <c r="Q101" s="1" t="s">
        <v>150</v>
      </c>
      <c r="R101" s="9"/>
      <c r="S101" s="1" t="s">
        <v>150</v>
      </c>
      <c r="T101" s="9"/>
      <c r="U101" s="9"/>
      <c r="V101" s="9"/>
      <c r="W101" s="9"/>
      <c r="X101" s="9"/>
      <c r="Y101" s="1" t="s">
        <v>150</v>
      </c>
      <c r="Z101" s="9"/>
      <c r="AA101" s="9"/>
      <c r="AB101" s="9"/>
      <c r="AC101" s="9"/>
      <c r="AD101" s="26" t="s">
        <v>355</v>
      </c>
      <c r="AE101" s="1" t="s">
        <v>150</v>
      </c>
      <c r="AF101" s="7">
        <v>0.0</v>
      </c>
      <c r="AG101" s="27" t="s">
        <v>162</v>
      </c>
      <c r="AH101" s="27" t="s">
        <v>152</v>
      </c>
      <c r="AI101" s="1" t="s">
        <v>168</v>
      </c>
      <c r="AJ101" s="9"/>
      <c r="AK101" s="1" t="s">
        <v>5</v>
      </c>
      <c r="AL101" s="1" t="s">
        <v>154</v>
      </c>
      <c r="AM101" s="1" t="s">
        <v>278</v>
      </c>
      <c r="AN101" s="1">
        <v>15.0</v>
      </c>
      <c r="AO101" s="1" t="str">
        <f t="shared" si="2"/>
        <v>нет</v>
      </c>
      <c r="AP101" s="7">
        <v>168.0</v>
      </c>
      <c r="AQ101" s="7">
        <v>99.0</v>
      </c>
      <c r="AR101" s="9">
        <f t="shared" si="3"/>
        <v>35.07653061</v>
      </c>
      <c r="AS101" s="7" t="str">
        <f t="shared" si="4"/>
        <v>Ожирение II степени</v>
      </c>
      <c r="AT101" s="7">
        <v>125.0</v>
      </c>
      <c r="AU101" s="7">
        <v>77.0</v>
      </c>
      <c r="AV101" s="3">
        <v>93.0</v>
      </c>
      <c r="AW101" s="7">
        <v>88.0</v>
      </c>
      <c r="AX101" s="7">
        <v>36.7</v>
      </c>
      <c r="AY101" s="7">
        <v>20.0</v>
      </c>
      <c r="AZ101" s="7">
        <v>76.0</v>
      </c>
      <c r="BA101" s="10" t="str">
        <f t="shared" si="5"/>
        <v>да</v>
      </c>
      <c r="BB101" s="7">
        <v>93.0</v>
      </c>
      <c r="BC101" s="11"/>
      <c r="BD101" s="12" t="str">
        <f t="shared" si="6"/>
        <v>#DIV/0!</v>
      </c>
      <c r="BE101" s="12">
        <f t="shared" si="7"/>
        <v>0</v>
      </c>
      <c r="BF101" s="12">
        <f t="shared" si="8"/>
        <v>3</v>
      </c>
      <c r="BG101" s="1" t="s">
        <v>150</v>
      </c>
      <c r="BH101" s="9"/>
      <c r="BI101" s="1" t="s">
        <v>154</v>
      </c>
      <c r="BJ101" s="1" t="s">
        <v>175</v>
      </c>
      <c r="BK101" s="1" t="s">
        <v>150</v>
      </c>
      <c r="BL101" s="9"/>
      <c r="BM101" s="1" t="s">
        <v>154</v>
      </c>
      <c r="BN101" s="1" t="s">
        <v>155</v>
      </c>
      <c r="BO101" s="9"/>
      <c r="BP101" s="9"/>
      <c r="BQ101" s="9"/>
      <c r="BR101" s="1" t="s">
        <v>154</v>
      </c>
      <c r="BS101" s="1" t="s">
        <v>170</v>
      </c>
      <c r="BT101" s="30"/>
      <c r="BU101" s="1" t="s">
        <v>157</v>
      </c>
      <c r="BV101" s="7">
        <v>16.0</v>
      </c>
      <c r="BW101" s="1" t="s">
        <v>150</v>
      </c>
      <c r="BX101" s="10" t="s">
        <v>154</v>
      </c>
      <c r="BY101" s="1" t="s">
        <v>173</v>
      </c>
      <c r="BZ101" s="29" t="s">
        <v>158</v>
      </c>
      <c r="CA101" s="9"/>
      <c r="CB101" s="1" t="s">
        <v>150</v>
      </c>
      <c r="CC101" s="1" t="s">
        <v>150</v>
      </c>
      <c r="CD101" s="9"/>
      <c r="CE101" s="1" t="s">
        <v>150</v>
      </c>
      <c r="CF101" s="1" t="s">
        <v>150</v>
      </c>
      <c r="CG101" s="1" t="s">
        <v>154</v>
      </c>
      <c r="CH101" s="1" t="s">
        <v>150</v>
      </c>
      <c r="CI101" s="1" t="s">
        <v>150</v>
      </c>
      <c r="CJ101" s="1" t="s">
        <v>150</v>
      </c>
      <c r="CK101" s="1" t="s">
        <v>150</v>
      </c>
      <c r="CL101" s="1" t="s">
        <v>327</v>
      </c>
      <c r="CM101" s="7">
        <v>10.4</v>
      </c>
      <c r="CN101" s="7">
        <v>93.2</v>
      </c>
      <c r="CO101" s="7">
        <f t="shared" si="23"/>
        <v>9.6928</v>
      </c>
      <c r="CP101" s="7">
        <v>4.2</v>
      </c>
      <c r="CQ101" s="7">
        <f t="shared" si="10"/>
        <v>0.4070976</v>
      </c>
      <c r="CR101" s="7">
        <v>2.5</v>
      </c>
      <c r="CS101" s="7">
        <f t="shared" si="11"/>
        <v>0.01017744</v>
      </c>
      <c r="CT101" s="7">
        <v>0.0</v>
      </c>
      <c r="CU101" s="7">
        <f t="shared" si="12"/>
        <v>0</v>
      </c>
      <c r="CV101" s="7">
        <f t="shared" si="13"/>
        <v>23.80952381</v>
      </c>
      <c r="CW101" s="7">
        <v>5.19</v>
      </c>
      <c r="CX101" s="7">
        <v>145.0</v>
      </c>
      <c r="CY101" s="7" t="str">
        <f t="shared" si="14"/>
        <v>Норма</v>
      </c>
      <c r="CZ101" s="9"/>
      <c r="DA101" s="7">
        <v>226.0</v>
      </c>
      <c r="DB101" s="7">
        <v>143.6</v>
      </c>
      <c r="DC101" s="7">
        <v>6.9</v>
      </c>
      <c r="DD101" s="7">
        <v>87.1</v>
      </c>
      <c r="DE101" s="7"/>
      <c r="DF101" s="7">
        <v>8.9</v>
      </c>
      <c r="DG101" s="7"/>
      <c r="DH101" s="7">
        <v>3.1</v>
      </c>
      <c r="DI101" s="7"/>
      <c r="DJ101" s="7">
        <v>0.0</v>
      </c>
      <c r="DK101" s="7"/>
      <c r="DL101" s="7"/>
      <c r="DM101" s="7">
        <v>5.65</v>
      </c>
      <c r="DN101" s="7">
        <v>157.0</v>
      </c>
      <c r="DO101" s="7" t="str">
        <f t="shared" si="15"/>
        <v>Норма</v>
      </c>
      <c r="DP101" s="9"/>
      <c r="DQ101" s="7">
        <v>191.0</v>
      </c>
      <c r="DR101" s="7">
        <v>8.3</v>
      </c>
      <c r="DS101" s="13">
        <v>1200.0</v>
      </c>
      <c r="DT101" s="7">
        <v>23.9</v>
      </c>
      <c r="DU101" s="7">
        <v>15.3</v>
      </c>
      <c r="DV101" s="7">
        <v>1.3</v>
      </c>
      <c r="DW101" s="1" t="s">
        <v>320</v>
      </c>
      <c r="DX101" s="9"/>
      <c r="DY101" s="7">
        <v>23.9</v>
      </c>
      <c r="DZ101" s="7">
        <v>11.6</v>
      </c>
      <c r="EA101" s="7">
        <v>0.99</v>
      </c>
      <c r="EB101" s="7"/>
      <c r="EC101" s="7">
        <v>9.76</v>
      </c>
      <c r="ED101" s="7">
        <v>5.44</v>
      </c>
      <c r="EE101" s="7">
        <v>29.28</v>
      </c>
      <c r="EF101" s="7">
        <v>20.42</v>
      </c>
      <c r="EG101" s="7">
        <v>65.5</v>
      </c>
      <c r="EH101" s="7">
        <v>12.81</v>
      </c>
      <c r="EI101" s="7">
        <v>2.36</v>
      </c>
      <c r="EJ101" s="7">
        <v>107.24</v>
      </c>
      <c r="EK101" s="14">
        <f t="shared" si="16"/>
        <v>50.70777188</v>
      </c>
      <c r="EL101" s="11" t="str">
        <f t="shared" si="17"/>
        <v>C3a</v>
      </c>
      <c r="EM101" s="7">
        <v>138.2</v>
      </c>
      <c r="EN101" s="7">
        <v>3.97</v>
      </c>
      <c r="EO101" s="7">
        <v>63.9</v>
      </c>
      <c r="EP101" s="7">
        <v>16.4</v>
      </c>
      <c r="EQ101" s="7">
        <v>59.2</v>
      </c>
      <c r="ER101" s="7">
        <v>16.7</v>
      </c>
      <c r="ES101" s="7">
        <v>5.5</v>
      </c>
      <c r="ET101" s="7">
        <v>102.0</v>
      </c>
      <c r="EU101" s="11">
        <f t="shared" si="18"/>
        <v>53.87388537</v>
      </c>
      <c r="EV101" s="11" t="str">
        <f t="shared" si="19"/>
        <v>C3a</v>
      </c>
      <c r="EW101" s="7">
        <v>143.2</v>
      </c>
      <c r="EX101" s="7">
        <v>4.25</v>
      </c>
      <c r="EY101" s="9">
        <f t="shared" si="20"/>
        <v>1.851613653</v>
      </c>
      <c r="EZ101" s="9">
        <f t="shared" si="21"/>
        <v>0.135683547</v>
      </c>
      <c r="FA101" s="9" t="str">
        <f t="shared" si="22"/>
        <v>Благоприятный</v>
      </c>
      <c r="FB101" s="1" t="s">
        <v>150</v>
      </c>
      <c r="FC101" s="1" t="s">
        <v>148</v>
      </c>
    </row>
    <row r="102">
      <c r="A102" s="7">
        <v>101.0</v>
      </c>
      <c r="B102" s="21">
        <v>60.0</v>
      </c>
      <c r="C102" s="25">
        <v>8462.0</v>
      </c>
      <c r="D102" s="1" t="s">
        <v>148</v>
      </c>
      <c r="E102" s="7">
        <v>66.0</v>
      </c>
      <c r="F102" s="1" t="s">
        <v>161</v>
      </c>
      <c r="G102" s="7"/>
      <c r="H102" s="7">
        <v>34.0</v>
      </c>
      <c r="I102" s="1" t="s">
        <v>150</v>
      </c>
      <c r="J102" s="1" t="s">
        <v>150</v>
      </c>
      <c r="K102" s="9"/>
      <c r="L102" s="1" t="s">
        <v>154</v>
      </c>
      <c r="M102" s="1" t="s">
        <v>154</v>
      </c>
      <c r="N102" s="1" t="s">
        <v>178</v>
      </c>
      <c r="O102" s="1" t="str">
        <f t="shared" si="1"/>
        <v>нет</v>
      </c>
      <c r="P102" s="1" t="s">
        <v>154</v>
      </c>
      <c r="Q102" s="1" t="s">
        <v>154</v>
      </c>
      <c r="R102" s="7">
        <v>2.0</v>
      </c>
      <c r="S102" s="1" t="s">
        <v>150</v>
      </c>
      <c r="T102" s="9"/>
      <c r="U102" s="9"/>
      <c r="V102" s="9"/>
      <c r="W102" s="9"/>
      <c r="X102" s="9"/>
      <c r="Y102" s="1" t="s">
        <v>154</v>
      </c>
      <c r="Z102" s="7">
        <v>2.0</v>
      </c>
      <c r="AA102" s="9"/>
      <c r="AB102" s="9"/>
      <c r="AC102" s="9"/>
      <c r="AD102" s="26"/>
      <c r="AE102" s="1" t="s">
        <v>154</v>
      </c>
      <c r="AF102" s="7">
        <v>9.0</v>
      </c>
      <c r="AG102" s="27" t="s">
        <v>162</v>
      </c>
      <c r="AH102" s="27" t="s">
        <v>152</v>
      </c>
      <c r="AI102" s="1" t="s">
        <v>168</v>
      </c>
      <c r="AJ102" s="9"/>
      <c r="AK102" s="1" t="s">
        <v>5</v>
      </c>
      <c r="AL102" s="1" t="s">
        <v>150</v>
      </c>
      <c r="AM102" s="9"/>
      <c r="AN102" s="1">
        <v>15.0</v>
      </c>
      <c r="AO102" s="1" t="str">
        <f t="shared" si="2"/>
        <v>нет</v>
      </c>
      <c r="AP102" s="7">
        <v>165.0</v>
      </c>
      <c r="AQ102" s="7">
        <v>78.0</v>
      </c>
      <c r="AR102" s="9">
        <f t="shared" si="3"/>
        <v>28.65013774</v>
      </c>
      <c r="AS102" s="7" t="str">
        <f t="shared" si="4"/>
        <v>Избыточный вес (предожирение)</v>
      </c>
      <c r="AT102" s="7">
        <v>113.0</v>
      </c>
      <c r="AU102" s="7">
        <v>63.0</v>
      </c>
      <c r="AV102" s="3">
        <v>80.0</v>
      </c>
      <c r="AW102" s="7">
        <v>74.0</v>
      </c>
      <c r="AX102" s="7">
        <v>36.3</v>
      </c>
      <c r="AY102" s="7">
        <v>18.0</v>
      </c>
      <c r="AZ102" s="7">
        <v>93.0</v>
      </c>
      <c r="BA102" s="10" t="str">
        <f t="shared" si="5"/>
        <v>да</v>
      </c>
      <c r="BB102" s="9"/>
      <c r="BC102" s="11"/>
      <c r="BD102" s="12" t="str">
        <f t="shared" si="6"/>
        <v>#DIV/0!</v>
      </c>
      <c r="BE102" s="12">
        <f t="shared" si="7"/>
        <v>0</v>
      </c>
      <c r="BF102" s="12">
        <f t="shared" si="8"/>
        <v>2</v>
      </c>
      <c r="BG102" s="1" t="s">
        <v>150</v>
      </c>
      <c r="BH102" s="9"/>
      <c r="BI102" s="15" t="s">
        <v>154</v>
      </c>
      <c r="BJ102" s="15" t="s">
        <v>318</v>
      </c>
      <c r="BK102" s="15" t="s">
        <v>150</v>
      </c>
      <c r="BL102" s="9"/>
      <c r="BM102" s="15" t="s">
        <v>154</v>
      </c>
      <c r="BN102" s="15" t="s">
        <v>155</v>
      </c>
      <c r="BO102" s="9"/>
      <c r="BP102" s="9"/>
      <c r="BQ102" s="9"/>
      <c r="BR102" s="15" t="s">
        <v>154</v>
      </c>
      <c r="BS102" s="15" t="s">
        <v>306</v>
      </c>
      <c r="BT102" s="30"/>
      <c r="BU102" s="15" t="s">
        <v>157</v>
      </c>
      <c r="BV102" s="7">
        <v>24.0</v>
      </c>
      <c r="BW102" s="15" t="s">
        <v>154</v>
      </c>
      <c r="BX102" s="10" t="s">
        <v>154</v>
      </c>
      <c r="BY102" s="1" t="s">
        <v>258</v>
      </c>
      <c r="BZ102" s="29" t="s">
        <v>158</v>
      </c>
      <c r="CA102" s="9"/>
      <c r="CB102" s="1" t="s">
        <v>150</v>
      </c>
      <c r="CC102" s="1" t="s">
        <v>150</v>
      </c>
      <c r="CD102" s="9"/>
      <c r="CE102" s="1" t="s">
        <v>150</v>
      </c>
      <c r="CF102" s="1" t="s">
        <v>150</v>
      </c>
      <c r="CG102" s="1" t="s">
        <v>150</v>
      </c>
      <c r="CH102" s="1" t="s">
        <v>150</v>
      </c>
      <c r="CI102" s="1" t="s">
        <v>150</v>
      </c>
      <c r="CJ102" s="1" t="s">
        <v>150</v>
      </c>
      <c r="CK102" s="1" t="s">
        <v>150</v>
      </c>
      <c r="CL102" s="9"/>
      <c r="CM102" s="7">
        <v>5.9</v>
      </c>
      <c r="CN102" s="7">
        <v>84.9</v>
      </c>
      <c r="CO102" s="7">
        <f t="shared" si="23"/>
        <v>5.0091</v>
      </c>
      <c r="CP102" s="7">
        <v>8.4</v>
      </c>
      <c r="CQ102" s="7">
        <f t="shared" si="10"/>
        <v>0.4207644</v>
      </c>
      <c r="CR102" s="7">
        <v>6.4</v>
      </c>
      <c r="CS102" s="7">
        <f t="shared" si="11"/>
        <v>0.0269289216</v>
      </c>
      <c r="CT102" s="7">
        <v>0.0</v>
      </c>
      <c r="CU102" s="7">
        <f t="shared" si="12"/>
        <v>0</v>
      </c>
      <c r="CV102" s="7">
        <f t="shared" si="13"/>
        <v>11.9047619</v>
      </c>
      <c r="CW102" s="7">
        <v>4.16</v>
      </c>
      <c r="CX102" s="7">
        <v>119.0</v>
      </c>
      <c r="CY102" s="7" t="str">
        <f t="shared" si="14"/>
        <v>Легкая степень</v>
      </c>
      <c r="CZ102" s="9"/>
      <c r="DA102" s="7">
        <v>125.0</v>
      </c>
      <c r="DB102" s="7">
        <v>97.6</v>
      </c>
      <c r="DC102" s="7">
        <v>5.9</v>
      </c>
      <c r="DD102" s="7">
        <v>88.2</v>
      </c>
      <c r="DE102" s="7"/>
      <c r="DF102" s="7">
        <v>7.9</v>
      </c>
      <c r="DG102" s="7"/>
      <c r="DH102" s="7">
        <v>3.7</v>
      </c>
      <c r="DI102" s="7"/>
      <c r="DJ102" s="7">
        <v>0.0</v>
      </c>
      <c r="DK102" s="7"/>
      <c r="DL102" s="7"/>
      <c r="DM102" s="7">
        <v>3.08</v>
      </c>
      <c r="DN102" s="7">
        <v>88.0</v>
      </c>
      <c r="DO102" s="7" t="str">
        <f t="shared" si="15"/>
        <v>Средняя степень</v>
      </c>
      <c r="DP102" s="9"/>
      <c r="DQ102" s="7">
        <v>141.0</v>
      </c>
      <c r="DR102" s="7">
        <v>7.5</v>
      </c>
      <c r="DS102" s="13">
        <v>605.0</v>
      </c>
      <c r="DT102" s="7">
        <v>27.7</v>
      </c>
      <c r="DU102" s="7">
        <v>11.3</v>
      </c>
      <c r="DV102" s="7">
        <v>0.97</v>
      </c>
      <c r="DW102" s="1" t="s">
        <v>320</v>
      </c>
      <c r="DX102" s="9"/>
      <c r="DY102" s="7">
        <v>23.3</v>
      </c>
      <c r="DZ102" s="7">
        <v>10.7</v>
      </c>
      <c r="EA102" s="7">
        <v>0.91</v>
      </c>
      <c r="EB102" s="7"/>
      <c r="EC102" s="7">
        <v>23.54</v>
      </c>
      <c r="ED102" s="7">
        <v>11.94</v>
      </c>
      <c r="EE102" s="7">
        <v>93.76</v>
      </c>
      <c r="EF102" s="7">
        <v>47.68</v>
      </c>
      <c r="EG102" s="7">
        <v>61.4</v>
      </c>
      <c r="EH102" s="7">
        <v>14.35</v>
      </c>
      <c r="EI102" s="7">
        <v>2.28</v>
      </c>
      <c r="EJ102" s="7">
        <v>55.25</v>
      </c>
      <c r="EK102" s="14">
        <f t="shared" si="16"/>
        <v>94.02683017</v>
      </c>
      <c r="EL102" s="11" t="str">
        <f t="shared" si="17"/>
        <v>C1</v>
      </c>
      <c r="EM102" s="7">
        <v>140.2</v>
      </c>
      <c r="EN102" s="7">
        <v>4.08</v>
      </c>
      <c r="EO102" s="7">
        <v>41.8</v>
      </c>
      <c r="EP102" s="7">
        <v>42.3</v>
      </c>
      <c r="EQ102" s="7">
        <v>44.6</v>
      </c>
      <c r="ER102" s="7">
        <v>11.6</v>
      </c>
      <c r="ES102" s="7">
        <v>5.9</v>
      </c>
      <c r="ET102" s="7">
        <v>98.0</v>
      </c>
      <c r="EU102" s="11">
        <f t="shared" si="18"/>
        <v>51.97261417</v>
      </c>
      <c r="EV102" s="11" t="str">
        <f t="shared" si="19"/>
        <v>C3a</v>
      </c>
      <c r="EW102" s="7">
        <v>131.0</v>
      </c>
      <c r="EX102" s="7">
        <v>2.87</v>
      </c>
      <c r="EY102" s="9">
        <f t="shared" si="20"/>
        <v>2.818908815</v>
      </c>
      <c r="EZ102" s="9">
        <f t="shared" si="21"/>
        <v>0.05631089103</v>
      </c>
      <c r="FA102" s="9" t="str">
        <f t="shared" si="22"/>
        <v>Благоприятный</v>
      </c>
      <c r="FB102" s="1" t="s">
        <v>150</v>
      </c>
      <c r="FC102" s="1" t="s">
        <v>148</v>
      </c>
    </row>
    <row r="103">
      <c r="A103" s="7">
        <v>102.0</v>
      </c>
      <c r="B103" s="21">
        <v>61.0</v>
      </c>
      <c r="C103" s="25">
        <v>10108.0</v>
      </c>
      <c r="D103" s="1" t="s">
        <v>148</v>
      </c>
      <c r="E103" s="7">
        <v>24.0</v>
      </c>
      <c r="F103" s="1" t="s">
        <v>161</v>
      </c>
      <c r="G103" s="7"/>
      <c r="H103" s="7">
        <v>13.0</v>
      </c>
      <c r="I103" s="1" t="s">
        <v>150</v>
      </c>
      <c r="J103" s="1" t="s">
        <v>150</v>
      </c>
      <c r="K103" s="9"/>
      <c r="L103" s="1" t="s">
        <v>150</v>
      </c>
      <c r="M103" s="1" t="s">
        <v>150</v>
      </c>
      <c r="N103" s="9"/>
      <c r="O103" s="1" t="str">
        <f t="shared" si="1"/>
        <v>да</v>
      </c>
      <c r="P103" s="1" t="s">
        <v>150</v>
      </c>
      <c r="Q103" s="1" t="s">
        <v>150</v>
      </c>
      <c r="R103" s="9"/>
      <c r="S103" s="1" t="s">
        <v>150</v>
      </c>
      <c r="T103" s="9"/>
      <c r="U103" s="9"/>
      <c r="V103" s="9"/>
      <c r="W103" s="9"/>
      <c r="X103" s="9"/>
      <c r="Y103" s="1" t="s">
        <v>150</v>
      </c>
      <c r="Z103" s="9"/>
      <c r="AA103" s="9"/>
      <c r="AB103" s="9"/>
      <c r="AC103" s="9"/>
      <c r="AD103" s="26"/>
      <c r="AE103" s="1" t="s">
        <v>150</v>
      </c>
      <c r="AF103" s="7">
        <v>0.0</v>
      </c>
      <c r="AG103" s="27" t="s">
        <v>151</v>
      </c>
      <c r="AH103" s="27" t="s">
        <v>152</v>
      </c>
      <c r="AI103" s="1" t="s">
        <v>168</v>
      </c>
      <c r="AJ103" s="7">
        <v>3.0</v>
      </c>
      <c r="AK103" s="1" t="s">
        <v>5</v>
      </c>
      <c r="AL103" s="1" t="s">
        <v>150</v>
      </c>
      <c r="AM103" s="9"/>
      <c r="AN103" s="1">
        <v>15.0</v>
      </c>
      <c r="AO103" s="1" t="str">
        <f t="shared" si="2"/>
        <v>нет</v>
      </c>
      <c r="AP103" s="7">
        <v>165.0</v>
      </c>
      <c r="AQ103" s="7">
        <v>95.0</v>
      </c>
      <c r="AR103" s="9">
        <f t="shared" si="3"/>
        <v>34.89439853</v>
      </c>
      <c r="AS103" s="7" t="str">
        <f t="shared" si="4"/>
        <v>Ожирение I степени</v>
      </c>
      <c r="AT103" s="7">
        <v>113.0</v>
      </c>
      <c r="AU103" s="7">
        <v>74.0</v>
      </c>
      <c r="AV103" s="3">
        <v>87.0</v>
      </c>
      <c r="AW103" s="7">
        <v>96.0</v>
      </c>
      <c r="AX103" s="7">
        <v>37.5</v>
      </c>
      <c r="AY103" s="7">
        <v>20.0</v>
      </c>
      <c r="AZ103" s="7">
        <v>91.0</v>
      </c>
      <c r="BA103" s="10" t="str">
        <f t="shared" si="5"/>
        <v>да</v>
      </c>
      <c r="BB103" s="7">
        <v>98.0</v>
      </c>
      <c r="BC103" s="11"/>
      <c r="BD103" s="12" t="str">
        <f t="shared" si="6"/>
        <v>#DIV/0!</v>
      </c>
      <c r="BE103" s="12">
        <f t="shared" si="7"/>
        <v>0</v>
      </c>
      <c r="BF103" s="12">
        <f t="shared" si="8"/>
        <v>4</v>
      </c>
      <c r="BG103" s="15" t="s">
        <v>154</v>
      </c>
      <c r="BH103" s="15" t="s">
        <v>175</v>
      </c>
      <c r="BI103" s="1" t="s">
        <v>154</v>
      </c>
      <c r="BJ103" s="1" t="s">
        <v>175</v>
      </c>
      <c r="BK103" s="1" t="s">
        <v>150</v>
      </c>
      <c r="BL103" s="9"/>
      <c r="BM103" s="1" t="s">
        <v>154</v>
      </c>
      <c r="BN103" s="1" t="s">
        <v>155</v>
      </c>
      <c r="BO103" s="1" t="s">
        <v>150</v>
      </c>
      <c r="BP103" s="9"/>
      <c r="BQ103" s="9"/>
      <c r="BR103" s="1" t="s">
        <v>154</v>
      </c>
      <c r="BS103" s="1" t="s">
        <v>356</v>
      </c>
      <c r="BT103" s="28">
        <v>12.0</v>
      </c>
      <c r="BU103" s="1" t="s">
        <v>157</v>
      </c>
      <c r="BV103" s="7">
        <v>16.0</v>
      </c>
      <c r="BW103" s="1" t="s">
        <v>150</v>
      </c>
      <c r="BX103" s="10" t="s">
        <v>154</v>
      </c>
      <c r="BY103" s="1" t="s">
        <v>269</v>
      </c>
      <c r="BZ103" s="29" t="s">
        <v>158</v>
      </c>
      <c r="CA103" s="9"/>
      <c r="CB103" s="1" t="s">
        <v>150</v>
      </c>
      <c r="CC103" s="1" t="s">
        <v>150</v>
      </c>
      <c r="CD103" s="9"/>
      <c r="CE103" s="1" t="s">
        <v>150</v>
      </c>
      <c r="CF103" s="1" t="s">
        <v>150</v>
      </c>
      <c r="CG103" s="1" t="s">
        <v>150</v>
      </c>
      <c r="CH103" s="1" t="s">
        <v>150</v>
      </c>
      <c r="CI103" s="1" t="s">
        <v>150</v>
      </c>
      <c r="CJ103" s="1" t="s">
        <v>150</v>
      </c>
      <c r="CK103" s="1" t="s">
        <v>150</v>
      </c>
      <c r="CL103" s="9"/>
      <c r="CM103" s="7">
        <v>7.0</v>
      </c>
      <c r="CN103" s="7">
        <v>91.1</v>
      </c>
      <c r="CO103" s="7">
        <f t="shared" si="23"/>
        <v>6.377</v>
      </c>
      <c r="CP103" s="7">
        <v>6.1</v>
      </c>
      <c r="CQ103" s="7">
        <f t="shared" si="10"/>
        <v>0.388997</v>
      </c>
      <c r="CR103" s="7">
        <v>2.8</v>
      </c>
      <c r="CS103" s="7">
        <f t="shared" si="11"/>
        <v>0.010891916</v>
      </c>
      <c r="CT103" s="7">
        <v>0.0</v>
      </c>
      <c r="CU103" s="7">
        <f t="shared" si="12"/>
        <v>0</v>
      </c>
      <c r="CV103" s="7">
        <f t="shared" si="13"/>
        <v>16.39344262</v>
      </c>
      <c r="CW103" s="7">
        <v>4.16</v>
      </c>
      <c r="CX103" s="7">
        <v>116.0</v>
      </c>
      <c r="CY103" s="7" t="str">
        <f t="shared" si="14"/>
        <v>Легкая степень</v>
      </c>
      <c r="CZ103" s="9"/>
      <c r="DA103" s="7">
        <v>141.0</v>
      </c>
      <c r="DB103" s="7">
        <v>12.7</v>
      </c>
      <c r="DC103" s="7">
        <v>13.0</v>
      </c>
      <c r="DD103" s="7">
        <v>87.4</v>
      </c>
      <c r="DE103" s="7"/>
      <c r="DF103" s="7">
        <v>8.2</v>
      </c>
      <c r="DG103" s="7"/>
      <c r="DH103" s="7">
        <v>4.3</v>
      </c>
      <c r="DI103" s="7"/>
      <c r="DJ103" s="7">
        <v>0.0</v>
      </c>
      <c r="DK103" s="7"/>
      <c r="DL103" s="7"/>
      <c r="DM103" s="7">
        <v>4.58</v>
      </c>
      <c r="DN103" s="7">
        <v>125.0</v>
      </c>
      <c r="DO103" s="7" t="str">
        <f t="shared" si="15"/>
        <v>Легкая степень</v>
      </c>
      <c r="DP103" s="9"/>
      <c r="DQ103" s="7">
        <v>210.0</v>
      </c>
      <c r="DR103" s="7">
        <v>16.8</v>
      </c>
      <c r="DS103" s="13">
        <v>630.0</v>
      </c>
      <c r="DT103" s="7">
        <v>28.7</v>
      </c>
      <c r="DU103" s="7">
        <v>13.3</v>
      </c>
      <c r="DV103" s="7">
        <v>1.137</v>
      </c>
      <c r="DW103" s="1" t="s">
        <v>320</v>
      </c>
      <c r="DX103" s="9"/>
      <c r="DY103" s="7">
        <v>20.5</v>
      </c>
      <c r="DZ103" s="7">
        <v>10.7</v>
      </c>
      <c r="EA103" s="7">
        <v>0.91</v>
      </c>
      <c r="EB103" s="7"/>
      <c r="EC103" s="7">
        <v>6.38</v>
      </c>
      <c r="ED103" s="7">
        <v>3.86</v>
      </c>
      <c r="EE103" s="7">
        <v>17.8</v>
      </c>
      <c r="EF103" s="7">
        <v>21.0</v>
      </c>
      <c r="EG103" s="7">
        <v>71.5</v>
      </c>
      <c r="EH103" s="7">
        <v>9.1</v>
      </c>
      <c r="EI103" s="7">
        <v>3.4</v>
      </c>
      <c r="EJ103" s="7">
        <v>79.0</v>
      </c>
      <c r="EK103" s="14">
        <f t="shared" si="16"/>
        <v>90.5872962</v>
      </c>
      <c r="EL103" s="11" t="str">
        <f t="shared" si="17"/>
        <v>C1</v>
      </c>
      <c r="EM103" s="7">
        <v>140.0</v>
      </c>
      <c r="EN103" s="7">
        <v>4.2</v>
      </c>
      <c r="EO103" s="7">
        <v>31.4</v>
      </c>
      <c r="EP103" s="7">
        <v>9.1</v>
      </c>
      <c r="EQ103" s="7">
        <v>68.2</v>
      </c>
      <c r="ER103" s="7">
        <v>13.4</v>
      </c>
      <c r="ES103" s="7">
        <v>4.1</v>
      </c>
      <c r="ET103" s="7">
        <v>89.0</v>
      </c>
      <c r="EU103" s="11">
        <f t="shared" si="18"/>
        <v>78.43067137</v>
      </c>
      <c r="EV103" s="11" t="str">
        <f t="shared" si="19"/>
        <v>C2</v>
      </c>
      <c r="EW103" s="7">
        <v>138.0</v>
      </c>
      <c r="EX103" s="7">
        <v>3.96</v>
      </c>
      <c r="EY103" s="9">
        <f t="shared" si="20"/>
        <v>2.939828173</v>
      </c>
      <c r="EZ103" s="9">
        <f t="shared" si="21"/>
        <v>0.05021946829</v>
      </c>
      <c r="FA103" s="9" t="str">
        <f t="shared" si="22"/>
        <v>Благоприятный</v>
      </c>
      <c r="FB103" s="1" t="s">
        <v>150</v>
      </c>
      <c r="FC103" s="1" t="s">
        <v>148</v>
      </c>
    </row>
    <row r="104">
      <c r="A104" s="7">
        <v>103.0</v>
      </c>
      <c r="B104" s="21">
        <v>62.0</v>
      </c>
      <c r="C104" s="25">
        <v>8003.0</v>
      </c>
      <c r="D104" s="1" t="s">
        <v>148</v>
      </c>
      <c r="E104" s="7">
        <v>66.0</v>
      </c>
      <c r="F104" s="1" t="s">
        <v>149</v>
      </c>
      <c r="G104" s="7"/>
      <c r="H104" s="7">
        <v>23.0</v>
      </c>
      <c r="I104" s="1" t="s">
        <v>150</v>
      </c>
      <c r="J104" s="1" t="s">
        <v>150</v>
      </c>
      <c r="K104" s="9"/>
      <c r="L104" s="1" t="s">
        <v>150</v>
      </c>
      <c r="M104" s="1" t="s">
        <v>150</v>
      </c>
      <c r="N104" s="9"/>
      <c r="O104" s="1" t="str">
        <f t="shared" si="1"/>
        <v>нет</v>
      </c>
      <c r="P104" s="1" t="s">
        <v>150</v>
      </c>
      <c r="Q104" s="1" t="s">
        <v>154</v>
      </c>
      <c r="R104" s="7">
        <v>3.0</v>
      </c>
      <c r="S104" s="1" t="s">
        <v>150</v>
      </c>
      <c r="T104" s="9"/>
      <c r="U104" s="9"/>
      <c r="V104" s="9"/>
      <c r="W104" s="9"/>
      <c r="X104" s="9"/>
      <c r="Y104" s="1" t="s">
        <v>150</v>
      </c>
      <c r="Z104" s="9"/>
      <c r="AA104" s="9"/>
      <c r="AB104" s="9"/>
      <c r="AC104" s="9"/>
      <c r="AD104" s="26" t="s">
        <v>357</v>
      </c>
      <c r="AE104" s="1" t="s">
        <v>150</v>
      </c>
      <c r="AF104" s="7">
        <v>0.0</v>
      </c>
      <c r="AG104" s="27" t="s">
        <v>151</v>
      </c>
      <c r="AH104" s="27" t="s">
        <v>152</v>
      </c>
      <c r="AI104" s="1" t="s">
        <v>168</v>
      </c>
      <c r="AJ104" s="7">
        <v>2.0</v>
      </c>
      <c r="AK104" s="1" t="s">
        <v>5</v>
      </c>
      <c r="AL104" s="1" t="s">
        <v>150</v>
      </c>
      <c r="AM104" s="9"/>
      <c r="AN104" s="1">
        <v>15.0</v>
      </c>
      <c r="AO104" s="1" t="str">
        <f t="shared" si="2"/>
        <v>нет</v>
      </c>
      <c r="AP104" s="7">
        <v>176.0</v>
      </c>
      <c r="AQ104" s="7">
        <v>90.0</v>
      </c>
      <c r="AR104" s="9">
        <f t="shared" si="3"/>
        <v>29.05475207</v>
      </c>
      <c r="AS104" s="7" t="str">
        <f t="shared" si="4"/>
        <v>Избыточный вес (предожирение)</v>
      </c>
      <c r="AT104" s="7">
        <v>113.0</v>
      </c>
      <c r="AU104" s="7">
        <v>72.0</v>
      </c>
      <c r="AV104" s="3">
        <v>86.0</v>
      </c>
      <c r="AW104" s="7">
        <v>88.0</v>
      </c>
      <c r="AX104" s="7">
        <v>38.5</v>
      </c>
      <c r="AY104" s="7">
        <v>20.0</v>
      </c>
      <c r="AZ104" s="7">
        <v>92.0</v>
      </c>
      <c r="BA104" s="10" t="str">
        <f t="shared" si="5"/>
        <v>да</v>
      </c>
      <c r="BB104" s="9"/>
      <c r="BC104" s="11"/>
      <c r="BD104" s="12" t="str">
        <f t="shared" si="6"/>
        <v>#DIV/0!</v>
      </c>
      <c r="BE104" s="12">
        <f t="shared" si="7"/>
        <v>0</v>
      </c>
      <c r="BF104" s="12">
        <f t="shared" si="8"/>
        <v>3</v>
      </c>
      <c r="BG104" s="15" t="s">
        <v>154</v>
      </c>
      <c r="BH104" s="15" t="s">
        <v>175</v>
      </c>
      <c r="BI104" s="15" t="s">
        <v>154</v>
      </c>
      <c r="BJ104" s="15" t="s">
        <v>169</v>
      </c>
      <c r="BK104" s="15" t="s">
        <v>150</v>
      </c>
      <c r="BL104" s="9"/>
      <c r="BM104" s="15" t="s">
        <v>154</v>
      </c>
      <c r="BN104" s="15" t="s">
        <v>155</v>
      </c>
      <c r="BO104" s="15" t="s">
        <v>154</v>
      </c>
      <c r="BP104" s="15" t="s">
        <v>195</v>
      </c>
      <c r="BQ104" s="9"/>
      <c r="BR104" s="15" t="s">
        <v>154</v>
      </c>
      <c r="BS104" s="15" t="s">
        <v>157</v>
      </c>
      <c r="BT104" s="30"/>
      <c r="BU104" s="15" t="s">
        <v>157</v>
      </c>
      <c r="BV104" s="7">
        <v>16.0</v>
      </c>
      <c r="BW104" s="15" t="s">
        <v>150</v>
      </c>
      <c r="BX104" s="10" t="s">
        <v>154</v>
      </c>
      <c r="BY104" s="1" t="s">
        <v>275</v>
      </c>
      <c r="BZ104" s="29" t="s">
        <v>158</v>
      </c>
      <c r="CA104" s="9"/>
      <c r="CB104" s="1" t="s">
        <v>150</v>
      </c>
      <c r="CC104" s="1" t="s">
        <v>150</v>
      </c>
      <c r="CD104" s="9"/>
      <c r="CE104" s="1" t="s">
        <v>150</v>
      </c>
      <c r="CF104" s="1" t="s">
        <v>150</v>
      </c>
      <c r="CG104" s="1" t="s">
        <v>150</v>
      </c>
      <c r="CH104" s="1" t="s">
        <v>150</v>
      </c>
      <c r="CI104" s="1" t="s">
        <v>150</v>
      </c>
      <c r="CJ104" s="1" t="s">
        <v>150</v>
      </c>
      <c r="CK104" s="1" t="s">
        <v>150</v>
      </c>
      <c r="CL104" s="9"/>
      <c r="CM104" s="7">
        <v>11.5</v>
      </c>
      <c r="CN104" s="7">
        <v>80.8</v>
      </c>
      <c r="CO104" s="7">
        <f t="shared" si="23"/>
        <v>9.292</v>
      </c>
      <c r="CP104" s="7">
        <v>9.4</v>
      </c>
      <c r="CQ104" s="7">
        <f t="shared" si="10"/>
        <v>0.873448</v>
      </c>
      <c r="CR104" s="7">
        <v>9.7</v>
      </c>
      <c r="CS104" s="7">
        <f t="shared" si="11"/>
        <v>0.084724456</v>
      </c>
      <c r="CT104" s="7">
        <v>0.0</v>
      </c>
      <c r="CU104" s="7">
        <f t="shared" si="12"/>
        <v>0</v>
      </c>
      <c r="CV104" s="7">
        <f t="shared" si="13"/>
        <v>10.63829787</v>
      </c>
      <c r="CW104" s="7">
        <v>5.17</v>
      </c>
      <c r="CX104" s="7">
        <v>140.0</v>
      </c>
      <c r="CY104" s="7" t="str">
        <f t="shared" si="14"/>
        <v>Норма</v>
      </c>
      <c r="CZ104" s="7">
        <v>46.0</v>
      </c>
      <c r="DA104" s="7">
        <v>252.0</v>
      </c>
      <c r="DB104" s="7">
        <v>111.6</v>
      </c>
      <c r="DC104" s="7">
        <v>11.0</v>
      </c>
      <c r="DD104" s="7">
        <v>92.0</v>
      </c>
      <c r="DE104" s="7"/>
      <c r="DF104" s="7">
        <v>3.3</v>
      </c>
      <c r="DG104" s="7"/>
      <c r="DH104" s="7">
        <v>4.4</v>
      </c>
      <c r="DI104" s="7"/>
      <c r="DJ104" s="7">
        <v>0.0</v>
      </c>
      <c r="DK104" s="7"/>
      <c r="DL104" s="7"/>
      <c r="DM104" s="7">
        <v>5.04</v>
      </c>
      <c r="DN104" s="7">
        <v>140.0</v>
      </c>
      <c r="DO104" s="7" t="str">
        <f t="shared" si="15"/>
        <v>Норма</v>
      </c>
      <c r="DP104" s="7">
        <v>25.0</v>
      </c>
      <c r="DQ104" s="7">
        <v>255.0</v>
      </c>
      <c r="DR104" s="7">
        <v>10.5</v>
      </c>
      <c r="DS104" s="13">
        <v>830.0</v>
      </c>
      <c r="DT104" s="9"/>
      <c r="DU104" s="7">
        <v>14.7</v>
      </c>
      <c r="DV104" s="7">
        <v>1.26</v>
      </c>
      <c r="DW104" s="1" t="s">
        <v>320</v>
      </c>
      <c r="DX104" s="9"/>
      <c r="DY104" s="9"/>
      <c r="DZ104" s="7">
        <v>12.9</v>
      </c>
      <c r="EA104" s="7">
        <v>1.1</v>
      </c>
      <c r="EB104" s="7"/>
      <c r="EC104" s="7">
        <v>7.98</v>
      </c>
      <c r="ED104" s="7">
        <v>3.94</v>
      </c>
      <c r="EE104" s="7">
        <v>166.5</v>
      </c>
      <c r="EF104" s="7">
        <v>108.8</v>
      </c>
      <c r="EG104" s="7">
        <v>64.5</v>
      </c>
      <c r="EH104" s="7">
        <v>15.5</v>
      </c>
      <c r="EI104" s="7">
        <v>11.5</v>
      </c>
      <c r="EJ104" s="7">
        <v>123.0</v>
      </c>
      <c r="EK104" s="14">
        <f t="shared" si="16"/>
        <v>39.48858826</v>
      </c>
      <c r="EL104" s="11" t="str">
        <f t="shared" si="17"/>
        <v>C3b</v>
      </c>
      <c r="EM104" s="7">
        <v>130.4</v>
      </c>
      <c r="EN104" s="7">
        <v>3.93</v>
      </c>
      <c r="EO104" s="7">
        <v>86.85</v>
      </c>
      <c r="EP104" s="7">
        <v>19.16</v>
      </c>
      <c r="EQ104" s="7">
        <v>54.0</v>
      </c>
      <c r="ER104" s="7">
        <v>14.1</v>
      </c>
      <c r="ES104" s="7">
        <v>3.36</v>
      </c>
      <c r="ET104" s="7">
        <v>86.57</v>
      </c>
      <c r="EU104" s="11">
        <f t="shared" si="18"/>
        <v>60.37952327</v>
      </c>
      <c r="EV104" s="11" t="str">
        <f t="shared" si="19"/>
        <v>C2</v>
      </c>
      <c r="EW104" s="7">
        <v>131.3</v>
      </c>
      <c r="EX104" s="7">
        <v>4.01</v>
      </c>
      <c r="EY104" s="9">
        <f t="shared" si="20"/>
        <v>1.862326632</v>
      </c>
      <c r="EZ104" s="9">
        <f t="shared" si="21"/>
        <v>0.1344320944</v>
      </c>
      <c r="FA104" s="9" t="str">
        <f t="shared" si="22"/>
        <v>Благоприятный</v>
      </c>
      <c r="FB104" s="1" t="s">
        <v>150</v>
      </c>
      <c r="FC104" s="1" t="s">
        <v>148</v>
      </c>
    </row>
    <row r="105">
      <c r="A105" s="7">
        <v>104.0</v>
      </c>
      <c r="B105" s="21">
        <v>63.0</v>
      </c>
      <c r="C105" s="25">
        <v>8287.0</v>
      </c>
      <c r="D105" s="1" t="s">
        <v>148</v>
      </c>
      <c r="E105" s="7">
        <v>50.0</v>
      </c>
      <c r="F105" s="1" t="s">
        <v>149</v>
      </c>
      <c r="G105" s="7"/>
      <c r="H105" s="7">
        <v>20.0</v>
      </c>
      <c r="I105" s="1" t="s">
        <v>150</v>
      </c>
      <c r="J105" s="1" t="s">
        <v>150</v>
      </c>
      <c r="K105" s="9"/>
      <c r="L105" s="1" t="s">
        <v>154</v>
      </c>
      <c r="M105" s="1" t="s">
        <v>154</v>
      </c>
      <c r="N105" s="1" t="s">
        <v>178</v>
      </c>
      <c r="O105" s="1" t="str">
        <f t="shared" si="1"/>
        <v>нет</v>
      </c>
      <c r="P105" s="1" t="s">
        <v>154</v>
      </c>
      <c r="Q105" s="1" t="s">
        <v>154</v>
      </c>
      <c r="R105" s="7">
        <v>3.0</v>
      </c>
      <c r="S105" s="1" t="s">
        <v>154</v>
      </c>
      <c r="T105" s="1" t="s">
        <v>165</v>
      </c>
      <c r="U105" s="7"/>
      <c r="V105" s="7">
        <v>2.0</v>
      </c>
      <c r="W105" s="7">
        <v>3.0</v>
      </c>
      <c r="X105" s="9"/>
      <c r="Y105" s="1" t="s">
        <v>150</v>
      </c>
      <c r="Z105" s="9"/>
      <c r="AA105" s="9"/>
      <c r="AB105" s="9"/>
      <c r="AC105" s="9"/>
      <c r="AD105" s="26"/>
      <c r="AE105" s="1" t="s">
        <v>154</v>
      </c>
      <c r="AF105" s="9"/>
      <c r="AG105" s="27" t="s">
        <v>162</v>
      </c>
      <c r="AH105" s="27" t="s">
        <v>152</v>
      </c>
      <c r="AI105" s="1" t="s">
        <v>168</v>
      </c>
      <c r="AJ105" s="7">
        <v>2.0</v>
      </c>
      <c r="AK105" s="1" t="s">
        <v>5</v>
      </c>
      <c r="AL105" s="1" t="s">
        <v>150</v>
      </c>
      <c r="AM105" s="9"/>
      <c r="AN105" s="1">
        <v>15.0</v>
      </c>
      <c r="AO105" s="1" t="str">
        <f t="shared" si="2"/>
        <v>нет</v>
      </c>
      <c r="AP105" s="7">
        <v>175.0</v>
      </c>
      <c r="AQ105" s="7">
        <v>120.0</v>
      </c>
      <c r="AR105" s="9">
        <f t="shared" si="3"/>
        <v>39.18367347</v>
      </c>
      <c r="AS105" s="7" t="str">
        <f t="shared" si="4"/>
        <v>Ожирение II степени</v>
      </c>
      <c r="AT105" s="7">
        <v>136.0</v>
      </c>
      <c r="AU105" s="7">
        <v>80.0</v>
      </c>
      <c r="AV105" s="3">
        <v>99.0</v>
      </c>
      <c r="AW105" s="7">
        <v>88.0</v>
      </c>
      <c r="AX105" s="7">
        <v>38.0</v>
      </c>
      <c r="AY105" s="7">
        <v>22.0</v>
      </c>
      <c r="AZ105" s="7">
        <v>90.0</v>
      </c>
      <c r="BA105" s="10" t="str">
        <f t="shared" si="5"/>
        <v>да</v>
      </c>
      <c r="BB105" s="7">
        <v>95.0</v>
      </c>
      <c r="BC105" s="11"/>
      <c r="BD105" s="12" t="str">
        <f t="shared" si="6"/>
        <v>#DIV/0!</v>
      </c>
      <c r="BE105" s="12">
        <f t="shared" si="7"/>
        <v>1</v>
      </c>
      <c r="BF105" s="12">
        <f t="shared" si="8"/>
        <v>5</v>
      </c>
      <c r="BG105" s="15" t="s">
        <v>150</v>
      </c>
      <c r="BH105" s="9"/>
      <c r="BI105" s="1" t="s">
        <v>154</v>
      </c>
      <c r="BJ105" s="1" t="s">
        <v>285</v>
      </c>
      <c r="BK105" s="1" t="s">
        <v>150</v>
      </c>
      <c r="BL105" s="9"/>
      <c r="BM105" s="1" t="s">
        <v>358</v>
      </c>
      <c r="BN105" s="1" t="s">
        <v>155</v>
      </c>
      <c r="BO105" s="1" t="s">
        <v>150</v>
      </c>
      <c r="BP105" s="9"/>
      <c r="BQ105" s="9"/>
      <c r="BR105" s="1" t="s">
        <v>154</v>
      </c>
      <c r="BS105" s="1" t="s">
        <v>306</v>
      </c>
      <c r="BT105" s="30"/>
      <c r="BU105" s="1" t="s">
        <v>157</v>
      </c>
      <c r="BV105" s="7">
        <v>20.0</v>
      </c>
      <c r="BW105" s="1" t="s">
        <v>154</v>
      </c>
      <c r="BX105" s="10" t="s">
        <v>154</v>
      </c>
      <c r="BY105" s="1" t="s">
        <v>173</v>
      </c>
      <c r="BZ105" s="29" t="s">
        <v>158</v>
      </c>
      <c r="CA105" s="1" t="s">
        <v>176</v>
      </c>
      <c r="CB105" s="1" t="s">
        <v>255</v>
      </c>
      <c r="CC105" s="1" t="s">
        <v>150</v>
      </c>
      <c r="CD105" s="1" t="s">
        <v>247</v>
      </c>
      <c r="CE105" s="1" t="s">
        <v>177</v>
      </c>
      <c r="CF105" s="1" t="s">
        <v>240</v>
      </c>
      <c r="CG105" s="1" t="s">
        <v>150</v>
      </c>
      <c r="CH105" s="1" t="s">
        <v>150</v>
      </c>
      <c r="CI105" s="1" t="s">
        <v>150</v>
      </c>
      <c r="CJ105" s="1" t="s">
        <v>150</v>
      </c>
      <c r="CK105" s="1" t="s">
        <v>150</v>
      </c>
      <c r="CL105" s="1" t="s">
        <v>359</v>
      </c>
      <c r="CM105" s="7">
        <v>7.6</v>
      </c>
      <c r="CN105" s="7">
        <v>81.9</v>
      </c>
      <c r="CO105" s="7">
        <f t="shared" si="23"/>
        <v>6.2244</v>
      </c>
      <c r="CP105" s="7">
        <v>12.9</v>
      </c>
      <c r="CQ105" s="7">
        <f t="shared" si="10"/>
        <v>0.8029476</v>
      </c>
      <c r="CR105" s="7">
        <v>5.0</v>
      </c>
      <c r="CS105" s="7">
        <f t="shared" si="11"/>
        <v>0.04014738</v>
      </c>
      <c r="CT105" s="7">
        <v>0.0</v>
      </c>
      <c r="CU105" s="7">
        <f t="shared" si="12"/>
        <v>0</v>
      </c>
      <c r="CV105" s="7">
        <f t="shared" si="13"/>
        <v>7.751937984</v>
      </c>
      <c r="CW105" s="7">
        <v>4.74</v>
      </c>
      <c r="CX105" s="7">
        <v>142.0</v>
      </c>
      <c r="CY105" s="7" t="str">
        <f t="shared" si="14"/>
        <v>Норма</v>
      </c>
      <c r="CZ105" s="9"/>
      <c r="DA105" s="7">
        <v>146.0</v>
      </c>
      <c r="DB105" s="7">
        <v>131.2</v>
      </c>
      <c r="DC105" s="7">
        <v>14.1</v>
      </c>
      <c r="DD105" s="7">
        <v>85.0</v>
      </c>
      <c r="DE105" s="7"/>
      <c r="DF105" s="7">
        <v>9.8</v>
      </c>
      <c r="DG105" s="7"/>
      <c r="DH105" s="7">
        <v>4.0</v>
      </c>
      <c r="DI105" s="7"/>
      <c r="DJ105" s="7">
        <v>0.3</v>
      </c>
      <c r="DK105" s="7"/>
      <c r="DL105" s="7"/>
      <c r="DM105" s="7">
        <v>4.75</v>
      </c>
      <c r="DN105" s="7">
        <v>139.0</v>
      </c>
      <c r="DO105" s="7" t="str">
        <f t="shared" si="15"/>
        <v>Норма</v>
      </c>
      <c r="DP105" s="9"/>
      <c r="DQ105" s="7">
        <v>259.0</v>
      </c>
      <c r="DR105" s="7">
        <v>6.7</v>
      </c>
      <c r="DS105" s="13">
        <v>820.0</v>
      </c>
      <c r="DT105" s="7">
        <v>34.7</v>
      </c>
      <c r="DU105" s="7">
        <v>13.2</v>
      </c>
      <c r="DV105" s="7">
        <v>1.13</v>
      </c>
      <c r="DW105" s="1" t="s">
        <v>320</v>
      </c>
      <c r="DX105" s="9"/>
      <c r="DY105" s="7">
        <v>35.4</v>
      </c>
      <c r="DZ105" s="7">
        <v>10.6</v>
      </c>
      <c r="EA105" s="7">
        <v>0.91</v>
      </c>
      <c r="EB105" s="7"/>
      <c r="EC105" s="7">
        <v>19.97</v>
      </c>
      <c r="ED105" s="7">
        <v>11.2</v>
      </c>
      <c r="EE105" s="7">
        <v>12.95</v>
      </c>
      <c r="EF105" s="7">
        <v>23.95</v>
      </c>
      <c r="EG105" s="7">
        <v>67.5</v>
      </c>
      <c r="EH105" s="7">
        <v>8.12</v>
      </c>
      <c r="EI105" s="7">
        <v>2.21</v>
      </c>
      <c r="EJ105" s="7">
        <v>132.46</v>
      </c>
      <c r="EK105" s="14">
        <f t="shared" si="16"/>
        <v>40.39972863</v>
      </c>
      <c r="EL105" s="11" t="str">
        <f t="shared" si="17"/>
        <v>C3b</v>
      </c>
      <c r="EM105" s="9"/>
      <c r="EN105" s="9"/>
      <c r="EO105" s="7">
        <v>16.2</v>
      </c>
      <c r="EP105" s="7">
        <v>6.8</v>
      </c>
      <c r="EQ105" s="7">
        <v>57.1</v>
      </c>
      <c r="ER105" s="7">
        <v>12.1</v>
      </c>
      <c r="ES105" s="7">
        <v>4.6</v>
      </c>
      <c r="ET105" s="7">
        <v>82.0</v>
      </c>
      <c r="EU105" s="11">
        <f t="shared" si="18"/>
        <v>72.14030332</v>
      </c>
      <c r="EV105" s="11" t="str">
        <f t="shared" si="19"/>
        <v>C2</v>
      </c>
      <c r="EW105" s="9"/>
      <c r="EX105" s="9"/>
      <c r="EY105" s="9">
        <f t="shared" si="20"/>
        <v>0.3069633673</v>
      </c>
      <c r="EZ105" s="9">
        <f t="shared" si="21"/>
        <v>0.423856119</v>
      </c>
      <c r="FA105" s="9" t="str">
        <f t="shared" si="22"/>
        <v>Благоприятный</v>
      </c>
      <c r="FB105" s="1" t="s">
        <v>150</v>
      </c>
      <c r="FC105" s="1" t="s">
        <v>148</v>
      </c>
    </row>
    <row r="106">
      <c r="A106" s="7">
        <v>105.0</v>
      </c>
      <c r="B106" s="21">
        <v>64.0</v>
      </c>
      <c r="C106" s="25">
        <v>8024.0</v>
      </c>
      <c r="D106" s="1" t="s">
        <v>148</v>
      </c>
      <c r="E106" s="7">
        <v>55.0</v>
      </c>
      <c r="F106" s="1" t="s">
        <v>161</v>
      </c>
      <c r="G106" s="7"/>
      <c r="H106" s="7">
        <v>22.0</v>
      </c>
      <c r="I106" s="1" t="s">
        <v>150</v>
      </c>
      <c r="J106" s="1" t="s">
        <v>150</v>
      </c>
      <c r="K106" s="9"/>
      <c r="L106" s="1" t="s">
        <v>150</v>
      </c>
      <c r="M106" s="1" t="s">
        <v>150</v>
      </c>
      <c r="N106" s="9"/>
      <c r="O106" s="1" t="str">
        <f t="shared" si="1"/>
        <v>нет</v>
      </c>
      <c r="P106" s="1" t="s">
        <v>150</v>
      </c>
      <c r="Q106" s="1" t="s">
        <v>154</v>
      </c>
      <c r="R106" s="7">
        <v>2.0</v>
      </c>
      <c r="S106" s="1" t="s">
        <v>150</v>
      </c>
      <c r="T106" s="9"/>
      <c r="U106" s="9"/>
      <c r="V106" s="9"/>
      <c r="W106" s="9"/>
      <c r="X106" s="9"/>
      <c r="Y106" s="1" t="s">
        <v>150</v>
      </c>
      <c r="Z106" s="9"/>
      <c r="AA106" s="9"/>
      <c r="AB106" s="9"/>
      <c r="AC106" s="9"/>
      <c r="AD106" s="26"/>
      <c r="AE106" s="1" t="s">
        <v>150</v>
      </c>
      <c r="AF106" s="7">
        <v>0.0</v>
      </c>
      <c r="AG106" s="27" t="s">
        <v>162</v>
      </c>
      <c r="AH106" s="27" t="s">
        <v>152</v>
      </c>
      <c r="AI106" s="1" t="s">
        <v>360</v>
      </c>
      <c r="AJ106" s="7">
        <v>2.0</v>
      </c>
      <c r="AK106" s="1" t="s">
        <v>5</v>
      </c>
      <c r="AL106" s="1" t="s">
        <v>150</v>
      </c>
      <c r="AM106" s="9"/>
      <c r="AN106" s="1">
        <v>15.0</v>
      </c>
      <c r="AO106" s="1" t="str">
        <f t="shared" si="2"/>
        <v>нет</v>
      </c>
      <c r="AP106" s="7">
        <v>168.0</v>
      </c>
      <c r="AQ106" s="7">
        <v>110.0</v>
      </c>
      <c r="AR106" s="9">
        <f t="shared" si="3"/>
        <v>38.9739229</v>
      </c>
      <c r="AS106" s="7" t="str">
        <f t="shared" si="4"/>
        <v>Ожирение II степени</v>
      </c>
      <c r="AT106" s="7">
        <v>170.0</v>
      </c>
      <c r="AU106" s="7">
        <v>90.0</v>
      </c>
      <c r="AV106" s="3">
        <v>117.0</v>
      </c>
      <c r="AW106" s="7">
        <v>69.0</v>
      </c>
      <c r="AX106" s="7">
        <v>37.0</v>
      </c>
      <c r="AY106" s="7">
        <v>23.0</v>
      </c>
      <c r="AZ106" s="7">
        <v>88.0</v>
      </c>
      <c r="BA106" s="10" t="str">
        <f t="shared" si="5"/>
        <v>да</v>
      </c>
      <c r="BB106" s="7">
        <v>98.0</v>
      </c>
      <c r="BC106" s="11"/>
      <c r="BD106" s="12" t="str">
        <f t="shared" si="6"/>
        <v>#DIV/0!</v>
      </c>
      <c r="BE106" s="12">
        <f t="shared" si="7"/>
        <v>1</v>
      </c>
      <c r="BF106" s="12">
        <f t="shared" si="8"/>
        <v>5</v>
      </c>
      <c r="BG106" s="15" t="s">
        <v>154</v>
      </c>
      <c r="BH106" s="15" t="s">
        <v>175</v>
      </c>
      <c r="BI106" s="15" t="s">
        <v>154</v>
      </c>
      <c r="BJ106" s="15" t="s">
        <v>285</v>
      </c>
      <c r="BK106" s="15" t="s">
        <v>150</v>
      </c>
      <c r="BL106" s="9"/>
      <c r="BM106" s="15" t="s">
        <v>154</v>
      </c>
      <c r="BN106" s="15" t="s">
        <v>155</v>
      </c>
      <c r="BO106" s="15" t="s">
        <v>154</v>
      </c>
      <c r="BP106" s="15" t="s">
        <v>157</v>
      </c>
      <c r="BQ106" s="9"/>
      <c r="BR106" s="15" t="s">
        <v>154</v>
      </c>
      <c r="BS106" s="15" t="s">
        <v>361</v>
      </c>
      <c r="BT106" s="30"/>
      <c r="BU106" s="15" t="s">
        <v>157</v>
      </c>
      <c r="BV106" s="7">
        <v>12.0</v>
      </c>
      <c r="BW106" s="15" t="s">
        <v>154</v>
      </c>
      <c r="BX106" s="10" t="s">
        <v>154</v>
      </c>
      <c r="BY106" s="1" t="s">
        <v>275</v>
      </c>
      <c r="BZ106" s="29" t="s">
        <v>158</v>
      </c>
      <c r="CA106" s="9"/>
      <c r="CB106" s="1" t="s">
        <v>150</v>
      </c>
      <c r="CC106" s="1" t="s">
        <v>150</v>
      </c>
      <c r="CD106" s="9"/>
      <c r="CE106" s="1" t="s">
        <v>150</v>
      </c>
      <c r="CF106" s="1" t="s">
        <v>150</v>
      </c>
      <c r="CG106" s="1" t="s">
        <v>150</v>
      </c>
      <c r="CH106" s="1" t="s">
        <v>150</v>
      </c>
      <c r="CI106" s="1" t="s">
        <v>150</v>
      </c>
      <c r="CJ106" s="1" t="s">
        <v>150</v>
      </c>
      <c r="CK106" s="1" t="s">
        <v>150</v>
      </c>
      <c r="CL106" s="1" t="s">
        <v>276</v>
      </c>
      <c r="CM106" s="7">
        <v>8.9</v>
      </c>
      <c r="CN106" s="7">
        <v>83.5</v>
      </c>
      <c r="CO106" s="7">
        <f t="shared" si="23"/>
        <v>7.4315</v>
      </c>
      <c r="CP106" s="7">
        <v>9.3</v>
      </c>
      <c r="CQ106" s="7">
        <f t="shared" si="10"/>
        <v>0.6911295</v>
      </c>
      <c r="CR106" s="7">
        <v>6.0</v>
      </c>
      <c r="CS106" s="7">
        <f t="shared" si="11"/>
        <v>0.04146777</v>
      </c>
      <c r="CT106" s="7">
        <v>0.0</v>
      </c>
      <c r="CU106" s="7">
        <f t="shared" si="12"/>
        <v>0</v>
      </c>
      <c r="CV106" s="7">
        <f t="shared" si="13"/>
        <v>10.75268817</v>
      </c>
      <c r="CW106" s="7">
        <v>4.03</v>
      </c>
      <c r="CX106" s="7">
        <v>115.0</v>
      </c>
      <c r="CY106" s="7" t="str">
        <f t="shared" si="14"/>
        <v>Легкая степень</v>
      </c>
      <c r="CZ106" s="9"/>
      <c r="DA106" s="7">
        <v>257.0</v>
      </c>
      <c r="DB106" s="7">
        <v>174.6</v>
      </c>
      <c r="DC106" s="7">
        <v>12.7</v>
      </c>
      <c r="DD106" s="7">
        <v>74.9</v>
      </c>
      <c r="DE106" s="7"/>
      <c r="DF106" s="7">
        <v>18.1</v>
      </c>
      <c r="DG106" s="7"/>
      <c r="DH106" s="7">
        <v>6.5</v>
      </c>
      <c r="DI106" s="7"/>
      <c r="DJ106" s="7">
        <v>0.1</v>
      </c>
      <c r="DK106" s="7"/>
      <c r="DL106" s="7"/>
      <c r="DM106" s="7">
        <v>4.16</v>
      </c>
      <c r="DN106" s="7">
        <v>116.0</v>
      </c>
      <c r="DO106" s="7" t="str">
        <f t="shared" si="15"/>
        <v>Легкая степень</v>
      </c>
      <c r="DP106" s="9"/>
      <c r="DQ106" s="7">
        <v>176.0</v>
      </c>
      <c r="DR106" s="7">
        <v>5.4</v>
      </c>
      <c r="DS106" s="13">
        <v>870.0</v>
      </c>
      <c r="DT106" s="7">
        <v>28.9</v>
      </c>
      <c r="DU106" s="7">
        <v>13.3</v>
      </c>
      <c r="DV106" s="7">
        <v>1.14</v>
      </c>
      <c r="DW106" s="1" t="s">
        <v>320</v>
      </c>
      <c r="DX106" s="9"/>
      <c r="DY106" s="7">
        <v>21.1</v>
      </c>
      <c r="DZ106" s="7">
        <v>11.7</v>
      </c>
      <c r="EA106" s="7">
        <v>1.9</v>
      </c>
      <c r="EB106" s="7"/>
      <c r="EC106" s="7">
        <v>7.93</v>
      </c>
      <c r="ED106" s="7">
        <v>8.29</v>
      </c>
      <c r="EE106" s="7">
        <v>64.03</v>
      </c>
      <c r="EF106" s="7">
        <v>71.14</v>
      </c>
      <c r="EG106" s="7">
        <v>71.2</v>
      </c>
      <c r="EH106" s="9"/>
      <c r="EI106" s="9"/>
      <c r="EJ106" s="7">
        <v>89.78</v>
      </c>
      <c r="EK106" s="14">
        <f t="shared" si="16"/>
        <v>62.42104232</v>
      </c>
      <c r="EL106" s="11" t="str">
        <f t="shared" si="17"/>
        <v>C2</v>
      </c>
      <c r="EM106" s="7">
        <v>131.2</v>
      </c>
      <c r="EN106" s="7">
        <v>4.98</v>
      </c>
      <c r="EO106" s="7">
        <v>56.3</v>
      </c>
      <c r="EP106" s="7">
        <v>20.0</v>
      </c>
      <c r="EQ106" s="7">
        <v>16.1</v>
      </c>
      <c r="ER106" s="7">
        <v>16.1</v>
      </c>
      <c r="ES106" s="7">
        <v>4.8</v>
      </c>
      <c r="ET106" s="7">
        <v>4.8</v>
      </c>
      <c r="EU106" s="11">
        <f t="shared" si="18"/>
        <v>226.9389367</v>
      </c>
      <c r="EV106" s="11" t="str">
        <f t="shared" si="19"/>
        <v>C1</v>
      </c>
      <c r="EW106" s="7">
        <v>128.0</v>
      </c>
      <c r="EX106" s="7">
        <v>3.33</v>
      </c>
      <c r="EY106" s="9">
        <f t="shared" si="20"/>
        <v>-0.477615941</v>
      </c>
      <c r="EZ106" s="9">
        <f t="shared" si="21"/>
        <v>0.6171847562</v>
      </c>
      <c r="FA106" s="9" t="str">
        <f t="shared" si="22"/>
        <v>Неблагоприятный</v>
      </c>
      <c r="FB106" s="1" t="s">
        <v>256</v>
      </c>
      <c r="FC106" s="1" t="s">
        <v>148</v>
      </c>
    </row>
    <row r="107">
      <c r="A107" s="7">
        <v>106.0</v>
      </c>
      <c r="B107" s="21">
        <v>65.0</v>
      </c>
      <c r="C107" s="25">
        <v>9283.0</v>
      </c>
      <c r="D107" s="1" t="s">
        <v>148</v>
      </c>
      <c r="E107" s="7">
        <v>57.0</v>
      </c>
      <c r="F107" s="1" t="s">
        <v>161</v>
      </c>
      <c r="G107" s="7"/>
      <c r="H107" s="7">
        <v>20.0</v>
      </c>
      <c r="I107" s="1" t="s">
        <v>154</v>
      </c>
      <c r="J107" s="1" t="s">
        <v>150</v>
      </c>
      <c r="K107" s="9"/>
      <c r="L107" s="1" t="s">
        <v>150</v>
      </c>
      <c r="M107" s="1" t="s">
        <v>150</v>
      </c>
      <c r="N107" s="9"/>
      <c r="O107" s="1" t="str">
        <f t="shared" si="1"/>
        <v>нет</v>
      </c>
      <c r="P107" s="1" t="s">
        <v>150</v>
      </c>
      <c r="Q107" s="1" t="s">
        <v>154</v>
      </c>
      <c r="R107" s="7">
        <v>2.0</v>
      </c>
      <c r="S107" s="1" t="s">
        <v>150</v>
      </c>
      <c r="T107" s="9"/>
      <c r="U107" s="9"/>
      <c r="V107" s="9"/>
      <c r="W107" s="9"/>
      <c r="X107" s="9"/>
      <c r="Y107" s="1" t="s">
        <v>150</v>
      </c>
      <c r="Z107" s="9"/>
      <c r="AA107" s="9"/>
      <c r="AB107" s="9"/>
      <c r="AC107" s="9"/>
      <c r="AD107" s="26"/>
      <c r="AE107" s="1" t="s">
        <v>150</v>
      </c>
      <c r="AF107" s="7">
        <v>0.0</v>
      </c>
      <c r="AG107" s="27" t="s">
        <v>162</v>
      </c>
      <c r="AH107" s="27" t="s">
        <v>152</v>
      </c>
      <c r="AI107" s="1" t="s">
        <v>153</v>
      </c>
      <c r="AJ107" s="9"/>
      <c r="AK107" s="1" t="s">
        <v>5</v>
      </c>
      <c r="AL107" s="1" t="s">
        <v>154</v>
      </c>
      <c r="AM107" s="1" t="s">
        <v>261</v>
      </c>
      <c r="AN107" s="1">
        <v>15.0</v>
      </c>
      <c r="AO107" s="1" t="str">
        <f t="shared" si="2"/>
        <v>нет</v>
      </c>
      <c r="AP107" s="7">
        <v>170.0</v>
      </c>
      <c r="AQ107" s="7">
        <v>84.0</v>
      </c>
      <c r="AR107" s="9">
        <f t="shared" si="3"/>
        <v>29.06574394</v>
      </c>
      <c r="AS107" s="7" t="str">
        <f t="shared" si="4"/>
        <v>Избыточный вес (предожирение)</v>
      </c>
      <c r="AT107" s="7">
        <v>135.0</v>
      </c>
      <c r="AU107" s="7">
        <v>90.0</v>
      </c>
      <c r="AV107" s="3">
        <v>105.0</v>
      </c>
      <c r="AW107" s="7">
        <v>76.0</v>
      </c>
      <c r="AX107" s="7">
        <v>37.4</v>
      </c>
      <c r="AY107" s="7">
        <v>24.0</v>
      </c>
      <c r="AZ107" s="7">
        <v>95.0</v>
      </c>
      <c r="BA107" s="10" t="str">
        <f t="shared" si="5"/>
        <v>да</v>
      </c>
      <c r="BB107" s="7">
        <v>99.0</v>
      </c>
      <c r="BC107" s="11"/>
      <c r="BD107" s="12" t="str">
        <f t="shared" si="6"/>
        <v>#DIV/0!</v>
      </c>
      <c r="BE107" s="12">
        <f t="shared" si="7"/>
        <v>1</v>
      </c>
      <c r="BF107" s="12">
        <f t="shared" si="8"/>
        <v>3</v>
      </c>
      <c r="BG107" s="15" t="s">
        <v>154</v>
      </c>
      <c r="BH107" s="15" t="s">
        <v>338</v>
      </c>
      <c r="BI107" s="1" t="s">
        <v>154</v>
      </c>
      <c r="BJ107" s="1" t="s">
        <v>362</v>
      </c>
      <c r="BK107" s="1" t="s">
        <v>150</v>
      </c>
      <c r="BL107" s="9"/>
      <c r="BM107" s="1" t="s">
        <v>154</v>
      </c>
      <c r="BN107" s="1" t="s">
        <v>155</v>
      </c>
      <c r="BO107" s="1" t="s">
        <v>150</v>
      </c>
      <c r="BP107" s="9"/>
      <c r="BQ107" s="9"/>
      <c r="BR107" s="1" t="s">
        <v>154</v>
      </c>
      <c r="BS107" s="1" t="s">
        <v>319</v>
      </c>
      <c r="BT107" s="30"/>
      <c r="BU107" s="1" t="s">
        <v>157</v>
      </c>
      <c r="BV107" s="7">
        <v>16.0</v>
      </c>
      <c r="BW107" s="1" t="s">
        <v>150</v>
      </c>
      <c r="BX107" s="10" t="s">
        <v>154</v>
      </c>
      <c r="BY107" s="1" t="s">
        <v>258</v>
      </c>
      <c r="BZ107" s="29" t="s">
        <v>158</v>
      </c>
      <c r="CA107" s="1" t="s">
        <v>176</v>
      </c>
      <c r="CB107" s="1" t="s">
        <v>150</v>
      </c>
      <c r="CC107" s="1" t="s">
        <v>150</v>
      </c>
      <c r="CD107" s="9"/>
      <c r="CE107" s="1" t="s">
        <v>150</v>
      </c>
      <c r="CF107" s="1" t="s">
        <v>150</v>
      </c>
      <c r="CG107" s="1" t="s">
        <v>150</v>
      </c>
      <c r="CH107" s="1" t="s">
        <v>150</v>
      </c>
      <c r="CI107" s="1" t="s">
        <v>150</v>
      </c>
      <c r="CJ107" s="1" t="s">
        <v>150</v>
      </c>
      <c r="CK107" s="1" t="s">
        <v>150</v>
      </c>
      <c r="CL107" s="9"/>
      <c r="CM107" s="7">
        <v>4.8</v>
      </c>
      <c r="CN107" s="7">
        <v>80.6</v>
      </c>
      <c r="CO107" s="7">
        <f t="shared" si="23"/>
        <v>3.8688</v>
      </c>
      <c r="CP107" s="7">
        <v>11.5</v>
      </c>
      <c r="CQ107" s="7">
        <f t="shared" si="10"/>
        <v>0.444912</v>
      </c>
      <c r="CR107" s="7">
        <v>7.8</v>
      </c>
      <c r="CS107" s="7">
        <f t="shared" si="11"/>
        <v>0.034703136</v>
      </c>
      <c r="CT107" s="7">
        <v>0.0</v>
      </c>
      <c r="CU107" s="7">
        <f t="shared" si="12"/>
        <v>0</v>
      </c>
      <c r="CV107" s="7">
        <f t="shared" si="13"/>
        <v>8.695652174</v>
      </c>
      <c r="CW107" s="7">
        <v>4.97</v>
      </c>
      <c r="CX107" s="7">
        <v>138.0</v>
      </c>
      <c r="CY107" s="7" t="str">
        <f t="shared" si="14"/>
        <v>Норма</v>
      </c>
      <c r="CZ107" s="9"/>
      <c r="DA107" s="7">
        <v>130.0</v>
      </c>
      <c r="DB107" s="7">
        <v>207.9</v>
      </c>
      <c r="DC107" s="7">
        <v>11.7</v>
      </c>
      <c r="DD107" s="7">
        <v>79.2</v>
      </c>
      <c r="DE107" s="7"/>
      <c r="DF107" s="7">
        <v>13.2</v>
      </c>
      <c r="DG107" s="7"/>
      <c r="DH107" s="7">
        <v>6.9</v>
      </c>
      <c r="DI107" s="7"/>
      <c r="DJ107" s="7">
        <v>0.0</v>
      </c>
      <c r="DK107" s="7"/>
      <c r="DL107" s="7"/>
      <c r="DM107" s="7">
        <v>3.77</v>
      </c>
      <c r="DN107" s="7">
        <v>126.0</v>
      </c>
      <c r="DO107" s="7" t="str">
        <f t="shared" si="15"/>
        <v>Легкая степень</v>
      </c>
      <c r="DP107" s="9"/>
      <c r="DQ107" s="7">
        <v>240.0</v>
      </c>
      <c r="DR107" s="7">
        <v>9.1</v>
      </c>
      <c r="DS107" s="13">
        <v>582.1</v>
      </c>
      <c r="DT107" s="9"/>
      <c r="DU107" s="7">
        <v>14.5</v>
      </c>
      <c r="DV107" s="7">
        <v>1.24</v>
      </c>
      <c r="DW107" s="1" t="s">
        <v>320</v>
      </c>
      <c r="DX107" s="9"/>
      <c r="DY107" s="7">
        <v>27.2</v>
      </c>
      <c r="DZ107" s="7">
        <v>11.7</v>
      </c>
      <c r="EA107" s="7">
        <v>1.0</v>
      </c>
      <c r="EB107" s="7"/>
      <c r="EC107" s="7">
        <v>9.0</v>
      </c>
      <c r="ED107" s="7">
        <v>10.66</v>
      </c>
      <c r="EE107" s="7">
        <v>26.14</v>
      </c>
      <c r="EF107" s="7">
        <v>30.16</v>
      </c>
      <c r="EG107" s="7">
        <v>80.0</v>
      </c>
      <c r="EH107" s="7">
        <v>9.52</v>
      </c>
      <c r="EI107" s="7">
        <v>2.1</v>
      </c>
      <c r="EJ107" s="7">
        <v>79.64</v>
      </c>
      <c r="EK107" s="14">
        <f t="shared" si="16"/>
        <v>71.14689775</v>
      </c>
      <c r="EL107" s="11" t="str">
        <f t="shared" si="17"/>
        <v>C2</v>
      </c>
      <c r="EM107" s="7">
        <v>142.2</v>
      </c>
      <c r="EN107" s="7">
        <v>4.37</v>
      </c>
      <c r="EO107" s="7">
        <v>65.5</v>
      </c>
      <c r="EP107" s="7">
        <v>16.6</v>
      </c>
      <c r="EQ107" s="7">
        <v>63.8</v>
      </c>
      <c r="ER107" s="7">
        <v>8.3</v>
      </c>
      <c r="ES107" s="7">
        <v>3.3</v>
      </c>
      <c r="ET107" s="7">
        <v>80.0</v>
      </c>
      <c r="EU107" s="11">
        <f t="shared" si="18"/>
        <v>70.76000529</v>
      </c>
      <c r="EV107" s="11" t="str">
        <f t="shared" si="19"/>
        <v>C2</v>
      </c>
      <c r="EW107" s="9"/>
      <c r="EX107" s="9"/>
      <c r="EY107" s="9">
        <f t="shared" si="20"/>
        <v>1.955943087</v>
      </c>
      <c r="EZ107" s="9">
        <f t="shared" si="21"/>
        <v>0.1239067698</v>
      </c>
      <c r="FA107" s="9" t="str">
        <f t="shared" si="22"/>
        <v>Благоприятный</v>
      </c>
      <c r="FB107" s="1" t="s">
        <v>150</v>
      </c>
      <c r="FC107" s="1" t="s">
        <v>148</v>
      </c>
    </row>
    <row r="108">
      <c r="A108" s="7">
        <v>107.0</v>
      </c>
      <c r="B108" s="21">
        <v>66.0</v>
      </c>
      <c r="C108" s="25">
        <v>8101.0</v>
      </c>
      <c r="D108" s="1" t="s">
        <v>148</v>
      </c>
      <c r="E108" s="7">
        <v>48.0</v>
      </c>
      <c r="F108" s="1" t="s">
        <v>161</v>
      </c>
      <c r="G108" s="7"/>
      <c r="H108" s="7">
        <v>18.0</v>
      </c>
      <c r="I108" s="1" t="s">
        <v>150</v>
      </c>
      <c r="J108" s="1" t="s">
        <v>150</v>
      </c>
      <c r="K108" s="9"/>
      <c r="L108" s="1" t="s">
        <v>150</v>
      </c>
      <c r="M108" s="1" t="s">
        <v>150</v>
      </c>
      <c r="N108" s="9"/>
      <c r="O108" s="1" t="str">
        <f t="shared" si="1"/>
        <v>нет</v>
      </c>
      <c r="P108" s="1" t="s">
        <v>150</v>
      </c>
      <c r="Q108" s="1" t="s">
        <v>154</v>
      </c>
      <c r="R108" s="7">
        <v>2.0</v>
      </c>
      <c r="S108" s="1" t="s">
        <v>150</v>
      </c>
      <c r="T108" s="9"/>
      <c r="U108" s="9"/>
      <c r="V108" s="9"/>
      <c r="W108" s="9"/>
      <c r="X108" s="9"/>
      <c r="Y108" s="1" t="s">
        <v>150</v>
      </c>
      <c r="Z108" s="9"/>
      <c r="AA108" s="9"/>
      <c r="AB108" s="9"/>
      <c r="AC108" s="9"/>
      <c r="AD108" s="26"/>
      <c r="AE108" s="1" t="s">
        <v>150</v>
      </c>
      <c r="AF108" s="7">
        <v>0.0</v>
      </c>
      <c r="AG108" s="27" t="s">
        <v>162</v>
      </c>
      <c r="AH108" s="27" t="s">
        <v>152</v>
      </c>
      <c r="AI108" s="1" t="s">
        <v>168</v>
      </c>
      <c r="AJ108" s="7">
        <v>2.0</v>
      </c>
      <c r="AK108" s="1" t="s">
        <v>5</v>
      </c>
      <c r="AL108" s="1" t="s">
        <v>150</v>
      </c>
      <c r="AM108" s="9"/>
      <c r="AN108" s="1">
        <v>15.0</v>
      </c>
      <c r="AO108" s="1" t="str">
        <f t="shared" si="2"/>
        <v>нет</v>
      </c>
      <c r="AP108" s="7">
        <v>162.0</v>
      </c>
      <c r="AQ108" s="7">
        <v>95.0</v>
      </c>
      <c r="AR108" s="9">
        <f t="shared" si="3"/>
        <v>36.19875019</v>
      </c>
      <c r="AS108" s="7" t="str">
        <f t="shared" si="4"/>
        <v>Ожирение II степени</v>
      </c>
      <c r="AT108" s="7">
        <v>120.0</v>
      </c>
      <c r="AU108" s="7">
        <v>80.0</v>
      </c>
      <c r="AV108" s="3">
        <v>93.0</v>
      </c>
      <c r="AW108" s="7">
        <v>94.0</v>
      </c>
      <c r="AX108" s="7">
        <v>36.8</v>
      </c>
      <c r="AY108" s="7">
        <v>18.0</v>
      </c>
      <c r="AZ108" s="7">
        <v>90.0</v>
      </c>
      <c r="BA108" s="10" t="str">
        <f t="shared" si="5"/>
        <v>да</v>
      </c>
      <c r="BB108" s="7">
        <v>96.0</v>
      </c>
      <c r="BC108" s="11"/>
      <c r="BD108" s="12" t="str">
        <f t="shared" si="6"/>
        <v>#DIV/0!</v>
      </c>
      <c r="BE108" s="12">
        <f t="shared" si="7"/>
        <v>0</v>
      </c>
      <c r="BF108" s="12">
        <f t="shared" si="8"/>
        <v>4</v>
      </c>
      <c r="BG108" s="15" t="s">
        <v>154</v>
      </c>
      <c r="BH108" s="15" t="s">
        <v>163</v>
      </c>
      <c r="BI108" s="15" t="s">
        <v>154</v>
      </c>
      <c r="BJ108" s="15" t="s">
        <v>363</v>
      </c>
      <c r="BK108" s="15" t="s">
        <v>150</v>
      </c>
      <c r="BL108" s="9"/>
      <c r="BM108" s="15" t="s">
        <v>154</v>
      </c>
      <c r="BN108" s="15" t="s">
        <v>155</v>
      </c>
      <c r="BO108" s="15" t="s">
        <v>150</v>
      </c>
      <c r="BP108" s="9"/>
      <c r="BQ108" s="9"/>
      <c r="BR108" s="15" t="s">
        <v>154</v>
      </c>
      <c r="BS108" s="15" t="s">
        <v>293</v>
      </c>
      <c r="BT108" s="30"/>
      <c r="BU108" s="15" t="s">
        <v>157</v>
      </c>
      <c r="BV108" s="7">
        <v>12.0</v>
      </c>
      <c r="BW108" s="15" t="s">
        <v>150</v>
      </c>
      <c r="BX108" s="10" t="s">
        <v>154</v>
      </c>
      <c r="BY108" s="1" t="s">
        <v>275</v>
      </c>
      <c r="BZ108" s="29" t="s">
        <v>158</v>
      </c>
      <c r="CA108" s="9"/>
      <c r="CB108" s="1" t="s">
        <v>150</v>
      </c>
      <c r="CC108" s="1" t="s">
        <v>150</v>
      </c>
      <c r="CD108" s="9"/>
      <c r="CE108" s="1" t="s">
        <v>150</v>
      </c>
      <c r="CF108" s="1" t="s">
        <v>150</v>
      </c>
      <c r="CG108" s="1" t="s">
        <v>150</v>
      </c>
      <c r="CH108" s="1" t="s">
        <v>154</v>
      </c>
      <c r="CI108" s="1" t="s">
        <v>150</v>
      </c>
      <c r="CJ108" s="1" t="s">
        <v>150</v>
      </c>
      <c r="CK108" s="1" t="s">
        <v>150</v>
      </c>
      <c r="CL108" s="1" t="s">
        <v>364</v>
      </c>
      <c r="CM108" s="7">
        <v>8.0</v>
      </c>
      <c r="CN108" s="7">
        <v>80.5</v>
      </c>
      <c r="CO108" s="7">
        <f t="shared" si="23"/>
        <v>6.44</v>
      </c>
      <c r="CP108" s="7">
        <v>11.0</v>
      </c>
      <c r="CQ108" s="7">
        <f t="shared" si="10"/>
        <v>0.7084</v>
      </c>
      <c r="CR108" s="7">
        <v>8.3</v>
      </c>
      <c r="CS108" s="7">
        <f t="shared" si="11"/>
        <v>0.0587972</v>
      </c>
      <c r="CT108" s="7">
        <v>0.0</v>
      </c>
      <c r="CU108" s="7">
        <f t="shared" si="12"/>
        <v>0</v>
      </c>
      <c r="CV108" s="7">
        <f t="shared" si="13"/>
        <v>9.090909091</v>
      </c>
      <c r="CW108" s="7">
        <v>5.2</v>
      </c>
      <c r="CX108" s="7">
        <v>149.0</v>
      </c>
      <c r="CY108" s="7" t="str">
        <f t="shared" si="14"/>
        <v>Норма</v>
      </c>
      <c r="CZ108" s="9"/>
      <c r="DA108" s="7">
        <v>219.0</v>
      </c>
      <c r="DB108" s="7">
        <v>112.0</v>
      </c>
      <c r="DC108" s="7">
        <v>19.3</v>
      </c>
      <c r="DD108" s="7">
        <v>81.0</v>
      </c>
      <c r="DE108" s="7"/>
      <c r="DF108" s="7">
        <v>12.0</v>
      </c>
      <c r="DG108" s="7"/>
      <c r="DH108" s="7">
        <v>6.2</v>
      </c>
      <c r="DI108" s="7"/>
      <c r="DJ108" s="7">
        <v>0.1</v>
      </c>
      <c r="DK108" s="7"/>
      <c r="DL108" s="7"/>
      <c r="DM108" s="7">
        <v>5.05</v>
      </c>
      <c r="DN108" s="7">
        <v>138.0</v>
      </c>
      <c r="DO108" s="7" t="str">
        <f t="shared" si="15"/>
        <v>Норма</v>
      </c>
      <c r="DP108" s="9"/>
      <c r="DQ108" s="7">
        <v>377.0</v>
      </c>
      <c r="DR108" s="7">
        <v>8.05</v>
      </c>
      <c r="DS108" s="13">
        <v>820.0</v>
      </c>
      <c r="DT108" s="9"/>
      <c r="DU108" s="7">
        <v>14.8</v>
      </c>
      <c r="DV108" s="7">
        <v>1.26</v>
      </c>
      <c r="DW108" s="1" t="s">
        <v>320</v>
      </c>
      <c r="DX108" s="9"/>
      <c r="DY108" s="9"/>
      <c r="DZ108" s="7">
        <v>11.4</v>
      </c>
      <c r="EA108" s="7">
        <v>0.97</v>
      </c>
      <c r="EB108" s="7"/>
      <c r="EC108" s="7">
        <v>8.79</v>
      </c>
      <c r="ED108" s="7">
        <v>7.69</v>
      </c>
      <c r="EE108" s="7">
        <v>38.02</v>
      </c>
      <c r="EF108" s="7">
        <v>66.45</v>
      </c>
      <c r="EG108" s="7">
        <v>84.4</v>
      </c>
      <c r="EH108" s="7">
        <v>9.0</v>
      </c>
      <c r="EI108" s="7">
        <v>1.8</v>
      </c>
      <c r="EJ108" s="7">
        <v>118.97</v>
      </c>
      <c r="EK108" s="14">
        <f t="shared" si="16"/>
        <v>46.65267208</v>
      </c>
      <c r="EL108" s="11" t="str">
        <f t="shared" si="17"/>
        <v>C3a</v>
      </c>
      <c r="EM108" s="7">
        <v>133.8</v>
      </c>
      <c r="EN108" s="7">
        <v>3.68</v>
      </c>
      <c r="EO108" s="7">
        <v>58.05</v>
      </c>
      <c r="EP108" s="7">
        <v>26.26</v>
      </c>
      <c r="EQ108" s="7">
        <v>65.9</v>
      </c>
      <c r="ER108" s="7">
        <v>11.35</v>
      </c>
      <c r="ES108" s="7">
        <v>1.56</v>
      </c>
      <c r="ET108" s="7">
        <v>81.65</v>
      </c>
      <c r="EU108" s="11">
        <f t="shared" si="18"/>
        <v>73.54029742</v>
      </c>
      <c r="EV108" s="11" t="str">
        <f t="shared" si="19"/>
        <v>C2</v>
      </c>
      <c r="EW108" s="9"/>
      <c r="EX108" s="9"/>
      <c r="EY108" s="9">
        <f t="shared" si="20"/>
        <v>0.2106798526</v>
      </c>
      <c r="EZ108" s="9">
        <f t="shared" si="21"/>
        <v>0.4475239934</v>
      </c>
      <c r="FA108" s="9" t="str">
        <f t="shared" si="22"/>
        <v>Благоприятный</v>
      </c>
      <c r="FB108" s="1" t="s">
        <v>150</v>
      </c>
      <c r="FC108" s="1" t="s">
        <v>148</v>
      </c>
    </row>
    <row r="109">
      <c r="A109" s="7">
        <v>108.0</v>
      </c>
      <c r="B109" s="21">
        <v>67.0</v>
      </c>
      <c r="C109" s="25">
        <v>9876.0</v>
      </c>
      <c r="D109" s="1" t="s">
        <v>148</v>
      </c>
      <c r="E109" s="7">
        <v>59.0</v>
      </c>
      <c r="F109" s="1" t="s">
        <v>161</v>
      </c>
      <c r="G109" s="7"/>
      <c r="H109" s="7">
        <v>19.0</v>
      </c>
      <c r="I109" s="15" t="s">
        <v>150</v>
      </c>
      <c r="J109" s="1" t="s">
        <v>150</v>
      </c>
      <c r="K109" s="9"/>
      <c r="L109" s="1" t="s">
        <v>150</v>
      </c>
      <c r="M109" s="1" t="s">
        <v>150</v>
      </c>
      <c r="N109" s="9"/>
      <c r="O109" s="1" t="str">
        <f t="shared" si="1"/>
        <v>нет</v>
      </c>
      <c r="P109" s="1" t="s">
        <v>150</v>
      </c>
      <c r="Q109" s="1" t="s">
        <v>154</v>
      </c>
      <c r="R109" s="7">
        <v>2.0</v>
      </c>
      <c r="S109" s="1" t="s">
        <v>150</v>
      </c>
      <c r="T109" s="9"/>
      <c r="U109" s="9"/>
      <c r="V109" s="9"/>
      <c r="W109" s="9"/>
      <c r="X109" s="9"/>
      <c r="Y109" s="1" t="s">
        <v>150</v>
      </c>
      <c r="Z109" s="9"/>
      <c r="AA109" s="9"/>
      <c r="AB109" s="9"/>
      <c r="AC109" s="9"/>
      <c r="AD109" s="26" t="s">
        <v>365</v>
      </c>
      <c r="AE109" s="1" t="s">
        <v>150</v>
      </c>
      <c r="AF109" s="7">
        <v>0.0</v>
      </c>
      <c r="AG109" s="27" t="s">
        <v>162</v>
      </c>
      <c r="AH109" s="27" t="s">
        <v>152</v>
      </c>
      <c r="AI109" s="1" t="s">
        <v>168</v>
      </c>
      <c r="AJ109" s="7">
        <v>2.0</v>
      </c>
      <c r="AK109" s="1" t="s">
        <v>5</v>
      </c>
      <c r="AL109" s="1" t="s">
        <v>150</v>
      </c>
      <c r="AM109" s="9"/>
      <c r="AN109" s="1">
        <v>15.0</v>
      </c>
      <c r="AO109" s="1" t="str">
        <f t="shared" si="2"/>
        <v>нет</v>
      </c>
      <c r="AP109" s="7">
        <v>162.0</v>
      </c>
      <c r="AQ109" s="7">
        <v>80.0</v>
      </c>
      <c r="AR109" s="9">
        <f t="shared" si="3"/>
        <v>30.48315806</v>
      </c>
      <c r="AS109" s="7" t="str">
        <f t="shared" si="4"/>
        <v>Ожирение I степени</v>
      </c>
      <c r="AT109" s="7">
        <v>145.0</v>
      </c>
      <c r="AU109" s="7">
        <v>76.0</v>
      </c>
      <c r="AV109" s="3">
        <v>99.0</v>
      </c>
      <c r="AW109" s="7">
        <v>100.0</v>
      </c>
      <c r="AX109" s="7">
        <v>37.5</v>
      </c>
      <c r="AY109" s="7">
        <v>26.0</v>
      </c>
      <c r="AZ109" s="7">
        <v>82.0</v>
      </c>
      <c r="BA109" s="10" t="str">
        <f t="shared" si="5"/>
        <v>да</v>
      </c>
      <c r="BB109" s="7">
        <v>95.0</v>
      </c>
      <c r="BC109" s="11"/>
      <c r="BD109" s="12" t="str">
        <f t="shared" si="6"/>
        <v>#DIV/0!</v>
      </c>
      <c r="BE109" s="12">
        <f t="shared" si="7"/>
        <v>1</v>
      </c>
      <c r="BF109" s="12">
        <f t="shared" si="8"/>
        <v>7</v>
      </c>
      <c r="BG109" s="15" t="s">
        <v>154</v>
      </c>
      <c r="BH109" s="15" t="s">
        <v>366</v>
      </c>
      <c r="BI109" s="1" t="s">
        <v>150</v>
      </c>
      <c r="BJ109" s="9"/>
      <c r="BK109" s="1" t="s">
        <v>150</v>
      </c>
      <c r="BL109" s="9"/>
      <c r="BM109" s="1" t="s">
        <v>154</v>
      </c>
      <c r="BN109" s="1" t="s">
        <v>155</v>
      </c>
      <c r="BO109" s="1" t="s">
        <v>150</v>
      </c>
      <c r="BP109" s="9"/>
      <c r="BQ109" s="9"/>
      <c r="BR109" s="1" t="s">
        <v>154</v>
      </c>
      <c r="BS109" s="1" t="s">
        <v>306</v>
      </c>
      <c r="BT109" s="30"/>
      <c r="BU109" s="1" t="s">
        <v>157</v>
      </c>
      <c r="BV109" s="7">
        <v>20.0</v>
      </c>
      <c r="BW109" s="1" t="s">
        <v>150</v>
      </c>
      <c r="BX109" s="10" t="s">
        <v>154</v>
      </c>
      <c r="BY109" s="1" t="s">
        <v>275</v>
      </c>
      <c r="BZ109" s="29" t="s">
        <v>158</v>
      </c>
      <c r="CA109" s="1" t="s">
        <v>167</v>
      </c>
      <c r="CB109" s="1" t="s">
        <v>150</v>
      </c>
      <c r="CC109" s="1" t="s">
        <v>150</v>
      </c>
      <c r="CD109" s="9"/>
      <c r="CE109" s="1" t="s">
        <v>150</v>
      </c>
      <c r="CF109" s="1" t="s">
        <v>150</v>
      </c>
      <c r="CG109" s="1" t="s">
        <v>150</v>
      </c>
      <c r="CH109" s="1" t="s">
        <v>150</v>
      </c>
      <c r="CI109" s="1" t="s">
        <v>150</v>
      </c>
      <c r="CJ109" s="1" t="s">
        <v>150</v>
      </c>
      <c r="CK109" s="1" t="s">
        <v>150</v>
      </c>
      <c r="CL109" s="1" t="s">
        <v>273</v>
      </c>
      <c r="CM109" s="7">
        <v>8.9</v>
      </c>
      <c r="CN109" s="7">
        <v>84.1</v>
      </c>
      <c r="CO109" s="7">
        <f t="shared" si="23"/>
        <v>7.4849</v>
      </c>
      <c r="CP109" s="7">
        <v>9.9</v>
      </c>
      <c r="CQ109" s="7">
        <f t="shared" si="10"/>
        <v>0.7410051</v>
      </c>
      <c r="CR109" s="7">
        <v>5.7</v>
      </c>
      <c r="CS109" s="7">
        <f t="shared" si="11"/>
        <v>0.0422372907</v>
      </c>
      <c r="CT109" s="7">
        <v>0.0</v>
      </c>
      <c r="CU109" s="7">
        <f t="shared" si="12"/>
        <v>0</v>
      </c>
      <c r="CV109" s="7">
        <f t="shared" si="13"/>
        <v>10.1010101</v>
      </c>
      <c r="CW109" s="7">
        <v>4.46</v>
      </c>
      <c r="CX109" s="7">
        <v>134.0</v>
      </c>
      <c r="CY109" s="7" t="str">
        <f t="shared" si="14"/>
        <v>Норма</v>
      </c>
      <c r="CZ109" s="9"/>
      <c r="DA109" s="7">
        <v>258.0</v>
      </c>
      <c r="DB109" s="7">
        <v>78.0</v>
      </c>
      <c r="DC109" s="7">
        <v>13.26</v>
      </c>
      <c r="DD109" s="7">
        <v>78.7</v>
      </c>
      <c r="DE109" s="7"/>
      <c r="DF109" s="7">
        <v>12.9</v>
      </c>
      <c r="DG109" s="7"/>
      <c r="DH109" s="7">
        <v>7.1</v>
      </c>
      <c r="DI109" s="7"/>
      <c r="DJ109" s="7">
        <v>0.8</v>
      </c>
      <c r="DK109" s="7"/>
      <c r="DL109" s="7"/>
      <c r="DM109" s="7">
        <v>4.38</v>
      </c>
      <c r="DN109" s="7">
        <v>126.0</v>
      </c>
      <c r="DO109" s="7" t="str">
        <f t="shared" si="15"/>
        <v>Легкая степень</v>
      </c>
      <c r="DP109" s="9"/>
      <c r="DQ109" s="7">
        <v>253.0</v>
      </c>
      <c r="DR109" s="7">
        <v>11.9</v>
      </c>
      <c r="DS109" s="13">
        <v>500.0</v>
      </c>
      <c r="DT109" s="9"/>
      <c r="DU109" s="7">
        <v>12.0</v>
      </c>
      <c r="DV109" s="7">
        <v>1.03</v>
      </c>
      <c r="DW109" s="1" t="s">
        <v>320</v>
      </c>
      <c r="DX109" s="9"/>
      <c r="DY109" s="9"/>
      <c r="DZ109" s="7">
        <v>10.6</v>
      </c>
      <c r="EA109" s="7">
        <v>0.91</v>
      </c>
      <c r="EB109" s="7"/>
      <c r="EC109" s="7">
        <v>6.01</v>
      </c>
      <c r="ED109" s="7">
        <v>5.31</v>
      </c>
      <c r="EE109" s="7">
        <v>53.8</v>
      </c>
      <c r="EF109" s="7">
        <v>38.2</v>
      </c>
      <c r="EG109" s="7">
        <v>64.5</v>
      </c>
      <c r="EH109" s="7">
        <v>11.7</v>
      </c>
      <c r="EI109" s="7">
        <v>5.0</v>
      </c>
      <c r="EJ109" s="7">
        <v>83.0</v>
      </c>
      <c r="EK109" s="14">
        <f t="shared" si="16"/>
        <v>66.73547167</v>
      </c>
      <c r="EL109" s="11" t="str">
        <f t="shared" si="17"/>
        <v>C2</v>
      </c>
      <c r="EM109" s="7">
        <v>137.4</v>
      </c>
      <c r="EN109" s="7">
        <v>4.95</v>
      </c>
      <c r="EO109" s="7">
        <v>55.7</v>
      </c>
      <c r="EP109" s="7">
        <v>17.8</v>
      </c>
      <c r="EQ109" s="7">
        <v>61.1</v>
      </c>
      <c r="ER109" s="7">
        <v>7.8</v>
      </c>
      <c r="ES109" s="7">
        <v>3.8</v>
      </c>
      <c r="ET109" s="7">
        <v>87.0</v>
      </c>
      <c r="EU109" s="11">
        <f t="shared" si="18"/>
        <v>63.04394356</v>
      </c>
      <c r="EV109" s="11" t="str">
        <f t="shared" si="19"/>
        <v>C2</v>
      </c>
      <c r="EW109" s="9"/>
      <c r="EX109" s="9"/>
      <c r="EY109" s="9">
        <f t="shared" si="20"/>
        <v>0.4581889285</v>
      </c>
      <c r="EZ109" s="9">
        <f t="shared" si="21"/>
        <v>0.3874155482</v>
      </c>
      <c r="FA109" s="9" t="str">
        <f t="shared" si="22"/>
        <v>Благоприятный</v>
      </c>
      <c r="FB109" s="1" t="s">
        <v>150</v>
      </c>
      <c r="FC109" s="1" t="s">
        <v>148</v>
      </c>
    </row>
    <row r="110">
      <c r="A110" s="7">
        <v>109.0</v>
      </c>
      <c r="B110" s="21">
        <v>68.0</v>
      </c>
      <c r="C110" s="25">
        <v>9744.0</v>
      </c>
      <c r="D110" s="1" t="s">
        <v>148</v>
      </c>
      <c r="E110" s="7">
        <v>22.0</v>
      </c>
      <c r="F110" s="1" t="s">
        <v>161</v>
      </c>
      <c r="G110" s="7"/>
      <c r="H110" s="7">
        <v>19.0</v>
      </c>
      <c r="I110" s="1" t="s">
        <v>154</v>
      </c>
      <c r="J110" s="1" t="s">
        <v>150</v>
      </c>
      <c r="K110" s="9"/>
      <c r="L110" s="1" t="s">
        <v>150</v>
      </c>
      <c r="M110" s="1" t="s">
        <v>150</v>
      </c>
      <c r="N110" s="9"/>
      <c r="O110" s="1" t="str">
        <f t="shared" si="1"/>
        <v>нет</v>
      </c>
      <c r="P110" s="1" t="s">
        <v>150</v>
      </c>
      <c r="Q110" s="1" t="s">
        <v>150</v>
      </c>
      <c r="R110" s="9"/>
      <c r="S110" s="1" t="s">
        <v>150</v>
      </c>
      <c r="T110" s="9"/>
      <c r="U110" s="9"/>
      <c r="V110" s="9"/>
      <c r="W110" s="9"/>
      <c r="X110" s="9"/>
      <c r="Y110" s="1" t="s">
        <v>150</v>
      </c>
      <c r="Z110" s="9"/>
      <c r="AA110" s="9"/>
      <c r="AB110" s="9"/>
      <c r="AC110" s="9"/>
      <c r="AD110" s="26"/>
      <c r="AE110" s="1" t="s">
        <v>150</v>
      </c>
      <c r="AF110" s="7">
        <v>0.0</v>
      </c>
      <c r="AG110" s="27" t="s">
        <v>162</v>
      </c>
      <c r="AH110" s="27" t="s">
        <v>152</v>
      </c>
      <c r="AI110" s="1" t="s">
        <v>168</v>
      </c>
      <c r="AJ110" s="7">
        <v>3.0</v>
      </c>
      <c r="AK110" s="1" t="s">
        <v>5</v>
      </c>
      <c r="AL110" s="1" t="s">
        <v>150</v>
      </c>
      <c r="AM110" s="9"/>
      <c r="AN110" s="1">
        <v>15.0</v>
      </c>
      <c r="AO110" s="1" t="str">
        <f t="shared" si="2"/>
        <v>нет</v>
      </c>
      <c r="AP110" s="7">
        <v>160.0</v>
      </c>
      <c r="AQ110" s="7">
        <v>60.0</v>
      </c>
      <c r="AR110" s="9">
        <f t="shared" si="3"/>
        <v>23.4375</v>
      </c>
      <c r="AS110" s="7" t="str">
        <f t="shared" si="4"/>
        <v>Нормальный вес</v>
      </c>
      <c r="AT110" s="7">
        <v>109.0</v>
      </c>
      <c r="AU110" s="7">
        <v>65.0</v>
      </c>
      <c r="AV110" s="3">
        <v>80.0</v>
      </c>
      <c r="AW110" s="7">
        <v>98.0</v>
      </c>
      <c r="AX110" s="7">
        <v>37.4</v>
      </c>
      <c r="AY110" s="7">
        <v>18.0</v>
      </c>
      <c r="AZ110" s="7">
        <v>90.0</v>
      </c>
      <c r="BA110" s="10" t="str">
        <f t="shared" si="5"/>
        <v>да</v>
      </c>
      <c r="BB110" s="7">
        <v>98.0</v>
      </c>
      <c r="BC110" s="11"/>
      <c r="BD110" s="12" t="str">
        <f t="shared" si="6"/>
        <v>#DIV/0!</v>
      </c>
      <c r="BE110" s="12">
        <f t="shared" si="7"/>
        <v>0</v>
      </c>
      <c r="BF110" s="12">
        <f t="shared" si="8"/>
        <v>5</v>
      </c>
      <c r="BG110" s="15" t="s">
        <v>154</v>
      </c>
      <c r="BH110" s="15" t="s">
        <v>367</v>
      </c>
      <c r="BI110" s="15" t="s">
        <v>154</v>
      </c>
      <c r="BJ110" s="15" t="s">
        <v>175</v>
      </c>
      <c r="BK110" s="15" t="s">
        <v>150</v>
      </c>
      <c r="BL110" s="9"/>
      <c r="BM110" s="15" t="s">
        <v>154</v>
      </c>
      <c r="BN110" s="15" t="s">
        <v>155</v>
      </c>
      <c r="BO110" s="15" t="s">
        <v>150</v>
      </c>
      <c r="BP110" s="9"/>
      <c r="BQ110" s="9"/>
      <c r="BR110" s="15" t="s">
        <v>154</v>
      </c>
      <c r="BS110" s="15" t="s">
        <v>306</v>
      </c>
      <c r="BT110" s="30"/>
      <c r="BU110" s="15" t="s">
        <v>157</v>
      </c>
      <c r="BV110" s="7">
        <v>12.0</v>
      </c>
      <c r="BW110" s="15" t="s">
        <v>150</v>
      </c>
      <c r="BX110" s="10" t="s">
        <v>154</v>
      </c>
      <c r="BY110" s="1" t="s">
        <v>269</v>
      </c>
      <c r="BZ110" s="29" t="s">
        <v>158</v>
      </c>
      <c r="CA110" s="9"/>
      <c r="CB110" s="1" t="s">
        <v>150</v>
      </c>
      <c r="CC110" s="1" t="s">
        <v>150</v>
      </c>
      <c r="CD110" s="9"/>
      <c r="CE110" s="1" t="s">
        <v>150</v>
      </c>
      <c r="CF110" s="1" t="s">
        <v>150</v>
      </c>
      <c r="CG110" s="1" t="s">
        <v>150</v>
      </c>
      <c r="CH110" s="1" t="s">
        <v>150</v>
      </c>
      <c r="CI110" s="1" t="s">
        <v>150</v>
      </c>
      <c r="CJ110" s="1" t="s">
        <v>150</v>
      </c>
      <c r="CK110" s="1" t="s">
        <v>150</v>
      </c>
      <c r="CL110" s="1" t="s">
        <v>276</v>
      </c>
      <c r="CM110" s="7">
        <v>7.15</v>
      </c>
      <c r="CN110" s="7">
        <v>94.4</v>
      </c>
      <c r="CO110" s="7">
        <f t="shared" si="23"/>
        <v>6.7496</v>
      </c>
      <c r="CP110" s="7">
        <v>4.1</v>
      </c>
      <c r="CQ110" s="7">
        <f t="shared" si="10"/>
        <v>0.2767336</v>
      </c>
      <c r="CR110" s="7">
        <v>1.5</v>
      </c>
      <c r="CS110" s="7">
        <f t="shared" si="11"/>
        <v>0.004151004</v>
      </c>
      <c r="CT110" s="7">
        <v>0.0</v>
      </c>
      <c r="CU110" s="7">
        <f t="shared" si="12"/>
        <v>0</v>
      </c>
      <c r="CV110" s="7">
        <f t="shared" si="13"/>
        <v>24.3902439</v>
      </c>
      <c r="CW110" s="7">
        <v>4.82</v>
      </c>
      <c r="CX110" s="7">
        <v>137.0</v>
      </c>
      <c r="CY110" s="7" t="str">
        <f t="shared" si="14"/>
        <v>Норма</v>
      </c>
      <c r="CZ110" s="9"/>
      <c r="DA110" s="7">
        <v>114.0</v>
      </c>
      <c r="DB110" s="7">
        <v>133.0</v>
      </c>
      <c r="DC110" s="7">
        <v>13.3</v>
      </c>
      <c r="DD110" s="7">
        <v>85.1</v>
      </c>
      <c r="DE110" s="7"/>
      <c r="DF110" s="7">
        <v>9.0</v>
      </c>
      <c r="DG110" s="7"/>
      <c r="DH110" s="7">
        <v>5.4</v>
      </c>
      <c r="DI110" s="7"/>
      <c r="DJ110" s="7">
        <v>0.0</v>
      </c>
      <c r="DK110" s="7"/>
      <c r="DL110" s="7"/>
      <c r="DM110" s="7">
        <v>4.45</v>
      </c>
      <c r="DN110" s="7">
        <v>127.0</v>
      </c>
      <c r="DO110" s="7" t="str">
        <f t="shared" si="15"/>
        <v>Легкая степень</v>
      </c>
      <c r="DP110" s="9"/>
      <c r="DQ110" s="7">
        <v>323.0</v>
      </c>
      <c r="DR110" s="7">
        <v>10.2</v>
      </c>
      <c r="DS110" s="13">
        <v>261.0</v>
      </c>
      <c r="DT110" s="7">
        <v>39.2</v>
      </c>
      <c r="DU110" s="7">
        <v>11.4</v>
      </c>
      <c r="DV110" s="7">
        <v>0.97</v>
      </c>
      <c r="DW110" s="1" t="s">
        <v>320</v>
      </c>
      <c r="DX110" s="9"/>
      <c r="DY110" s="9"/>
      <c r="DZ110" s="7">
        <v>10.3</v>
      </c>
      <c r="EA110" s="7">
        <v>0.88</v>
      </c>
      <c r="EB110" s="7"/>
      <c r="EC110" s="7">
        <v>8.05</v>
      </c>
      <c r="ED110" s="7">
        <v>8.4</v>
      </c>
      <c r="EE110" s="7">
        <v>82.46</v>
      </c>
      <c r="EF110" s="7">
        <v>56.34</v>
      </c>
      <c r="EG110" s="7">
        <v>75.3</v>
      </c>
      <c r="EH110" s="7">
        <v>16.54</v>
      </c>
      <c r="EI110" s="9"/>
      <c r="EJ110" s="7">
        <v>87.08</v>
      </c>
      <c r="EK110" s="14">
        <f t="shared" si="16"/>
        <v>81.66549211</v>
      </c>
      <c r="EL110" s="11" t="str">
        <f t="shared" si="17"/>
        <v>C2</v>
      </c>
      <c r="EM110" s="9"/>
      <c r="EN110" s="9"/>
      <c r="EO110" s="7">
        <v>61.7</v>
      </c>
      <c r="EP110" s="7">
        <v>18.2</v>
      </c>
      <c r="EQ110" s="7">
        <v>62.7</v>
      </c>
      <c r="ER110" s="7">
        <v>11.2</v>
      </c>
      <c r="ES110" s="9"/>
      <c r="ET110" s="7">
        <v>57.0</v>
      </c>
      <c r="EU110" s="11">
        <f t="shared" si="18"/>
        <v>126.7737552</v>
      </c>
      <c r="EV110" s="11" t="str">
        <f t="shared" si="19"/>
        <v>C1</v>
      </c>
      <c r="EW110" s="9"/>
      <c r="EX110" s="9"/>
      <c r="EY110" s="9">
        <f t="shared" si="20"/>
        <v>4.24031575</v>
      </c>
      <c r="EZ110" s="9">
        <f t="shared" si="21"/>
        <v>0.01419854116</v>
      </c>
      <c r="FA110" s="9" t="str">
        <f t="shared" si="22"/>
        <v>Благоприятный</v>
      </c>
      <c r="FB110" s="1" t="s">
        <v>150</v>
      </c>
      <c r="FC110" s="1" t="s">
        <v>148</v>
      </c>
    </row>
    <row r="111">
      <c r="A111" s="7">
        <v>110.0</v>
      </c>
      <c r="B111" s="21">
        <v>69.0</v>
      </c>
      <c r="C111" s="25">
        <v>8088.0</v>
      </c>
      <c r="D111" s="1" t="s">
        <v>148</v>
      </c>
      <c r="E111" s="7">
        <v>60.0</v>
      </c>
      <c r="F111" s="1" t="s">
        <v>161</v>
      </c>
      <c r="G111" s="7"/>
      <c r="H111" s="7">
        <v>44.0</v>
      </c>
      <c r="I111" s="1" t="s">
        <v>150</v>
      </c>
      <c r="J111" s="1" t="s">
        <v>150</v>
      </c>
      <c r="K111" s="9"/>
      <c r="L111" s="1" t="s">
        <v>150</v>
      </c>
      <c r="M111" s="1" t="s">
        <v>150</v>
      </c>
      <c r="N111" s="9"/>
      <c r="O111" s="1" t="str">
        <f t="shared" si="1"/>
        <v>нет</v>
      </c>
      <c r="P111" s="1" t="s">
        <v>150</v>
      </c>
      <c r="Q111" s="1" t="s">
        <v>154</v>
      </c>
      <c r="R111" s="7">
        <v>2.0</v>
      </c>
      <c r="S111" s="1" t="s">
        <v>150</v>
      </c>
      <c r="T111" s="9"/>
      <c r="U111" s="9"/>
      <c r="V111" s="9"/>
      <c r="W111" s="9"/>
      <c r="X111" s="9"/>
      <c r="Y111" s="1" t="s">
        <v>150</v>
      </c>
      <c r="Z111" s="9"/>
      <c r="AA111" s="9"/>
      <c r="AB111" s="9"/>
      <c r="AC111" s="9"/>
      <c r="AD111" s="26"/>
      <c r="AE111" s="1" t="s">
        <v>150</v>
      </c>
      <c r="AF111" s="7">
        <v>0.0</v>
      </c>
      <c r="AG111" s="27" t="s">
        <v>162</v>
      </c>
      <c r="AH111" s="27" t="s">
        <v>152</v>
      </c>
      <c r="AI111" s="1" t="s">
        <v>168</v>
      </c>
      <c r="AJ111" s="7">
        <v>3.0</v>
      </c>
      <c r="AK111" s="1" t="s">
        <v>5</v>
      </c>
      <c r="AL111" s="1" t="s">
        <v>150</v>
      </c>
      <c r="AM111" s="9"/>
      <c r="AN111" s="1">
        <v>15.0</v>
      </c>
      <c r="AO111" s="1" t="str">
        <f t="shared" si="2"/>
        <v>нет</v>
      </c>
      <c r="AP111" s="7">
        <v>165.0</v>
      </c>
      <c r="AQ111" s="7">
        <v>80.0</v>
      </c>
      <c r="AR111" s="9">
        <f t="shared" si="3"/>
        <v>29.38475666</v>
      </c>
      <c r="AS111" s="7" t="str">
        <f t="shared" si="4"/>
        <v>Избыточный вес (предожирение)</v>
      </c>
      <c r="AT111" s="7">
        <v>115.0</v>
      </c>
      <c r="AU111" s="7">
        <v>79.0</v>
      </c>
      <c r="AV111" s="3">
        <v>91.0</v>
      </c>
      <c r="AW111" s="7">
        <v>90.0</v>
      </c>
      <c r="AX111" s="7">
        <v>36.6</v>
      </c>
      <c r="AY111" s="7">
        <v>22.0</v>
      </c>
      <c r="AZ111" s="7">
        <v>86.0</v>
      </c>
      <c r="BA111" s="10" t="str">
        <f t="shared" si="5"/>
        <v>да</v>
      </c>
      <c r="BB111" s="7">
        <v>99.0</v>
      </c>
      <c r="BC111" s="11"/>
      <c r="BD111" s="12" t="str">
        <f t="shared" si="6"/>
        <v>#DIV/0!</v>
      </c>
      <c r="BE111" s="12">
        <f t="shared" si="7"/>
        <v>1</v>
      </c>
      <c r="BF111" s="12">
        <f t="shared" si="8"/>
        <v>5</v>
      </c>
      <c r="BG111" s="15" t="s">
        <v>154</v>
      </c>
      <c r="BH111" s="15" t="s">
        <v>163</v>
      </c>
      <c r="BI111" s="1" t="s">
        <v>154</v>
      </c>
      <c r="BJ111" s="1" t="s">
        <v>368</v>
      </c>
      <c r="BK111" s="1" t="s">
        <v>154</v>
      </c>
      <c r="BL111" s="1" t="s">
        <v>189</v>
      </c>
      <c r="BM111" s="1" t="s">
        <v>154</v>
      </c>
      <c r="BN111" s="1" t="s">
        <v>155</v>
      </c>
      <c r="BO111" s="1" t="s">
        <v>154</v>
      </c>
      <c r="BP111" s="1" t="s">
        <v>157</v>
      </c>
      <c r="BQ111" s="9"/>
      <c r="BR111" s="1" t="s">
        <v>154</v>
      </c>
      <c r="BS111" s="1" t="s">
        <v>369</v>
      </c>
      <c r="BT111" s="30"/>
      <c r="BU111" s="1" t="s">
        <v>157</v>
      </c>
      <c r="BV111" s="7">
        <v>10.0</v>
      </c>
      <c r="BW111" s="1" t="s">
        <v>150</v>
      </c>
      <c r="BX111" s="10" t="s">
        <v>154</v>
      </c>
      <c r="BY111" s="1" t="s">
        <v>239</v>
      </c>
      <c r="BZ111" s="29" t="s">
        <v>158</v>
      </c>
      <c r="CA111" s="1" t="s">
        <v>167</v>
      </c>
      <c r="CB111" s="1" t="s">
        <v>150</v>
      </c>
      <c r="CC111" s="1" t="s">
        <v>150</v>
      </c>
      <c r="CD111" s="9"/>
      <c r="CE111" s="1" t="s">
        <v>150</v>
      </c>
      <c r="CF111" s="1" t="s">
        <v>240</v>
      </c>
      <c r="CG111" s="1" t="s">
        <v>154</v>
      </c>
      <c r="CH111" s="1" t="s">
        <v>150</v>
      </c>
      <c r="CI111" s="1" t="s">
        <v>150</v>
      </c>
      <c r="CJ111" s="1" t="s">
        <v>150</v>
      </c>
      <c r="CK111" s="1" t="s">
        <v>150</v>
      </c>
      <c r="CL111" s="1" t="s">
        <v>276</v>
      </c>
      <c r="CM111" s="7">
        <v>8.9</v>
      </c>
      <c r="CN111" s="7">
        <v>83.4</v>
      </c>
      <c r="CO111" s="7">
        <f t="shared" si="23"/>
        <v>7.4226</v>
      </c>
      <c r="CP111" s="7">
        <v>1.0</v>
      </c>
      <c r="CQ111" s="7">
        <f t="shared" si="10"/>
        <v>0.074226</v>
      </c>
      <c r="CR111" s="7">
        <v>4.9</v>
      </c>
      <c r="CS111" s="7">
        <f t="shared" si="11"/>
        <v>0.003637074</v>
      </c>
      <c r="CT111" s="7">
        <v>0.0</v>
      </c>
      <c r="CU111" s="7">
        <f t="shared" si="12"/>
        <v>0</v>
      </c>
      <c r="CV111" s="7">
        <f t="shared" si="13"/>
        <v>100</v>
      </c>
      <c r="CW111" s="7">
        <v>4.86</v>
      </c>
      <c r="CX111" s="7">
        <v>141.0</v>
      </c>
      <c r="CY111" s="7" t="str">
        <f t="shared" si="14"/>
        <v>Норма</v>
      </c>
      <c r="CZ111" s="9"/>
      <c r="DA111" s="7">
        <v>155.0</v>
      </c>
      <c r="DB111" s="7">
        <v>198.9</v>
      </c>
      <c r="DC111" s="7">
        <v>12.49</v>
      </c>
      <c r="DD111" s="7">
        <v>82.1</v>
      </c>
      <c r="DE111" s="7"/>
      <c r="DF111" s="7">
        <v>5.1</v>
      </c>
      <c r="DG111" s="7"/>
      <c r="DH111" s="7">
        <v>7.8</v>
      </c>
      <c r="DI111" s="7"/>
      <c r="DJ111" s="7">
        <v>0.0</v>
      </c>
      <c r="DK111" s="7"/>
      <c r="DL111" s="7"/>
      <c r="DM111" s="7">
        <v>4.79</v>
      </c>
      <c r="DN111" s="7">
        <v>140.0</v>
      </c>
      <c r="DO111" s="7" t="str">
        <f t="shared" si="15"/>
        <v>Норма</v>
      </c>
      <c r="DP111" s="9"/>
      <c r="DQ111" s="7">
        <v>174.0</v>
      </c>
      <c r="DR111" s="7">
        <v>18.5</v>
      </c>
      <c r="DS111" s="13">
        <v>740.0</v>
      </c>
      <c r="DT111" s="9"/>
      <c r="DU111" s="7">
        <v>16.0</v>
      </c>
      <c r="DV111" s="7">
        <v>1.37</v>
      </c>
      <c r="DW111" s="1" t="s">
        <v>320</v>
      </c>
      <c r="DX111" s="9"/>
      <c r="DY111" s="9"/>
      <c r="DZ111" s="7">
        <v>15.7</v>
      </c>
      <c r="EA111" s="7">
        <v>1.34</v>
      </c>
      <c r="EB111" s="7"/>
      <c r="EC111" s="7">
        <v>7.61</v>
      </c>
      <c r="ED111" s="7">
        <v>7.41</v>
      </c>
      <c r="EE111" s="7">
        <v>59.79</v>
      </c>
      <c r="EF111" s="7">
        <v>74.47</v>
      </c>
      <c r="EG111" s="7">
        <v>70.6</v>
      </c>
      <c r="EH111" s="7">
        <v>8.48</v>
      </c>
      <c r="EI111" s="9"/>
      <c r="EJ111" s="7">
        <v>131.57</v>
      </c>
      <c r="EK111" s="14">
        <f t="shared" si="16"/>
        <v>37.96738927</v>
      </c>
      <c r="EL111" s="11" t="str">
        <f t="shared" si="17"/>
        <v>C3b</v>
      </c>
      <c r="EM111" s="7">
        <v>139.6</v>
      </c>
      <c r="EN111" s="7">
        <v>3.94</v>
      </c>
      <c r="EO111" s="7">
        <v>63.8</v>
      </c>
      <c r="EP111" s="7">
        <v>18.8</v>
      </c>
      <c r="EQ111" s="7">
        <v>55.3</v>
      </c>
      <c r="ER111" s="7">
        <v>14.2</v>
      </c>
      <c r="ES111" s="7">
        <v>5.5</v>
      </c>
      <c r="ET111" s="7">
        <v>61.0</v>
      </c>
      <c r="EU111" s="11">
        <f t="shared" si="18"/>
        <v>94.93144895</v>
      </c>
      <c r="EV111" s="11" t="str">
        <f t="shared" si="19"/>
        <v>C1</v>
      </c>
      <c r="EW111" s="7">
        <v>136.3</v>
      </c>
      <c r="EX111" s="7">
        <v>4.59</v>
      </c>
      <c r="EY111" s="9">
        <f t="shared" si="20"/>
        <v>0.1375160927</v>
      </c>
      <c r="EZ111" s="9">
        <f t="shared" si="21"/>
        <v>0.4656750521</v>
      </c>
      <c r="FA111" s="9" t="str">
        <f t="shared" si="22"/>
        <v>Благоприятный</v>
      </c>
      <c r="FB111" s="1" t="s">
        <v>150</v>
      </c>
      <c r="FC111" s="1" t="s">
        <v>148</v>
      </c>
    </row>
    <row r="112">
      <c r="A112" s="7">
        <v>111.0</v>
      </c>
      <c r="B112" s="21">
        <v>70.0</v>
      </c>
      <c r="C112" s="25">
        <v>9131.0</v>
      </c>
      <c r="D112" s="1" t="s">
        <v>148</v>
      </c>
      <c r="E112" s="7">
        <v>52.0</v>
      </c>
      <c r="F112" s="1" t="s">
        <v>149</v>
      </c>
      <c r="G112" s="7"/>
      <c r="H112" s="7">
        <v>27.0</v>
      </c>
      <c r="I112" s="1" t="s">
        <v>154</v>
      </c>
      <c r="J112" s="1" t="s">
        <v>150</v>
      </c>
      <c r="K112" s="9"/>
      <c r="L112" s="1" t="s">
        <v>154</v>
      </c>
      <c r="M112" s="1" t="s">
        <v>154</v>
      </c>
      <c r="N112" s="1" t="s">
        <v>178</v>
      </c>
      <c r="O112" s="1" t="str">
        <f t="shared" si="1"/>
        <v>нет</v>
      </c>
      <c r="P112" s="1" t="s">
        <v>154</v>
      </c>
      <c r="Q112" s="1" t="s">
        <v>154</v>
      </c>
      <c r="R112" s="7">
        <v>2.0</v>
      </c>
      <c r="S112" s="1" t="s">
        <v>150</v>
      </c>
      <c r="T112" s="9"/>
      <c r="U112" s="9"/>
      <c r="V112" s="9"/>
      <c r="W112" s="9"/>
      <c r="X112" s="9"/>
      <c r="Y112" s="1" t="s">
        <v>150</v>
      </c>
      <c r="Z112" s="9"/>
      <c r="AA112" s="9"/>
      <c r="AB112" s="9"/>
      <c r="AC112" s="9"/>
      <c r="AD112" s="26" t="s">
        <v>370</v>
      </c>
      <c r="AE112" s="1" t="s">
        <v>150</v>
      </c>
      <c r="AF112" s="7">
        <v>0.0</v>
      </c>
      <c r="AG112" s="27" t="s">
        <v>162</v>
      </c>
      <c r="AH112" s="27" t="s">
        <v>152</v>
      </c>
      <c r="AI112" s="1" t="s">
        <v>371</v>
      </c>
      <c r="AJ112" s="7">
        <v>1.0</v>
      </c>
      <c r="AK112" s="1" t="s">
        <v>5</v>
      </c>
      <c r="AL112" s="1" t="s">
        <v>154</v>
      </c>
      <c r="AM112" s="1" t="s">
        <v>278</v>
      </c>
      <c r="AN112" s="1">
        <v>15.0</v>
      </c>
      <c r="AO112" s="1" t="str">
        <f t="shared" si="2"/>
        <v>нет</v>
      </c>
      <c r="AP112" s="7">
        <v>180.0</v>
      </c>
      <c r="AQ112" s="7">
        <v>108.0</v>
      </c>
      <c r="AR112" s="9">
        <f t="shared" si="3"/>
        <v>33.33333333</v>
      </c>
      <c r="AS112" s="7" t="str">
        <f t="shared" si="4"/>
        <v>Ожирение I степени</v>
      </c>
      <c r="AT112" s="7">
        <v>116.0</v>
      </c>
      <c r="AU112" s="7">
        <v>80.0</v>
      </c>
      <c r="AV112" s="3">
        <v>92.0</v>
      </c>
      <c r="AW112" s="7">
        <v>110.0</v>
      </c>
      <c r="AX112" s="7">
        <v>38.0</v>
      </c>
      <c r="AY112" s="7">
        <v>24.0</v>
      </c>
      <c r="AZ112" s="7">
        <v>92.0</v>
      </c>
      <c r="BA112" s="10" t="str">
        <f t="shared" si="5"/>
        <v>да</v>
      </c>
      <c r="BB112" s="7">
        <v>98.0</v>
      </c>
      <c r="BC112" s="11"/>
      <c r="BD112" s="12" t="str">
        <f t="shared" si="6"/>
        <v>#DIV/0!</v>
      </c>
      <c r="BE112" s="12">
        <f t="shared" si="7"/>
        <v>1</v>
      </c>
      <c r="BF112" s="12">
        <f t="shared" si="8"/>
        <v>5</v>
      </c>
      <c r="BG112" s="15" t="s">
        <v>154</v>
      </c>
      <c r="BH112" s="15" t="s">
        <v>285</v>
      </c>
      <c r="BI112" s="15" t="s">
        <v>154</v>
      </c>
      <c r="BJ112" s="15" t="s">
        <v>372</v>
      </c>
      <c r="BK112" s="15" t="s">
        <v>150</v>
      </c>
      <c r="BL112" s="9"/>
      <c r="BM112" s="15" t="s">
        <v>154</v>
      </c>
      <c r="BN112" s="15" t="s">
        <v>155</v>
      </c>
      <c r="BO112" s="15" t="s">
        <v>154</v>
      </c>
      <c r="BP112" s="15" t="s">
        <v>157</v>
      </c>
      <c r="BQ112" s="9"/>
      <c r="BR112" s="15" t="s">
        <v>154</v>
      </c>
      <c r="BS112" s="15" t="s">
        <v>373</v>
      </c>
      <c r="BT112" s="30"/>
      <c r="BU112" s="15" t="s">
        <v>157</v>
      </c>
      <c r="BV112" s="7">
        <v>16.0</v>
      </c>
      <c r="BW112" s="15" t="s">
        <v>154</v>
      </c>
      <c r="BX112" s="10" t="s">
        <v>154</v>
      </c>
      <c r="BY112" s="1" t="s">
        <v>173</v>
      </c>
      <c r="BZ112" s="29" t="s">
        <v>158</v>
      </c>
      <c r="CA112" s="9"/>
      <c r="CB112" s="1" t="s">
        <v>150</v>
      </c>
      <c r="CC112" s="1" t="s">
        <v>150</v>
      </c>
      <c r="CD112" s="9"/>
      <c r="CE112" s="1" t="s">
        <v>177</v>
      </c>
      <c r="CG112" s="1" t="s">
        <v>154</v>
      </c>
      <c r="CH112" s="1" t="s">
        <v>150</v>
      </c>
      <c r="CI112" s="1" t="s">
        <v>150</v>
      </c>
      <c r="CJ112" s="1" t="s">
        <v>150</v>
      </c>
      <c r="CK112" s="1" t="s">
        <v>150</v>
      </c>
      <c r="CL112" s="1" t="s">
        <v>210</v>
      </c>
      <c r="CM112" s="7">
        <v>8.3</v>
      </c>
      <c r="CN112" s="7">
        <v>80.5</v>
      </c>
      <c r="CO112" s="7">
        <f t="shared" si="23"/>
        <v>6.6815</v>
      </c>
      <c r="CP112" s="7">
        <v>10.8</v>
      </c>
      <c r="CQ112" s="7">
        <f t="shared" si="10"/>
        <v>0.721602</v>
      </c>
      <c r="CR112" s="7">
        <v>8.6</v>
      </c>
      <c r="CS112" s="7">
        <f t="shared" si="11"/>
        <v>0.062057772</v>
      </c>
      <c r="CT112" s="7">
        <v>0.0</v>
      </c>
      <c r="CU112" s="7">
        <f t="shared" si="12"/>
        <v>0</v>
      </c>
      <c r="CV112" s="7">
        <f t="shared" si="13"/>
        <v>9.259259259</v>
      </c>
      <c r="CW112" s="7">
        <v>5.95</v>
      </c>
      <c r="CX112" s="7">
        <v>166.0</v>
      </c>
      <c r="CY112" s="7" t="str">
        <f t="shared" si="14"/>
        <v>Норма</v>
      </c>
      <c r="CZ112" s="9"/>
      <c r="DA112" s="7">
        <v>214.0</v>
      </c>
      <c r="DB112" s="7">
        <v>11.5</v>
      </c>
      <c r="DC112" s="7">
        <v>9.4</v>
      </c>
      <c r="DD112" s="7">
        <v>75.7</v>
      </c>
      <c r="DE112" s="7"/>
      <c r="DF112" s="7">
        <v>15.0</v>
      </c>
      <c r="DG112" s="7"/>
      <c r="DH112" s="7">
        <v>6.8</v>
      </c>
      <c r="DI112" s="7"/>
      <c r="DJ112" s="7">
        <v>1.8</v>
      </c>
      <c r="DK112" s="7"/>
      <c r="DL112" s="7"/>
      <c r="DM112" s="7">
        <v>4.97</v>
      </c>
      <c r="DN112" s="7">
        <v>139.0</v>
      </c>
      <c r="DO112" s="7" t="str">
        <f t="shared" si="15"/>
        <v>Норма</v>
      </c>
      <c r="DP112" s="9"/>
      <c r="DQ112" s="7">
        <v>125.0</v>
      </c>
      <c r="DR112" s="7">
        <v>12.5</v>
      </c>
      <c r="DS112" s="13">
        <v>355.0</v>
      </c>
      <c r="DT112" s="9"/>
      <c r="DU112" s="7">
        <v>12.4</v>
      </c>
      <c r="DV112" s="7">
        <v>1.06</v>
      </c>
      <c r="DW112" s="1" t="s">
        <v>320</v>
      </c>
      <c r="DX112" s="9"/>
      <c r="DY112" s="9"/>
      <c r="DZ112" s="7">
        <v>13.1</v>
      </c>
      <c r="EA112" s="7">
        <v>1.12</v>
      </c>
      <c r="EB112" s="7"/>
      <c r="EC112" s="7">
        <v>12.01</v>
      </c>
      <c r="ED112" s="7">
        <v>7.46</v>
      </c>
      <c r="EE112" s="7">
        <v>96.93</v>
      </c>
      <c r="EF112" s="7">
        <v>59.73</v>
      </c>
      <c r="EG112" s="7">
        <v>79.7</v>
      </c>
      <c r="EH112" s="7">
        <v>12.53</v>
      </c>
      <c r="EI112" s="7">
        <v>2.56</v>
      </c>
      <c r="EJ112" s="7">
        <v>126.65</v>
      </c>
      <c r="EK112" s="14">
        <f t="shared" si="16"/>
        <v>42.05597722</v>
      </c>
      <c r="EL112" s="11" t="str">
        <f t="shared" si="17"/>
        <v>C3b</v>
      </c>
      <c r="EM112" s="7">
        <v>132.8</v>
      </c>
      <c r="EN112" s="7">
        <v>4.3</v>
      </c>
      <c r="EO112" s="7">
        <v>53.8</v>
      </c>
      <c r="EP112" s="7">
        <v>20.3</v>
      </c>
      <c r="EQ112" s="7">
        <v>65.1</v>
      </c>
      <c r="ER112" s="7">
        <v>16.0</v>
      </c>
      <c r="ES112" s="7">
        <v>4.9</v>
      </c>
      <c r="ET112" s="7">
        <v>95.0</v>
      </c>
      <c r="EU112" s="11">
        <f t="shared" si="18"/>
        <v>59.54010137</v>
      </c>
      <c r="EV112" s="11" t="str">
        <f t="shared" si="19"/>
        <v>C3a</v>
      </c>
      <c r="EW112" s="9"/>
      <c r="EX112" s="9"/>
      <c r="EY112" s="9">
        <f t="shared" si="20"/>
        <v>1.544096333</v>
      </c>
      <c r="EZ112" s="9">
        <f t="shared" si="21"/>
        <v>0.1759405773</v>
      </c>
      <c r="FA112" s="9" t="str">
        <f t="shared" si="22"/>
        <v>Благоприятный</v>
      </c>
      <c r="FB112" s="1" t="s">
        <v>150</v>
      </c>
      <c r="FC112" s="1" t="s">
        <v>148</v>
      </c>
    </row>
    <row r="113">
      <c r="A113" s="7">
        <v>112.0</v>
      </c>
      <c r="B113" s="21">
        <v>71.0</v>
      </c>
      <c r="C113" s="25">
        <v>9737.0</v>
      </c>
      <c r="D113" s="1" t="s">
        <v>148</v>
      </c>
      <c r="E113" s="7">
        <v>62.0</v>
      </c>
      <c r="F113" s="1" t="s">
        <v>161</v>
      </c>
      <c r="G113" s="7"/>
      <c r="H113" s="7">
        <v>27.0</v>
      </c>
      <c r="I113" s="1" t="s">
        <v>150</v>
      </c>
      <c r="J113" s="1" t="s">
        <v>150</v>
      </c>
      <c r="K113" s="9"/>
      <c r="L113" s="1" t="s">
        <v>150</v>
      </c>
      <c r="M113" s="1" t="s">
        <v>150</v>
      </c>
      <c r="N113" s="9"/>
      <c r="O113" s="1" t="str">
        <f t="shared" si="1"/>
        <v>нет</v>
      </c>
      <c r="P113" s="1" t="s">
        <v>150</v>
      </c>
      <c r="Q113" s="1" t="s">
        <v>150</v>
      </c>
      <c r="R113" s="9"/>
      <c r="S113" s="1" t="s">
        <v>150</v>
      </c>
      <c r="T113" s="9"/>
      <c r="U113" s="9"/>
      <c r="V113" s="9"/>
      <c r="W113" s="9"/>
      <c r="X113" s="9"/>
      <c r="Y113" s="1" t="s">
        <v>150</v>
      </c>
      <c r="Z113" s="9"/>
      <c r="AA113" s="9"/>
      <c r="AB113" s="9"/>
      <c r="AC113" s="9"/>
      <c r="AD113" s="26" t="s">
        <v>374</v>
      </c>
      <c r="AE113" s="1" t="s">
        <v>150</v>
      </c>
      <c r="AF113" s="7">
        <v>0.0</v>
      </c>
      <c r="AG113" s="27" t="s">
        <v>162</v>
      </c>
      <c r="AH113" s="27" t="s">
        <v>152</v>
      </c>
      <c r="AI113" s="1" t="s">
        <v>168</v>
      </c>
      <c r="AJ113" s="7">
        <v>3.0</v>
      </c>
      <c r="AK113" s="1" t="s">
        <v>5</v>
      </c>
      <c r="AL113" s="1" t="s">
        <v>150</v>
      </c>
      <c r="AM113" s="9"/>
      <c r="AN113" s="1">
        <v>15.0</v>
      </c>
      <c r="AO113" s="1" t="str">
        <f t="shared" si="2"/>
        <v>нет</v>
      </c>
      <c r="AP113" s="7">
        <v>160.0</v>
      </c>
      <c r="AQ113" s="7">
        <v>70.0</v>
      </c>
      <c r="AR113" s="9">
        <f t="shared" si="3"/>
        <v>27.34375</v>
      </c>
      <c r="AS113" s="7" t="str">
        <f t="shared" si="4"/>
        <v>Избыточный вес (предожирение)</v>
      </c>
      <c r="AT113" s="7">
        <v>117.0</v>
      </c>
      <c r="AU113" s="7">
        <v>78.0</v>
      </c>
      <c r="AV113" s="3">
        <v>91.0</v>
      </c>
      <c r="AW113" s="7">
        <v>111.0</v>
      </c>
      <c r="AX113" s="7">
        <v>37.5</v>
      </c>
      <c r="AY113" s="7">
        <v>19.0</v>
      </c>
      <c r="AZ113" s="7">
        <v>79.0</v>
      </c>
      <c r="BA113" s="10" t="str">
        <f t="shared" si="5"/>
        <v>да</v>
      </c>
      <c r="BB113" s="7">
        <v>89.0</v>
      </c>
      <c r="BC113" s="11"/>
      <c r="BD113" s="12" t="str">
        <f t="shared" si="6"/>
        <v>#DIV/0!</v>
      </c>
      <c r="BE113" s="12">
        <f t="shared" si="7"/>
        <v>0</v>
      </c>
      <c r="BF113" s="12">
        <f t="shared" si="8"/>
        <v>5</v>
      </c>
      <c r="BG113" s="15" t="s">
        <v>154</v>
      </c>
      <c r="BH113" s="15" t="s">
        <v>175</v>
      </c>
      <c r="BI113" s="1" t="s">
        <v>154</v>
      </c>
      <c r="BJ113" s="1" t="s">
        <v>285</v>
      </c>
      <c r="BK113" s="1" t="s">
        <v>150</v>
      </c>
      <c r="BL113" s="9"/>
      <c r="BM113" s="1" t="s">
        <v>154</v>
      </c>
      <c r="BN113" s="1" t="s">
        <v>155</v>
      </c>
      <c r="BO113" s="1" t="s">
        <v>154</v>
      </c>
      <c r="BP113" s="1" t="s">
        <v>157</v>
      </c>
      <c r="BQ113" s="9"/>
      <c r="BR113" s="1" t="s">
        <v>154</v>
      </c>
      <c r="BS113" s="1" t="s">
        <v>375</v>
      </c>
      <c r="BT113" s="28">
        <v>24.0</v>
      </c>
      <c r="BU113" s="1" t="s">
        <v>303</v>
      </c>
      <c r="BV113" s="7">
        <v>30.0</v>
      </c>
      <c r="BW113" s="1" t="s">
        <v>150</v>
      </c>
      <c r="BX113" s="10" t="s">
        <v>154</v>
      </c>
      <c r="BY113" s="1" t="s">
        <v>258</v>
      </c>
      <c r="BZ113" s="29" t="s">
        <v>158</v>
      </c>
      <c r="CA113" s="9"/>
      <c r="CB113" s="1" t="s">
        <v>150</v>
      </c>
      <c r="CC113" s="1" t="s">
        <v>150</v>
      </c>
      <c r="CD113" s="9"/>
      <c r="CE113" s="1" t="s">
        <v>150</v>
      </c>
      <c r="CF113" s="1" t="s">
        <v>240</v>
      </c>
      <c r="CG113" s="1" t="s">
        <v>154</v>
      </c>
      <c r="CH113" s="1" t="s">
        <v>150</v>
      </c>
      <c r="CI113" s="1" t="s">
        <v>150</v>
      </c>
      <c r="CJ113" s="1" t="s">
        <v>150</v>
      </c>
      <c r="CK113" s="1" t="s">
        <v>150</v>
      </c>
      <c r="CL113" s="1" t="s">
        <v>276</v>
      </c>
      <c r="CM113" s="7">
        <v>11.3</v>
      </c>
      <c r="CN113" s="7">
        <v>94.1</v>
      </c>
      <c r="CO113" s="7">
        <f t="shared" si="23"/>
        <v>10.6333</v>
      </c>
      <c r="CP113" s="7">
        <v>3.5</v>
      </c>
      <c r="CQ113" s="7">
        <f t="shared" si="10"/>
        <v>0.3721655</v>
      </c>
      <c r="CR113" s="7">
        <v>2.3</v>
      </c>
      <c r="CS113" s="7">
        <f t="shared" si="11"/>
        <v>0.0085598065</v>
      </c>
      <c r="CT113" s="7">
        <v>0.0</v>
      </c>
      <c r="CU113" s="7">
        <f t="shared" si="12"/>
        <v>0</v>
      </c>
      <c r="CV113" s="7">
        <f t="shared" si="13"/>
        <v>28.57142857</v>
      </c>
      <c r="CW113" s="7">
        <v>4.58</v>
      </c>
      <c r="CX113" s="7">
        <v>131.0</v>
      </c>
      <c r="CY113" s="7" t="str">
        <f t="shared" si="14"/>
        <v>Норма</v>
      </c>
      <c r="CZ113" s="9"/>
      <c r="DA113" s="7">
        <v>230.0</v>
      </c>
      <c r="DB113" s="7">
        <v>157.9</v>
      </c>
      <c r="DC113" s="7">
        <v>14.83</v>
      </c>
      <c r="DD113" s="7">
        <v>94.3</v>
      </c>
      <c r="DE113" s="7"/>
      <c r="DF113" s="7">
        <v>2.5</v>
      </c>
      <c r="DG113" s="7"/>
      <c r="DH113" s="7">
        <v>3.2</v>
      </c>
      <c r="DI113" s="7"/>
      <c r="DJ113" s="7">
        <v>0.0</v>
      </c>
      <c r="DK113" s="7"/>
      <c r="DL113" s="7"/>
      <c r="DM113" s="7">
        <v>4.34</v>
      </c>
      <c r="DN113" s="7">
        <v>122.0</v>
      </c>
      <c r="DO113" s="7" t="str">
        <f t="shared" si="15"/>
        <v>Легкая степень</v>
      </c>
      <c r="DP113" s="9"/>
      <c r="DQ113" s="7">
        <v>85.0</v>
      </c>
      <c r="DR113" s="7">
        <v>8.0</v>
      </c>
      <c r="DS113" s="13">
        <v>384.0</v>
      </c>
      <c r="DT113" s="7">
        <v>27.4</v>
      </c>
      <c r="DU113" s="7">
        <v>12.0</v>
      </c>
      <c r="DV113" s="7">
        <v>0.97</v>
      </c>
      <c r="DW113" s="1" t="s">
        <v>320</v>
      </c>
      <c r="DX113" s="9"/>
      <c r="DY113" s="7">
        <v>20.4</v>
      </c>
      <c r="DZ113" s="7">
        <v>11.0</v>
      </c>
      <c r="EA113" s="7">
        <v>0.94</v>
      </c>
      <c r="EB113" s="7"/>
      <c r="EC113" s="7">
        <v>6.05</v>
      </c>
      <c r="ED113" s="7">
        <v>7.93</v>
      </c>
      <c r="EE113" s="7">
        <v>37.0</v>
      </c>
      <c r="EF113" s="7">
        <v>60.2</v>
      </c>
      <c r="EG113" s="7">
        <v>69.6</v>
      </c>
      <c r="EH113" s="7">
        <v>6.6</v>
      </c>
      <c r="EI113" s="7">
        <v>3.5</v>
      </c>
      <c r="EJ113" s="7">
        <v>65.0</v>
      </c>
      <c r="EK113" s="14">
        <f t="shared" si="16"/>
        <v>87.8127636</v>
      </c>
      <c r="EL113" s="11" t="str">
        <f t="shared" si="17"/>
        <v>C2</v>
      </c>
      <c r="EM113" s="9"/>
      <c r="EN113" s="9"/>
      <c r="EO113" s="7">
        <v>79.0</v>
      </c>
      <c r="EP113" s="7">
        <v>28.2</v>
      </c>
      <c r="EQ113" s="7">
        <v>54.0</v>
      </c>
      <c r="ER113" s="7">
        <v>10.5</v>
      </c>
      <c r="ES113" s="7">
        <v>4.8</v>
      </c>
      <c r="ET113" s="7">
        <v>65.0</v>
      </c>
      <c r="EU113" s="11">
        <f t="shared" si="18"/>
        <v>87.8127636</v>
      </c>
      <c r="EV113" s="11" t="str">
        <f t="shared" si="19"/>
        <v>C2</v>
      </c>
      <c r="EW113" s="7">
        <v>141.1</v>
      </c>
      <c r="EX113" s="7">
        <v>4.91</v>
      </c>
      <c r="EY113" s="9">
        <f t="shared" si="20"/>
        <v>0.245449375</v>
      </c>
      <c r="EZ113" s="9">
        <f t="shared" si="21"/>
        <v>0.4389438781</v>
      </c>
      <c r="FA113" s="9" t="str">
        <f t="shared" si="22"/>
        <v>Благоприятный</v>
      </c>
      <c r="FB113" s="1" t="s">
        <v>150</v>
      </c>
      <c r="FC113" s="1" t="s">
        <v>148</v>
      </c>
    </row>
    <row r="114">
      <c r="A114" s="7">
        <v>113.0</v>
      </c>
      <c r="B114" s="21">
        <v>72.0</v>
      </c>
      <c r="C114" s="25">
        <v>10474.0</v>
      </c>
      <c r="D114" s="1" t="s">
        <v>148</v>
      </c>
      <c r="E114" s="7">
        <v>48.0</v>
      </c>
      <c r="F114" s="1" t="s">
        <v>161</v>
      </c>
      <c r="G114" s="7"/>
      <c r="H114" s="7">
        <v>16.0</v>
      </c>
      <c r="I114" s="1" t="s">
        <v>150</v>
      </c>
      <c r="J114" s="1" t="s">
        <v>150</v>
      </c>
      <c r="K114" s="9"/>
      <c r="L114" s="1" t="s">
        <v>150</v>
      </c>
      <c r="M114" s="1" t="s">
        <v>150</v>
      </c>
      <c r="N114" s="9"/>
      <c r="O114" s="1" t="str">
        <f t="shared" si="1"/>
        <v>нет</v>
      </c>
      <c r="P114" s="1" t="s">
        <v>150</v>
      </c>
      <c r="Q114" s="1" t="s">
        <v>154</v>
      </c>
      <c r="R114" s="7">
        <v>2.0</v>
      </c>
      <c r="S114" s="1" t="s">
        <v>150</v>
      </c>
      <c r="T114" s="9"/>
      <c r="U114" s="9"/>
      <c r="V114" s="9"/>
      <c r="W114" s="9"/>
      <c r="X114" s="9"/>
      <c r="Y114" s="1" t="s">
        <v>150</v>
      </c>
      <c r="Z114" s="9"/>
      <c r="AA114" s="9"/>
      <c r="AB114" s="9"/>
      <c r="AC114" s="9"/>
      <c r="AD114" s="26"/>
      <c r="AE114" s="1" t="s">
        <v>150</v>
      </c>
      <c r="AF114" s="7">
        <v>0.0</v>
      </c>
      <c r="AG114" s="27" t="s">
        <v>162</v>
      </c>
      <c r="AH114" s="27" t="s">
        <v>152</v>
      </c>
      <c r="AI114" s="1" t="s">
        <v>153</v>
      </c>
      <c r="AJ114" s="7">
        <v>2.0</v>
      </c>
      <c r="AK114" s="1" t="s">
        <v>5</v>
      </c>
      <c r="AL114" s="1" t="s">
        <v>150</v>
      </c>
      <c r="AM114" s="9"/>
      <c r="AN114" s="1">
        <v>15.0</v>
      </c>
      <c r="AO114" s="1" t="str">
        <f t="shared" si="2"/>
        <v>нет</v>
      </c>
      <c r="AP114" s="7">
        <v>170.0</v>
      </c>
      <c r="AQ114" s="7">
        <v>82.0</v>
      </c>
      <c r="AR114" s="9">
        <f t="shared" si="3"/>
        <v>28.37370242</v>
      </c>
      <c r="AS114" s="7" t="str">
        <f t="shared" si="4"/>
        <v>Избыточный вес (предожирение)</v>
      </c>
      <c r="AT114" s="7">
        <v>120.0</v>
      </c>
      <c r="AU114" s="7">
        <v>80.0</v>
      </c>
      <c r="AV114" s="3">
        <v>93.0</v>
      </c>
      <c r="AW114" s="7">
        <v>88.0</v>
      </c>
      <c r="AX114" s="7">
        <v>36.7</v>
      </c>
      <c r="AY114" s="7">
        <v>16.0</v>
      </c>
      <c r="AZ114" s="7">
        <v>92.0</v>
      </c>
      <c r="BA114" s="10" t="str">
        <f t="shared" si="5"/>
        <v>да</v>
      </c>
      <c r="BB114" s="7">
        <v>99.0</v>
      </c>
      <c r="BC114" s="11"/>
      <c r="BD114" s="12" t="str">
        <f t="shared" si="6"/>
        <v>#DIV/0!</v>
      </c>
      <c r="BE114" s="12">
        <f t="shared" si="7"/>
        <v>0</v>
      </c>
      <c r="BF114" s="12">
        <f t="shared" si="8"/>
        <v>2</v>
      </c>
      <c r="BG114" s="15" t="s">
        <v>154</v>
      </c>
      <c r="BH114" s="15" t="s">
        <v>175</v>
      </c>
      <c r="BI114" s="15" t="s">
        <v>154</v>
      </c>
      <c r="BJ114" s="15" t="s">
        <v>285</v>
      </c>
      <c r="BK114" s="15" t="s">
        <v>150</v>
      </c>
      <c r="BL114" s="9"/>
      <c r="BM114" s="15" t="s">
        <v>154</v>
      </c>
      <c r="BN114" s="15" t="s">
        <v>155</v>
      </c>
      <c r="BO114" s="15" t="s">
        <v>154</v>
      </c>
      <c r="BP114" s="15" t="s">
        <v>170</v>
      </c>
      <c r="BQ114" s="9"/>
      <c r="BR114" s="15" t="s">
        <v>154</v>
      </c>
      <c r="BS114" s="15" t="s">
        <v>319</v>
      </c>
      <c r="BT114" s="30"/>
      <c r="BU114" s="15" t="s">
        <v>157</v>
      </c>
      <c r="BV114" s="7">
        <v>16.0</v>
      </c>
      <c r="BW114" s="15" t="s">
        <v>150</v>
      </c>
      <c r="BX114" s="10" t="s">
        <v>154</v>
      </c>
      <c r="BY114" s="1" t="s">
        <v>269</v>
      </c>
      <c r="BZ114" s="29" t="s">
        <v>158</v>
      </c>
      <c r="CA114" s="1" t="s">
        <v>176</v>
      </c>
      <c r="CB114" s="1" t="s">
        <v>150</v>
      </c>
      <c r="CC114" s="1" t="s">
        <v>150</v>
      </c>
      <c r="CD114" s="9"/>
      <c r="CE114" s="1" t="s">
        <v>150</v>
      </c>
      <c r="CF114" s="1" t="s">
        <v>150</v>
      </c>
      <c r="CG114" s="1" t="s">
        <v>150</v>
      </c>
      <c r="CH114" s="1" t="s">
        <v>150</v>
      </c>
      <c r="CI114" s="1" t="s">
        <v>150</v>
      </c>
      <c r="CJ114" s="1" t="s">
        <v>150</v>
      </c>
      <c r="CK114" s="1" t="s">
        <v>150</v>
      </c>
      <c r="CL114" s="9"/>
      <c r="CM114" s="7">
        <v>6.5</v>
      </c>
      <c r="CN114" s="7">
        <v>77.5</v>
      </c>
      <c r="CO114" s="7">
        <f t="shared" si="23"/>
        <v>5.0375</v>
      </c>
      <c r="CP114" s="7">
        <v>17.0</v>
      </c>
      <c r="CQ114" s="7">
        <f t="shared" si="10"/>
        <v>0.856375</v>
      </c>
      <c r="CR114" s="7">
        <v>4.9</v>
      </c>
      <c r="CS114" s="7">
        <f t="shared" si="11"/>
        <v>0.041962375</v>
      </c>
      <c r="CT114" s="7">
        <v>0.3</v>
      </c>
      <c r="CU114" s="7">
        <f t="shared" si="12"/>
        <v>0.000125887125</v>
      </c>
      <c r="CV114" s="7">
        <f t="shared" si="13"/>
        <v>5.882352941</v>
      </c>
      <c r="CW114" s="7">
        <v>4.54</v>
      </c>
      <c r="CX114" s="7">
        <v>136.0</v>
      </c>
      <c r="CY114" s="7" t="str">
        <f t="shared" si="14"/>
        <v>Норма</v>
      </c>
      <c r="CZ114" s="7">
        <v>15.0</v>
      </c>
      <c r="DA114" s="7">
        <v>129.0</v>
      </c>
      <c r="DB114" s="7">
        <v>29.2</v>
      </c>
      <c r="DC114" s="7">
        <v>13.0</v>
      </c>
      <c r="DD114" s="7">
        <v>76.4</v>
      </c>
      <c r="DE114" s="7"/>
      <c r="DF114" s="7">
        <v>19.8</v>
      </c>
      <c r="DG114" s="7"/>
      <c r="DH114" s="7">
        <v>3.3</v>
      </c>
      <c r="DI114" s="7"/>
      <c r="DJ114" s="7">
        <v>0.5</v>
      </c>
      <c r="DK114" s="7"/>
      <c r="DL114" s="7"/>
      <c r="DM114" s="7">
        <v>4.76</v>
      </c>
      <c r="DN114" s="7">
        <v>139.0</v>
      </c>
      <c r="DO114" s="7" t="str">
        <f t="shared" si="15"/>
        <v>Норма</v>
      </c>
      <c r="DP114" s="7">
        <v>15.0</v>
      </c>
      <c r="DQ114" s="7">
        <v>298.0</v>
      </c>
      <c r="DR114" s="7">
        <v>15.4</v>
      </c>
      <c r="DS114" s="13">
        <v>509.0</v>
      </c>
      <c r="DT114" s="7">
        <v>42.9</v>
      </c>
      <c r="DU114" s="7">
        <v>12.6</v>
      </c>
      <c r="DV114" s="7">
        <v>1.08</v>
      </c>
      <c r="DW114" s="1" t="s">
        <v>320</v>
      </c>
      <c r="DX114" s="9"/>
      <c r="DY114" s="7">
        <v>31.3</v>
      </c>
      <c r="DZ114" s="7">
        <v>10.4</v>
      </c>
      <c r="EA114" s="7">
        <v>0.89</v>
      </c>
      <c r="EB114" s="7"/>
      <c r="EC114" s="7">
        <v>8.94</v>
      </c>
      <c r="ED114" s="7">
        <v>5.6</v>
      </c>
      <c r="EE114" s="7">
        <v>37.1</v>
      </c>
      <c r="EF114" s="7">
        <v>50.7</v>
      </c>
      <c r="EG114" s="7">
        <v>67.4</v>
      </c>
      <c r="EH114" s="7">
        <v>5.12</v>
      </c>
      <c r="EI114" s="7">
        <v>4.0</v>
      </c>
      <c r="EJ114" s="7">
        <v>92.0</v>
      </c>
      <c r="EK114" s="14">
        <f t="shared" si="16"/>
        <v>63.65916404</v>
      </c>
      <c r="EL114" s="11" t="str">
        <f t="shared" si="17"/>
        <v>C2</v>
      </c>
      <c r="EM114" s="7">
        <v>136.5</v>
      </c>
      <c r="EN114" s="7">
        <v>4.5</v>
      </c>
      <c r="EO114" s="7">
        <v>332.0</v>
      </c>
      <c r="EP114" s="7">
        <v>82.0</v>
      </c>
      <c r="EQ114" s="7">
        <v>63.0</v>
      </c>
      <c r="ER114" s="7">
        <v>9.8</v>
      </c>
      <c r="ES114" s="7">
        <v>4.5</v>
      </c>
      <c r="ET114" s="7">
        <v>71.0</v>
      </c>
      <c r="EU114" s="11">
        <f t="shared" si="18"/>
        <v>87.07812537</v>
      </c>
      <c r="EV114" s="11" t="str">
        <f t="shared" si="19"/>
        <v>C2</v>
      </c>
      <c r="EW114" s="7">
        <v>138.0</v>
      </c>
      <c r="EX114" s="7">
        <v>3.96</v>
      </c>
      <c r="EY114" s="9">
        <f t="shared" si="20"/>
        <v>2.465319965</v>
      </c>
      <c r="EZ114" s="9">
        <f t="shared" si="21"/>
        <v>0.07832542337</v>
      </c>
      <c r="FA114" s="9" t="str">
        <f t="shared" si="22"/>
        <v>Благоприятный</v>
      </c>
      <c r="FB114" s="1" t="s">
        <v>150</v>
      </c>
      <c r="FC114" s="1" t="s">
        <v>148</v>
      </c>
    </row>
    <row r="115">
      <c r="A115" s="7">
        <v>114.0</v>
      </c>
      <c r="B115" s="21">
        <v>73.0</v>
      </c>
      <c r="C115" s="25">
        <v>9980.0</v>
      </c>
      <c r="D115" s="1" t="s">
        <v>148</v>
      </c>
      <c r="E115" s="7">
        <v>66.0</v>
      </c>
      <c r="F115" s="1" t="s">
        <v>149</v>
      </c>
      <c r="G115" s="7"/>
      <c r="H115" s="7">
        <v>29.0</v>
      </c>
      <c r="I115" s="1" t="s">
        <v>150</v>
      </c>
      <c r="J115" s="1" t="s">
        <v>150</v>
      </c>
      <c r="K115" s="9"/>
      <c r="L115" s="1" t="s">
        <v>154</v>
      </c>
      <c r="M115" s="1" t="s">
        <v>154</v>
      </c>
      <c r="N115" s="1" t="s">
        <v>178</v>
      </c>
      <c r="O115" s="1" t="str">
        <f t="shared" si="1"/>
        <v>нет</v>
      </c>
      <c r="P115" s="1" t="s">
        <v>154</v>
      </c>
      <c r="Q115" s="1" t="s">
        <v>154</v>
      </c>
      <c r="R115" s="7">
        <v>3.0</v>
      </c>
      <c r="S115" s="1" t="s">
        <v>154</v>
      </c>
      <c r="T115" s="1" t="s">
        <v>265</v>
      </c>
      <c r="U115" s="9"/>
      <c r="V115" s="9"/>
      <c r="W115" s="9"/>
      <c r="X115" s="9"/>
      <c r="Y115" s="1" t="s">
        <v>150</v>
      </c>
      <c r="Z115" s="9"/>
      <c r="AA115" s="9"/>
      <c r="AB115" s="9"/>
      <c r="AC115" s="9"/>
      <c r="AD115" s="26" t="s">
        <v>376</v>
      </c>
      <c r="AE115" s="1" t="s">
        <v>150</v>
      </c>
      <c r="AF115" s="7">
        <v>0.0</v>
      </c>
      <c r="AG115" s="27" t="s">
        <v>162</v>
      </c>
      <c r="AH115" s="27" t="s">
        <v>152</v>
      </c>
      <c r="AI115" s="1" t="s">
        <v>168</v>
      </c>
      <c r="AJ115" s="7">
        <v>3.0</v>
      </c>
      <c r="AK115" s="1" t="s">
        <v>5</v>
      </c>
      <c r="AL115" s="1" t="s">
        <v>150</v>
      </c>
      <c r="AM115" s="9"/>
      <c r="AN115" s="1">
        <v>15.0</v>
      </c>
      <c r="AO115" s="1" t="str">
        <f t="shared" si="2"/>
        <v>нет</v>
      </c>
      <c r="AP115" s="7">
        <v>170.0</v>
      </c>
      <c r="AQ115" s="7">
        <v>90.0</v>
      </c>
      <c r="AR115" s="9">
        <f t="shared" si="3"/>
        <v>31.14186851</v>
      </c>
      <c r="AS115" s="7" t="str">
        <f t="shared" si="4"/>
        <v>Ожирение I степени</v>
      </c>
      <c r="AT115" s="7">
        <v>130.0</v>
      </c>
      <c r="AU115" s="7">
        <v>90.0</v>
      </c>
      <c r="AV115" s="3">
        <v>103.0</v>
      </c>
      <c r="AW115" s="7">
        <v>88.0</v>
      </c>
      <c r="AX115" s="7">
        <v>37.8</v>
      </c>
      <c r="AY115" s="7">
        <v>20.0</v>
      </c>
      <c r="AZ115" s="7">
        <v>90.0</v>
      </c>
      <c r="BA115" s="10" t="str">
        <f t="shared" si="5"/>
        <v>да</v>
      </c>
      <c r="BB115" s="7">
        <v>98.0</v>
      </c>
      <c r="BC115" s="11"/>
      <c r="BD115" s="12" t="str">
        <f t="shared" si="6"/>
        <v>#DIV/0!</v>
      </c>
      <c r="BE115" s="12">
        <f t="shared" si="7"/>
        <v>0</v>
      </c>
      <c r="BF115" s="12">
        <f t="shared" si="8"/>
        <v>3</v>
      </c>
      <c r="BG115" s="15" t="s">
        <v>154</v>
      </c>
      <c r="BH115" s="15" t="s">
        <v>175</v>
      </c>
      <c r="BI115" s="1" t="s">
        <v>154</v>
      </c>
      <c r="BJ115" s="1" t="s">
        <v>377</v>
      </c>
      <c r="BK115" s="1" t="s">
        <v>154</v>
      </c>
      <c r="BL115" s="1" t="s">
        <v>189</v>
      </c>
      <c r="BM115" s="1" t="s">
        <v>154</v>
      </c>
      <c r="BN115" s="1" t="s">
        <v>155</v>
      </c>
      <c r="BO115" s="1" t="s">
        <v>154</v>
      </c>
      <c r="BP115" s="1" t="s">
        <v>157</v>
      </c>
      <c r="BQ115" s="9"/>
      <c r="BR115" s="1" t="s">
        <v>154</v>
      </c>
      <c r="BS115" s="1" t="s">
        <v>378</v>
      </c>
      <c r="BT115" s="30"/>
      <c r="BU115" s="1" t="s">
        <v>157</v>
      </c>
      <c r="BV115" s="7">
        <v>20.0</v>
      </c>
      <c r="BW115" s="1" t="s">
        <v>150</v>
      </c>
      <c r="BX115" s="10" t="s">
        <v>154</v>
      </c>
      <c r="BY115" s="1" t="s">
        <v>379</v>
      </c>
      <c r="BZ115" s="29" t="s">
        <v>158</v>
      </c>
      <c r="CA115" s="1" t="s">
        <v>176</v>
      </c>
      <c r="CB115" s="1" t="s">
        <v>150</v>
      </c>
      <c r="CC115" s="1" t="s">
        <v>150</v>
      </c>
      <c r="CD115" s="1" t="s">
        <v>247</v>
      </c>
      <c r="CE115" s="1" t="s">
        <v>150</v>
      </c>
      <c r="CF115" s="1" t="s">
        <v>240</v>
      </c>
      <c r="CG115" s="1" t="s">
        <v>154</v>
      </c>
      <c r="CH115" s="1" t="s">
        <v>150</v>
      </c>
      <c r="CI115" s="1" t="s">
        <v>150</v>
      </c>
      <c r="CJ115" s="1" t="s">
        <v>150</v>
      </c>
      <c r="CK115" s="1" t="s">
        <v>150</v>
      </c>
      <c r="CL115" s="1" t="s">
        <v>380</v>
      </c>
      <c r="CM115" s="7">
        <v>13.1</v>
      </c>
      <c r="CN115" s="7">
        <v>88.7</v>
      </c>
      <c r="CO115" s="7">
        <f t="shared" si="23"/>
        <v>11.6197</v>
      </c>
      <c r="CP115" s="7">
        <v>4.9</v>
      </c>
      <c r="CQ115" s="7">
        <f t="shared" si="10"/>
        <v>0.5693653</v>
      </c>
      <c r="CR115" s="7">
        <v>6.3</v>
      </c>
      <c r="CS115" s="7">
        <f t="shared" si="11"/>
        <v>0.0358700139</v>
      </c>
      <c r="CT115" s="7">
        <v>0.0</v>
      </c>
      <c r="CU115" s="7">
        <f t="shared" si="12"/>
        <v>0</v>
      </c>
      <c r="CV115" s="7">
        <f t="shared" si="13"/>
        <v>20.40816327</v>
      </c>
      <c r="CW115" s="7">
        <v>5.65</v>
      </c>
      <c r="CX115" s="7">
        <v>162.0</v>
      </c>
      <c r="CY115" s="7" t="str">
        <f t="shared" si="14"/>
        <v>Норма</v>
      </c>
      <c r="CZ115" s="7">
        <v>13.0</v>
      </c>
      <c r="DA115" s="7">
        <v>198.0</v>
      </c>
      <c r="DB115" s="7">
        <v>54.4</v>
      </c>
      <c r="DC115" s="7">
        <v>3.1</v>
      </c>
      <c r="DD115" s="7">
        <v>80.5</v>
      </c>
      <c r="DE115" s="7"/>
      <c r="DF115" s="7">
        <v>13.5</v>
      </c>
      <c r="DG115" s="7"/>
      <c r="DH115" s="7">
        <v>5.8</v>
      </c>
      <c r="DI115" s="7"/>
      <c r="DJ115" s="7">
        <v>0.2</v>
      </c>
      <c r="DK115" s="7"/>
      <c r="DL115" s="7"/>
      <c r="DM115" s="7">
        <v>4.88</v>
      </c>
      <c r="DN115" s="7">
        <v>138.0</v>
      </c>
      <c r="DO115" s="7" t="str">
        <f t="shared" si="15"/>
        <v>Норма</v>
      </c>
      <c r="DP115" s="7">
        <v>16.0</v>
      </c>
      <c r="DQ115" s="7">
        <v>77.0</v>
      </c>
      <c r="DR115" s="7">
        <v>11.7</v>
      </c>
      <c r="DS115" s="13">
        <v>698.0</v>
      </c>
      <c r="DT115" s="7">
        <v>26.0</v>
      </c>
      <c r="DU115" s="7">
        <v>12.9</v>
      </c>
      <c r="DV115" s="7">
        <v>1.1</v>
      </c>
      <c r="DW115" s="1" t="s">
        <v>320</v>
      </c>
      <c r="DX115" s="9"/>
      <c r="DY115" s="7">
        <v>17.2</v>
      </c>
      <c r="DZ115" s="7">
        <v>11.2</v>
      </c>
      <c r="EA115" s="7">
        <v>0.96</v>
      </c>
      <c r="EB115" s="7"/>
      <c r="EC115" s="7">
        <v>13.57</v>
      </c>
      <c r="ED115" s="7">
        <v>8.78</v>
      </c>
      <c r="EE115" s="7">
        <v>47.15</v>
      </c>
      <c r="EF115" s="7">
        <v>26.89</v>
      </c>
      <c r="EG115" s="7">
        <v>68.9</v>
      </c>
      <c r="EH115" s="7">
        <v>12.73</v>
      </c>
      <c r="EI115" s="7">
        <v>4.2</v>
      </c>
      <c r="EJ115" s="7">
        <v>120.49</v>
      </c>
      <c r="EK115" s="14">
        <f t="shared" si="16"/>
        <v>40.48527775</v>
      </c>
      <c r="EL115" s="11" t="str">
        <f t="shared" si="17"/>
        <v>C3b</v>
      </c>
      <c r="EM115" s="7">
        <v>132.2</v>
      </c>
      <c r="EN115" s="7">
        <v>4.3</v>
      </c>
      <c r="EO115" s="7">
        <v>65.0</v>
      </c>
      <c r="EP115" s="7">
        <v>25.1</v>
      </c>
      <c r="EQ115" s="7">
        <v>49.6</v>
      </c>
      <c r="ER115" s="7">
        <v>14.5</v>
      </c>
      <c r="ES115" s="7">
        <v>4.9</v>
      </c>
      <c r="ET115" s="7">
        <v>70.0</v>
      </c>
      <c r="EU115" s="11">
        <f t="shared" si="18"/>
        <v>78.06266202</v>
      </c>
      <c r="EV115" s="11" t="str">
        <f t="shared" si="19"/>
        <v>C2</v>
      </c>
      <c r="EW115" s="9"/>
      <c r="EX115" s="9"/>
      <c r="EY115" s="9">
        <f t="shared" si="20"/>
        <v>1.79763345</v>
      </c>
      <c r="EZ115" s="9">
        <f t="shared" si="21"/>
        <v>0.1421393877</v>
      </c>
      <c r="FA115" s="9" t="str">
        <f t="shared" si="22"/>
        <v>Благоприятный</v>
      </c>
      <c r="FB115" s="1" t="s">
        <v>150</v>
      </c>
      <c r="FC115" s="1" t="s">
        <v>148</v>
      </c>
    </row>
    <row r="116">
      <c r="A116" s="7">
        <v>115.0</v>
      </c>
      <c r="B116" s="21">
        <v>74.0</v>
      </c>
      <c r="C116" s="25">
        <v>9185.0</v>
      </c>
      <c r="D116" s="1" t="s">
        <v>148</v>
      </c>
      <c r="E116" s="7">
        <v>39.0</v>
      </c>
      <c r="F116" s="1" t="s">
        <v>161</v>
      </c>
      <c r="G116" s="7"/>
      <c r="H116" s="7">
        <v>44.0</v>
      </c>
      <c r="I116" s="1" t="s">
        <v>154</v>
      </c>
      <c r="J116" s="1" t="s">
        <v>150</v>
      </c>
      <c r="K116" s="9"/>
      <c r="L116" s="1" t="s">
        <v>150</v>
      </c>
      <c r="M116" s="1" t="s">
        <v>150</v>
      </c>
      <c r="N116" s="9"/>
      <c r="O116" s="1" t="str">
        <f t="shared" si="1"/>
        <v>да</v>
      </c>
      <c r="P116" s="1" t="s">
        <v>150</v>
      </c>
      <c r="Q116" s="1" t="s">
        <v>150</v>
      </c>
      <c r="R116" s="9"/>
      <c r="S116" s="1" t="s">
        <v>150</v>
      </c>
      <c r="T116" s="9"/>
      <c r="U116" s="9"/>
      <c r="V116" s="9"/>
      <c r="W116" s="9"/>
      <c r="X116" s="1" t="s">
        <v>154</v>
      </c>
      <c r="Y116" s="1" t="s">
        <v>154</v>
      </c>
      <c r="Z116" s="7">
        <v>2.0</v>
      </c>
      <c r="AA116" s="9"/>
      <c r="AB116" s="9"/>
      <c r="AC116" s="9"/>
      <c r="AD116" s="26"/>
      <c r="AE116" s="1" t="s">
        <v>154</v>
      </c>
      <c r="AF116" s="7">
        <v>12.0</v>
      </c>
      <c r="AG116" s="27" t="s">
        <v>162</v>
      </c>
      <c r="AH116" s="27" t="s">
        <v>152</v>
      </c>
      <c r="AI116" s="1" t="s">
        <v>260</v>
      </c>
      <c r="AJ116" s="9"/>
      <c r="AK116" s="1" t="s">
        <v>5</v>
      </c>
      <c r="AL116" s="1" t="s">
        <v>154</v>
      </c>
      <c r="AM116" s="1" t="s">
        <v>261</v>
      </c>
      <c r="AN116" s="1">
        <v>15.0</v>
      </c>
      <c r="AO116" s="1" t="str">
        <f t="shared" si="2"/>
        <v>нет</v>
      </c>
      <c r="AP116" s="7">
        <v>170.0</v>
      </c>
      <c r="AQ116" s="7">
        <v>70.0</v>
      </c>
      <c r="AR116" s="9">
        <f t="shared" si="3"/>
        <v>24.22145329</v>
      </c>
      <c r="AS116" s="7" t="str">
        <f t="shared" si="4"/>
        <v>Нормальный вес</v>
      </c>
      <c r="AT116" s="7">
        <v>135.0</v>
      </c>
      <c r="AU116" s="7">
        <v>76.0</v>
      </c>
      <c r="AV116" s="3">
        <v>96.0</v>
      </c>
      <c r="AW116" s="7">
        <v>78.0</v>
      </c>
      <c r="AX116" s="7">
        <v>38.0</v>
      </c>
      <c r="AY116" s="7">
        <v>22.0</v>
      </c>
      <c r="AZ116" s="7">
        <v>89.0</v>
      </c>
      <c r="BA116" s="10" t="str">
        <f t="shared" si="5"/>
        <v>да</v>
      </c>
      <c r="BB116" s="7">
        <v>95.0</v>
      </c>
      <c r="BC116" s="11"/>
      <c r="BD116" s="12" t="str">
        <f t="shared" si="6"/>
        <v>#DIV/0!</v>
      </c>
      <c r="BE116" s="12">
        <f t="shared" si="7"/>
        <v>1</v>
      </c>
      <c r="BF116" s="12">
        <f t="shared" si="8"/>
        <v>5</v>
      </c>
      <c r="BG116" s="15" t="s">
        <v>150</v>
      </c>
      <c r="BH116" s="30"/>
      <c r="BI116" s="15" t="s">
        <v>154</v>
      </c>
      <c r="BJ116" s="15" t="s">
        <v>381</v>
      </c>
      <c r="BK116" s="15" t="s">
        <v>154</v>
      </c>
      <c r="BL116" s="15" t="s">
        <v>189</v>
      </c>
      <c r="BM116" s="15" t="s">
        <v>154</v>
      </c>
      <c r="BN116" s="15" t="s">
        <v>155</v>
      </c>
      <c r="BO116" s="15" t="s">
        <v>150</v>
      </c>
      <c r="BP116" s="9"/>
      <c r="BQ116" s="9"/>
      <c r="BR116" s="15" t="s">
        <v>154</v>
      </c>
      <c r="BS116" s="15" t="s">
        <v>306</v>
      </c>
      <c r="BT116" s="30"/>
      <c r="BU116" s="9"/>
      <c r="BV116" s="9"/>
      <c r="BW116" s="15" t="s">
        <v>150</v>
      </c>
      <c r="BX116" s="10" t="s">
        <v>154</v>
      </c>
      <c r="BY116" s="1" t="s">
        <v>382</v>
      </c>
      <c r="BZ116" s="29" t="s">
        <v>158</v>
      </c>
      <c r="CA116" s="9"/>
      <c r="CB116" s="1" t="s">
        <v>150</v>
      </c>
      <c r="CC116" s="1" t="s">
        <v>150</v>
      </c>
      <c r="CD116" s="9"/>
      <c r="CE116" s="1" t="s">
        <v>150</v>
      </c>
      <c r="CF116" s="1" t="s">
        <v>150</v>
      </c>
      <c r="CG116" s="1" t="s">
        <v>154</v>
      </c>
      <c r="CH116" s="1" t="s">
        <v>150</v>
      </c>
      <c r="CI116" s="1" t="s">
        <v>150</v>
      </c>
      <c r="CJ116" s="1" t="s">
        <v>150</v>
      </c>
      <c r="CK116" s="1" t="s">
        <v>150</v>
      </c>
      <c r="CL116" s="1" t="s">
        <v>383</v>
      </c>
      <c r="CM116" s="7">
        <v>6.0</v>
      </c>
      <c r="CN116" s="7">
        <v>84.4</v>
      </c>
      <c r="CO116" s="7">
        <f t="shared" si="23"/>
        <v>5.064</v>
      </c>
      <c r="CP116" s="7">
        <v>11.3</v>
      </c>
      <c r="CQ116" s="7">
        <f t="shared" si="10"/>
        <v>0.572232</v>
      </c>
      <c r="CR116" s="7">
        <v>4.0</v>
      </c>
      <c r="CS116" s="7">
        <f t="shared" si="11"/>
        <v>0.02288928</v>
      </c>
      <c r="CT116" s="7">
        <v>0.0</v>
      </c>
      <c r="CU116" s="7">
        <f t="shared" si="12"/>
        <v>0</v>
      </c>
      <c r="CV116" s="7">
        <f t="shared" si="13"/>
        <v>8.849557522</v>
      </c>
      <c r="CW116" s="7">
        <v>4.33</v>
      </c>
      <c r="CX116" s="7">
        <v>125.0</v>
      </c>
      <c r="CY116" s="7" t="str">
        <f t="shared" si="14"/>
        <v>Легкая степень</v>
      </c>
      <c r="CZ116" s="7">
        <v>50.0</v>
      </c>
      <c r="DA116" s="7">
        <v>211.0</v>
      </c>
      <c r="DB116" s="7">
        <v>57.9</v>
      </c>
      <c r="DC116" s="7">
        <v>27.1</v>
      </c>
      <c r="DD116" s="7">
        <v>97.7</v>
      </c>
      <c r="DE116" s="7"/>
      <c r="DF116" s="7">
        <v>1.0</v>
      </c>
      <c r="DG116" s="7"/>
      <c r="DH116" s="7">
        <v>1.0</v>
      </c>
      <c r="DI116" s="7"/>
      <c r="DJ116" s="7">
        <v>0.0</v>
      </c>
      <c r="DK116" s="7"/>
      <c r="DL116" s="7"/>
      <c r="DM116" s="7">
        <v>3.34</v>
      </c>
      <c r="DN116" s="7">
        <v>96.0</v>
      </c>
      <c r="DO116" s="7" t="str">
        <f t="shared" si="15"/>
        <v>Средняя степень</v>
      </c>
      <c r="DP116" s="7">
        <v>24.0</v>
      </c>
      <c r="DQ116" s="7">
        <v>456.0</v>
      </c>
      <c r="DR116" s="7">
        <v>0.0</v>
      </c>
      <c r="DS116" s="13">
        <v>618.0</v>
      </c>
      <c r="DT116" s="9"/>
      <c r="DU116" s="7">
        <v>11.7</v>
      </c>
      <c r="DV116" s="7">
        <v>1.0</v>
      </c>
      <c r="DW116" s="1" t="s">
        <v>313</v>
      </c>
      <c r="DX116" s="9"/>
      <c r="DY116" s="9"/>
      <c r="DZ116" s="7">
        <v>12.2</v>
      </c>
      <c r="EA116" s="7">
        <v>1.04</v>
      </c>
      <c r="EB116" s="7"/>
      <c r="EC116" s="7">
        <v>6.71</v>
      </c>
      <c r="ED116" s="7">
        <v>7.16</v>
      </c>
      <c r="EE116" s="7">
        <v>39.94</v>
      </c>
      <c r="EF116" s="7">
        <v>33.65</v>
      </c>
      <c r="EG116" s="7">
        <v>67.7</v>
      </c>
      <c r="EH116" s="7">
        <v>6.76</v>
      </c>
      <c r="EI116" s="7">
        <v>1.44</v>
      </c>
      <c r="EJ116" s="7">
        <v>69.01</v>
      </c>
      <c r="EK116" s="14">
        <f t="shared" si="16"/>
        <v>96.00470931</v>
      </c>
      <c r="EL116" s="11" t="str">
        <f t="shared" si="17"/>
        <v>C1</v>
      </c>
      <c r="EM116" s="7">
        <v>140.8</v>
      </c>
      <c r="EN116" s="7">
        <v>3.76</v>
      </c>
      <c r="EO116" s="7">
        <v>50.7</v>
      </c>
      <c r="EP116" s="7">
        <v>18.0</v>
      </c>
      <c r="EQ116" s="7">
        <v>59.5</v>
      </c>
      <c r="ER116" s="7">
        <v>9.6</v>
      </c>
      <c r="ES116" s="7">
        <v>3.4</v>
      </c>
      <c r="ET116" s="7">
        <v>40.0</v>
      </c>
      <c r="EU116" s="11">
        <f t="shared" si="18"/>
        <v>126.4071587</v>
      </c>
      <c r="EV116" s="11" t="str">
        <f t="shared" si="19"/>
        <v>C1</v>
      </c>
      <c r="EW116" s="7">
        <v>135.3</v>
      </c>
      <c r="EX116" s="7">
        <v>4.07</v>
      </c>
      <c r="EY116" s="9">
        <f t="shared" si="20"/>
        <v>2.985780239</v>
      </c>
      <c r="EZ116" s="9">
        <f t="shared" si="21"/>
        <v>0.04807242448</v>
      </c>
      <c r="FA116" s="9" t="str">
        <f t="shared" si="22"/>
        <v>Благоприятный</v>
      </c>
      <c r="FB116" s="1" t="s">
        <v>150</v>
      </c>
      <c r="FC116" s="1" t="s">
        <v>148</v>
      </c>
    </row>
    <row r="117">
      <c r="A117" s="7">
        <v>116.0</v>
      </c>
      <c r="B117" s="21">
        <v>75.0</v>
      </c>
      <c r="C117" s="25">
        <v>10179.0</v>
      </c>
      <c r="D117" s="1" t="s">
        <v>148</v>
      </c>
      <c r="E117" s="7">
        <v>60.0</v>
      </c>
      <c r="F117" s="1" t="s">
        <v>161</v>
      </c>
      <c r="G117" s="7"/>
      <c r="H117" s="7">
        <v>22.0</v>
      </c>
      <c r="I117" s="1" t="s">
        <v>154</v>
      </c>
      <c r="J117" s="1" t="s">
        <v>154</v>
      </c>
      <c r="K117" s="1" t="s">
        <v>235</v>
      </c>
      <c r="L117" s="1" t="s">
        <v>150</v>
      </c>
      <c r="M117" s="1" t="s">
        <v>150</v>
      </c>
      <c r="N117" s="9"/>
      <c r="O117" s="1" t="str">
        <f t="shared" si="1"/>
        <v>нет</v>
      </c>
      <c r="P117" s="1" t="s">
        <v>150</v>
      </c>
      <c r="Q117" s="1" t="s">
        <v>150</v>
      </c>
      <c r="R117" s="9"/>
      <c r="S117" s="1" t="s">
        <v>150</v>
      </c>
      <c r="T117" s="9"/>
      <c r="U117" s="9"/>
      <c r="V117" s="9"/>
      <c r="W117" s="9"/>
      <c r="X117" s="9"/>
      <c r="Y117" s="1" t="s">
        <v>150</v>
      </c>
      <c r="Z117" s="9"/>
      <c r="AA117" s="9"/>
      <c r="AB117" s="9"/>
      <c r="AC117" s="9"/>
      <c r="AD117" s="26"/>
      <c r="AE117" s="1" t="s">
        <v>150</v>
      </c>
      <c r="AF117" s="7">
        <v>0.0</v>
      </c>
      <c r="AG117" s="27" t="s">
        <v>162</v>
      </c>
      <c r="AH117" s="27" t="s">
        <v>152</v>
      </c>
      <c r="AI117" s="1" t="s">
        <v>153</v>
      </c>
      <c r="AJ117" s="7">
        <v>3.0</v>
      </c>
      <c r="AK117" s="1" t="s">
        <v>5</v>
      </c>
      <c r="AL117" s="1" t="s">
        <v>154</v>
      </c>
      <c r="AM117" s="1" t="s">
        <v>261</v>
      </c>
      <c r="AN117" s="1">
        <v>15.0</v>
      </c>
      <c r="AO117" s="1" t="str">
        <f t="shared" si="2"/>
        <v>нет</v>
      </c>
      <c r="AP117" s="7">
        <v>158.0</v>
      </c>
      <c r="AQ117" s="7">
        <v>73.0</v>
      </c>
      <c r="AR117" s="9">
        <f t="shared" si="3"/>
        <v>29.24210864</v>
      </c>
      <c r="AS117" s="7" t="str">
        <f t="shared" si="4"/>
        <v>Избыточный вес (предожирение)</v>
      </c>
      <c r="AT117" s="7">
        <v>113.0</v>
      </c>
      <c r="AU117" s="7">
        <v>76.0</v>
      </c>
      <c r="AV117" s="3">
        <v>88.0</v>
      </c>
      <c r="AW117" s="7">
        <v>109.0</v>
      </c>
      <c r="AX117" s="7">
        <v>37.3</v>
      </c>
      <c r="AY117" s="7">
        <v>20.0</v>
      </c>
      <c r="AZ117" s="7">
        <v>92.0</v>
      </c>
      <c r="BA117" s="10" t="str">
        <f t="shared" si="5"/>
        <v>да</v>
      </c>
      <c r="BB117" s="7">
        <v>99.0</v>
      </c>
      <c r="BC117" s="11"/>
      <c r="BD117" s="12" t="str">
        <f t="shared" si="6"/>
        <v>#DIV/0!</v>
      </c>
      <c r="BE117" s="12">
        <f t="shared" si="7"/>
        <v>0</v>
      </c>
      <c r="BF117" s="12">
        <f t="shared" si="8"/>
        <v>3</v>
      </c>
      <c r="BG117" s="15" t="s">
        <v>154</v>
      </c>
      <c r="BH117" s="15" t="s">
        <v>163</v>
      </c>
      <c r="BI117" s="1" t="s">
        <v>154</v>
      </c>
      <c r="BJ117" s="1" t="s">
        <v>384</v>
      </c>
      <c r="BK117" s="1" t="s">
        <v>150</v>
      </c>
      <c r="BL117" s="9"/>
      <c r="BM117" s="1" t="s">
        <v>154</v>
      </c>
      <c r="BN117" s="1" t="s">
        <v>155</v>
      </c>
      <c r="BO117" s="1" t="s">
        <v>154</v>
      </c>
      <c r="BP117" s="1" t="s">
        <v>157</v>
      </c>
      <c r="BQ117" s="9"/>
      <c r="BR117" s="1" t="s">
        <v>154</v>
      </c>
      <c r="BS117" s="1" t="s">
        <v>319</v>
      </c>
      <c r="BT117" s="28">
        <v>24.0</v>
      </c>
      <c r="BU117" s="1" t="s">
        <v>157</v>
      </c>
      <c r="BV117" s="7">
        <v>16.0</v>
      </c>
      <c r="BW117" s="1" t="s">
        <v>150</v>
      </c>
      <c r="BX117" s="10" t="s">
        <v>154</v>
      </c>
      <c r="BY117" s="1" t="s">
        <v>269</v>
      </c>
      <c r="BZ117" s="29" t="s">
        <v>158</v>
      </c>
      <c r="CA117" s="9"/>
      <c r="CB117" s="1" t="s">
        <v>150</v>
      </c>
      <c r="CC117" s="1" t="s">
        <v>150</v>
      </c>
      <c r="CD117" s="9"/>
      <c r="CE117" s="1" t="s">
        <v>150</v>
      </c>
      <c r="CF117" s="1" t="s">
        <v>150</v>
      </c>
      <c r="CG117" s="1" t="s">
        <v>150</v>
      </c>
      <c r="CH117" s="1" t="s">
        <v>150</v>
      </c>
      <c r="CI117" s="1" t="s">
        <v>150</v>
      </c>
      <c r="CJ117" s="1" t="s">
        <v>150</v>
      </c>
      <c r="CK117" s="1" t="s">
        <v>150</v>
      </c>
      <c r="CL117" s="1" t="s">
        <v>385</v>
      </c>
      <c r="CM117" s="7">
        <v>5.0</v>
      </c>
      <c r="CN117" s="7">
        <v>66.9</v>
      </c>
      <c r="CO117" s="7">
        <f t="shared" si="23"/>
        <v>3.345</v>
      </c>
      <c r="CP117" s="7">
        <v>12.5</v>
      </c>
      <c r="CQ117" s="7">
        <f t="shared" si="10"/>
        <v>0.418125</v>
      </c>
      <c r="CR117" s="7">
        <v>20.5</v>
      </c>
      <c r="CS117" s="7">
        <f t="shared" si="11"/>
        <v>0.085715625</v>
      </c>
      <c r="CT117" s="7">
        <v>0.0</v>
      </c>
      <c r="CU117" s="7">
        <f t="shared" si="12"/>
        <v>0</v>
      </c>
      <c r="CV117" s="7">
        <f t="shared" si="13"/>
        <v>8</v>
      </c>
      <c r="CW117" s="7">
        <v>4.49</v>
      </c>
      <c r="CX117" s="7">
        <v>137.0</v>
      </c>
      <c r="CY117" s="7" t="str">
        <f t="shared" si="14"/>
        <v>Норма</v>
      </c>
      <c r="CZ117" s="9"/>
      <c r="DA117" s="7">
        <v>150.0</v>
      </c>
      <c r="DB117" s="7">
        <v>39.7</v>
      </c>
      <c r="DC117" s="7">
        <v>6.3</v>
      </c>
      <c r="DD117" s="7">
        <v>79.1</v>
      </c>
      <c r="DE117" s="7"/>
      <c r="DF117" s="7">
        <v>13.9</v>
      </c>
      <c r="DG117" s="7"/>
      <c r="DH117" s="7">
        <v>6.6</v>
      </c>
      <c r="DI117" s="7"/>
      <c r="DJ117" s="7">
        <v>0.1</v>
      </c>
      <c r="DK117" s="7"/>
      <c r="DL117" s="7"/>
      <c r="DM117" s="7">
        <v>4.56</v>
      </c>
      <c r="DN117" s="7">
        <v>137.0</v>
      </c>
      <c r="DO117" s="7" t="str">
        <f t="shared" si="15"/>
        <v>Норма</v>
      </c>
      <c r="DP117" s="9"/>
      <c r="DQ117" s="7">
        <v>177.0</v>
      </c>
      <c r="DR117" s="7">
        <v>1.9</v>
      </c>
      <c r="DS117" s="13">
        <v>356.0</v>
      </c>
      <c r="DT117" s="7">
        <v>31.7</v>
      </c>
      <c r="DU117" s="7">
        <v>11.2</v>
      </c>
      <c r="DV117" s="7">
        <v>0.957</v>
      </c>
      <c r="DW117" s="1" t="s">
        <v>320</v>
      </c>
      <c r="DX117" s="9"/>
      <c r="DY117" s="7">
        <v>19.9</v>
      </c>
      <c r="DZ117" s="7">
        <v>10.4</v>
      </c>
      <c r="EA117" s="7">
        <v>0.89</v>
      </c>
      <c r="EB117" s="7"/>
      <c r="EC117" s="7">
        <v>5.44</v>
      </c>
      <c r="ED117" s="7">
        <v>7.82</v>
      </c>
      <c r="EE117" s="7">
        <v>100.0</v>
      </c>
      <c r="EF117" s="7">
        <v>99.2</v>
      </c>
      <c r="EG117" s="7">
        <v>74.4</v>
      </c>
      <c r="EH117" s="7">
        <v>11.7</v>
      </c>
      <c r="EI117" s="7">
        <v>5.0</v>
      </c>
      <c r="EJ117" s="7">
        <v>94.0</v>
      </c>
      <c r="EK117" s="14">
        <f t="shared" si="16"/>
        <v>57.01115263</v>
      </c>
      <c r="EL117" s="11" t="str">
        <f t="shared" si="17"/>
        <v>C3a</v>
      </c>
      <c r="EM117" s="7">
        <v>130.1</v>
      </c>
      <c r="EN117" s="7">
        <v>3.04</v>
      </c>
      <c r="EO117" s="7">
        <v>147.7</v>
      </c>
      <c r="EP117" s="7">
        <v>45.3</v>
      </c>
      <c r="EQ117" s="7">
        <v>61.8</v>
      </c>
      <c r="ER117" s="7">
        <v>14.5</v>
      </c>
      <c r="ES117" s="7">
        <v>4.8</v>
      </c>
      <c r="ET117" s="7">
        <v>66.0</v>
      </c>
      <c r="EU117" s="11">
        <f t="shared" si="18"/>
        <v>87.4264368</v>
      </c>
      <c r="EV117" s="11" t="str">
        <f t="shared" si="19"/>
        <v>C2</v>
      </c>
      <c r="EW117" s="7">
        <v>136.2</v>
      </c>
      <c r="EX117" s="7">
        <v>3.79</v>
      </c>
      <c r="EY117" s="9">
        <f t="shared" si="20"/>
        <v>0.9824922352</v>
      </c>
      <c r="EZ117" s="9">
        <f t="shared" si="21"/>
        <v>0.2723975497</v>
      </c>
      <c r="FA117" s="9" t="str">
        <f t="shared" si="22"/>
        <v>Благоприятный</v>
      </c>
      <c r="FB117" s="1" t="s">
        <v>150</v>
      </c>
      <c r="FC117" s="1" t="s">
        <v>148</v>
      </c>
    </row>
    <row r="118">
      <c r="A118" s="7">
        <v>117.0</v>
      </c>
      <c r="B118" s="21">
        <v>76.0</v>
      </c>
      <c r="C118" s="25">
        <v>10759.0</v>
      </c>
      <c r="D118" s="1" t="s">
        <v>148</v>
      </c>
      <c r="E118" s="7">
        <v>30.0</v>
      </c>
      <c r="F118" s="1" t="s">
        <v>161</v>
      </c>
      <c r="G118" s="7"/>
      <c r="H118" s="7">
        <v>25.0</v>
      </c>
      <c r="I118" s="1" t="s">
        <v>150</v>
      </c>
      <c r="J118" s="1" t="s">
        <v>154</v>
      </c>
      <c r="K118" s="1" t="s">
        <v>386</v>
      </c>
      <c r="L118" s="1" t="s">
        <v>150</v>
      </c>
      <c r="M118" s="1" t="s">
        <v>154</v>
      </c>
      <c r="N118" s="1" t="s">
        <v>192</v>
      </c>
      <c r="O118" s="1" t="str">
        <f t="shared" si="1"/>
        <v>нет</v>
      </c>
      <c r="P118" s="1" t="s">
        <v>150</v>
      </c>
      <c r="Q118" s="1" t="s">
        <v>150</v>
      </c>
      <c r="R118" s="9"/>
      <c r="S118" s="1" t="s">
        <v>150</v>
      </c>
      <c r="T118" s="9"/>
      <c r="U118" s="9"/>
      <c r="V118" s="9"/>
      <c r="W118" s="9"/>
      <c r="X118" s="9"/>
      <c r="Y118" s="1" t="s">
        <v>150</v>
      </c>
      <c r="Z118" s="9"/>
      <c r="AA118" s="9"/>
      <c r="AB118" s="9"/>
      <c r="AC118" s="9"/>
      <c r="AD118" s="26" t="s">
        <v>387</v>
      </c>
      <c r="AE118" s="1" t="s">
        <v>150</v>
      </c>
      <c r="AF118" s="7">
        <v>0.0</v>
      </c>
      <c r="AG118" s="27" t="s">
        <v>162</v>
      </c>
      <c r="AH118" s="27" t="s">
        <v>152</v>
      </c>
      <c r="AI118" s="1" t="s">
        <v>168</v>
      </c>
      <c r="AJ118" s="7">
        <v>4.0</v>
      </c>
      <c r="AK118" s="1" t="s">
        <v>5</v>
      </c>
      <c r="AL118" s="1" t="s">
        <v>154</v>
      </c>
      <c r="AM118" s="1" t="s">
        <v>261</v>
      </c>
      <c r="AN118" s="1">
        <v>15.0</v>
      </c>
      <c r="AO118" s="1" t="str">
        <f t="shared" si="2"/>
        <v>нет</v>
      </c>
      <c r="AP118" s="7">
        <v>170.0</v>
      </c>
      <c r="AQ118" s="7">
        <v>107.0</v>
      </c>
      <c r="AR118" s="9">
        <f t="shared" si="3"/>
        <v>37.02422145</v>
      </c>
      <c r="AS118" s="7" t="str">
        <f t="shared" si="4"/>
        <v>Ожирение II степени</v>
      </c>
      <c r="AT118" s="7">
        <v>109.0</v>
      </c>
      <c r="AU118" s="7">
        <v>52.0</v>
      </c>
      <c r="AV118" s="3">
        <v>71.0</v>
      </c>
      <c r="AW118" s="7">
        <v>103.0</v>
      </c>
      <c r="AX118" s="7">
        <v>36.7</v>
      </c>
      <c r="AY118" s="7">
        <v>22.0</v>
      </c>
      <c r="AZ118" s="7">
        <v>79.0</v>
      </c>
      <c r="BA118" s="10" t="str">
        <f t="shared" si="5"/>
        <v>да</v>
      </c>
      <c r="BB118" s="7">
        <v>95.0</v>
      </c>
      <c r="BC118" s="11"/>
      <c r="BD118" s="12" t="str">
        <f t="shared" si="6"/>
        <v>#DIV/0!</v>
      </c>
      <c r="BE118" s="12">
        <f t="shared" si="7"/>
        <v>1</v>
      </c>
      <c r="BF118" s="12">
        <f t="shared" si="8"/>
        <v>7</v>
      </c>
      <c r="BG118" s="15" t="s">
        <v>154</v>
      </c>
      <c r="BH118" s="15" t="s">
        <v>169</v>
      </c>
      <c r="BI118" s="15" t="s">
        <v>154</v>
      </c>
      <c r="BJ118" s="15" t="s">
        <v>346</v>
      </c>
      <c r="BK118" s="15" t="s">
        <v>154</v>
      </c>
      <c r="BL118" s="15" t="s">
        <v>189</v>
      </c>
      <c r="BM118" s="15" t="s">
        <v>154</v>
      </c>
      <c r="BN118" s="15" t="s">
        <v>155</v>
      </c>
      <c r="BO118" s="15" t="s">
        <v>150</v>
      </c>
      <c r="BP118" s="9"/>
      <c r="BQ118" s="9"/>
      <c r="BR118" s="15" t="s">
        <v>154</v>
      </c>
      <c r="BS118" s="15" t="s">
        <v>369</v>
      </c>
      <c r="BT118" s="28">
        <v>24.0</v>
      </c>
      <c r="BU118" s="1" t="s">
        <v>157</v>
      </c>
      <c r="BV118" s="7">
        <v>16.0</v>
      </c>
      <c r="BW118" s="15" t="s">
        <v>154</v>
      </c>
      <c r="BX118" s="10" t="s">
        <v>154</v>
      </c>
      <c r="BY118" s="1" t="s">
        <v>239</v>
      </c>
      <c r="BZ118" s="29" t="s">
        <v>158</v>
      </c>
      <c r="CA118" s="9"/>
      <c r="CB118" s="1" t="s">
        <v>150</v>
      </c>
      <c r="CC118" s="1" t="s">
        <v>150</v>
      </c>
      <c r="CD118" s="9"/>
      <c r="CE118" s="1" t="s">
        <v>150</v>
      </c>
      <c r="CF118" s="1" t="s">
        <v>150</v>
      </c>
      <c r="CG118" s="1" t="s">
        <v>150</v>
      </c>
      <c r="CH118" s="1" t="s">
        <v>150</v>
      </c>
      <c r="CI118" s="1" t="s">
        <v>150</v>
      </c>
      <c r="CJ118" s="1" t="s">
        <v>150</v>
      </c>
      <c r="CK118" s="1" t="s">
        <v>150</v>
      </c>
      <c r="CL118" s="1" t="s">
        <v>388</v>
      </c>
      <c r="CM118" s="7">
        <v>4.1</v>
      </c>
      <c r="CN118" s="7">
        <v>67.7</v>
      </c>
      <c r="CO118" s="7">
        <f t="shared" si="23"/>
        <v>2.7757</v>
      </c>
      <c r="CP118" s="7">
        <v>14.6</v>
      </c>
      <c r="CQ118" s="7">
        <f t="shared" si="10"/>
        <v>0.4052522</v>
      </c>
      <c r="CR118" s="7">
        <v>17.6</v>
      </c>
      <c r="CS118" s="7">
        <f t="shared" si="11"/>
        <v>0.0713243872</v>
      </c>
      <c r="CT118" s="7">
        <v>0.0</v>
      </c>
      <c r="CU118" s="7">
        <f t="shared" si="12"/>
        <v>0</v>
      </c>
      <c r="CV118" s="7">
        <f t="shared" si="13"/>
        <v>6.849315068</v>
      </c>
      <c r="CW118" s="7">
        <v>4.5</v>
      </c>
      <c r="CX118" s="7">
        <v>125.0</v>
      </c>
      <c r="CY118" s="7" t="str">
        <f t="shared" si="14"/>
        <v>Легкая степень</v>
      </c>
      <c r="CZ118" s="9"/>
      <c r="DA118" s="7">
        <v>143.0</v>
      </c>
      <c r="DB118" s="7">
        <v>78.69</v>
      </c>
      <c r="DC118" s="7">
        <v>13.3</v>
      </c>
      <c r="DD118" s="7">
        <v>82.9</v>
      </c>
      <c r="DE118" s="7"/>
      <c r="DF118" s="7">
        <v>9.0</v>
      </c>
      <c r="DG118" s="7"/>
      <c r="DH118" s="7">
        <v>7.0</v>
      </c>
      <c r="DI118" s="7"/>
      <c r="DJ118" s="7">
        <v>0.1</v>
      </c>
      <c r="DK118" s="7"/>
      <c r="DL118" s="7"/>
      <c r="DM118" s="7">
        <v>4.5</v>
      </c>
      <c r="DN118" s="7">
        <v>126.0</v>
      </c>
      <c r="DO118" s="7" t="str">
        <f t="shared" si="15"/>
        <v>Легкая степень</v>
      </c>
      <c r="DP118" s="9"/>
      <c r="DQ118" s="7">
        <v>235.0</v>
      </c>
      <c r="DR118" s="7">
        <v>6.8</v>
      </c>
      <c r="DS118" s="13">
        <v>583.0</v>
      </c>
      <c r="DT118" s="7">
        <v>26.8</v>
      </c>
      <c r="DU118" s="7">
        <v>13.4</v>
      </c>
      <c r="DV118" s="7">
        <v>1.1</v>
      </c>
      <c r="DW118" s="1" t="s">
        <v>320</v>
      </c>
      <c r="DX118" s="9"/>
      <c r="DY118" s="7">
        <v>26.8</v>
      </c>
      <c r="DZ118" s="7">
        <v>13.8</v>
      </c>
      <c r="EA118" s="7">
        <v>1.18</v>
      </c>
      <c r="EB118" s="7"/>
      <c r="EC118" s="7">
        <v>7.7</v>
      </c>
      <c r="ED118" s="7">
        <v>4.55</v>
      </c>
      <c r="EE118" s="7">
        <v>22.16</v>
      </c>
      <c r="EF118" s="7">
        <v>98.78</v>
      </c>
      <c r="EG118" s="7">
        <v>57.2</v>
      </c>
      <c r="EH118" s="7">
        <v>8.79</v>
      </c>
      <c r="EI118" s="7">
        <v>3.17</v>
      </c>
      <c r="EJ118" s="7">
        <v>109.8</v>
      </c>
      <c r="EK118" s="14">
        <f t="shared" si="16"/>
        <v>58.33184491</v>
      </c>
      <c r="EL118" s="11" t="str">
        <f t="shared" si="17"/>
        <v>C3a</v>
      </c>
      <c r="EM118" s="7">
        <v>138.4</v>
      </c>
      <c r="EN118" s="7">
        <v>3.55</v>
      </c>
      <c r="EO118" s="7">
        <v>19.0</v>
      </c>
      <c r="EP118" s="7">
        <v>14.6</v>
      </c>
      <c r="EQ118" s="7">
        <v>57.7</v>
      </c>
      <c r="ER118" s="7">
        <v>9.2</v>
      </c>
      <c r="ES118" s="7">
        <v>4.1</v>
      </c>
      <c r="ET118" s="7">
        <v>71.0</v>
      </c>
      <c r="EU118" s="11">
        <f t="shared" si="18"/>
        <v>98.81493698</v>
      </c>
      <c r="EV118" s="11" t="str">
        <f t="shared" si="19"/>
        <v>C1</v>
      </c>
      <c r="EW118" s="7">
        <v>140.2</v>
      </c>
      <c r="EX118" s="7">
        <v>3.85</v>
      </c>
      <c r="EY118" s="9">
        <f t="shared" si="20"/>
        <v>-1.559116021</v>
      </c>
      <c r="EZ118" s="9">
        <f t="shared" si="21"/>
        <v>0.8262264711</v>
      </c>
      <c r="FA118" s="9" t="str">
        <f t="shared" si="22"/>
        <v>Неблагоприятный</v>
      </c>
      <c r="FB118" s="1" t="s">
        <v>256</v>
      </c>
      <c r="FC118" s="1" t="s">
        <v>148</v>
      </c>
    </row>
    <row r="119">
      <c r="A119" s="7">
        <v>118.0</v>
      </c>
      <c r="B119" s="21">
        <v>77.0</v>
      </c>
      <c r="C119" s="25">
        <v>10826.0</v>
      </c>
      <c r="D119" s="1" t="s">
        <v>148</v>
      </c>
      <c r="E119" s="7">
        <v>62.0</v>
      </c>
      <c r="F119" s="9"/>
      <c r="G119" s="7"/>
      <c r="H119" s="7">
        <v>11.0</v>
      </c>
      <c r="I119" s="1" t="s">
        <v>154</v>
      </c>
      <c r="J119" s="1" t="s">
        <v>150</v>
      </c>
      <c r="K119" s="9"/>
      <c r="L119" s="1" t="s">
        <v>150</v>
      </c>
      <c r="M119" s="1" t="s">
        <v>150</v>
      </c>
      <c r="N119" s="9"/>
      <c r="O119" s="1" t="str">
        <f t="shared" si="1"/>
        <v>да</v>
      </c>
      <c r="P119" s="1" t="s">
        <v>150</v>
      </c>
      <c r="Q119" s="1" t="s">
        <v>154</v>
      </c>
      <c r="R119" s="7">
        <v>2.0</v>
      </c>
      <c r="S119" s="1" t="s">
        <v>154</v>
      </c>
      <c r="T119" s="1" t="s">
        <v>389</v>
      </c>
      <c r="U119" s="7"/>
      <c r="V119" s="7">
        <v>1.0</v>
      </c>
      <c r="W119" s="7">
        <v>2.0</v>
      </c>
      <c r="X119" s="9"/>
      <c r="Y119" s="1" t="s">
        <v>154</v>
      </c>
      <c r="Z119" s="7">
        <v>1.0</v>
      </c>
      <c r="AA119" s="9"/>
      <c r="AB119" s="9"/>
      <c r="AC119" s="9"/>
      <c r="AD119" s="26" t="s">
        <v>390</v>
      </c>
      <c r="AE119" s="1" t="s">
        <v>150</v>
      </c>
      <c r="AF119" s="7">
        <v>0.0</v>
      </c>
      <c r="AG119" s="27" t="s">
        <v>162</v>
      </c>
      <c r="AH119" s="27" t="s">
        <v>152</v>
      </c>
      <c r="AI119" s="1" t="s">
        <v>153</v>
      </c>
      <c r="AJ119" s="7">
        <v>2.0</v>
      </c>
      <c r="AK119" s="1" t="s">
        <v>5</v>
      </c>
      <c r="AL119" s="1" t="s">
        <v>154</v>
      </c>
      <c r="AM119" s="1" t="s">
        <v>261</v>
      </c>
      <c r="AN119" s="1">
        <v>15.0</v>
      </c>
      <c r="AO119" s="1" t="str">
        <f t="shared" si="2"/>
        <v>нет</v>
      </c>
      <c r="AP119" s="7">
        <v>160.0</v>
      </c>
      <c r="AQ119" s="7">
        <v>80.0</v>
      </c>
      <c r="AR119" s="9">
        <f t="shared" si="3"/>
        <v>31.25</v>
      </c>
      <c r="AS119" s="7" t="str">
        <f t="shared" si="4"/>
        <v>Ожирение I степени</v>
      </c>
      <c r="AT119" s="7">
        <v>125.0</v>
      </c>
      <c r="AU119" s="7">
        <v>85.0</v>
      </c>
      <c r="AV119" s="3">
        <v>98.0</v>
      </c>
      <c r="AW119" s="7">
        <v>104.0</v>
      </c>
      <c r="AX119" s="7">
        <v>38.0</v>
      </c>
      <c r="AY119" s="7">
        <v>22.0</v>
      </c>
      <c r="AZ119" s="7">
        <v>92.0</v>
      </c>
      <c r="BA119" s="10" t="str">
        <f t="shared" si="5"/>
        <v>да</v>
      </c>
      <c r="BB119" s="7">
        <v>95.0</v>
      </c>
      <c r="BC119" s="11"/>
      <c r="BD119" s="12" t="str">
        <f t="shared" si="6"/>
        <v>#DIV/0!</v>
      </c>
      <c r="BE119" s="12">
        <f t="shared" si="7"/>
        <v>1</v>
      </c>
      <c r="BF119" s="12">
        <f t="shared" si="8"/>
        <v>5</v>
      </c>
      <c r="BG119" s="15" t="s">
        <v>150</v>
      </c>
      <c r="BH119" s="9"/>
      <c r="BI119" s="1" t="s">
        <v>154</v>
      </c>
      <c r="BJ119" s="1" t="s">
        <v>391</v>
      </c>
      <c r="BK119" s="1" t="s">
        <v>150</v>
      </c>
      <c r="BL119" s="9"/>
      <c r="BM119" s="1" t="s">
        <v>154</v>
      </c>
      <c r="BN119" s="1" t="s">
        <v>392</v>
      </c>
      <c r="BO119" s="1" t="s">
        <v>150</v>
      </c>
      <c r="BP119" s="9"/>
      <c r="BQ119" s="9"/>
      <c r="BR119" s="1" t="s">
        <v>154</v>
      </c>
      <c r="BS119" s="1" t="s">
        <v>319</v>
      </c>
      <c r="BT119" s="30"/>
      <c r="BU119" s="1" t="s">
        <v>393</v>
      </c>
      <c r="BV119" s="7">
        <v>20.0</v>
      </c>
      <c r="BW119" s="1" t="s">
        <v>150</v>
      </c>
      <c r="BX119" s="10" t="s">
        <v>154</v>
      </c>
      <c r="BY119" s="1" t="s">
        <v>394</v>
      </c>
      <c r="BZ119" s="29" t="s">
        <v>158</v>
      </c>
      <c r="CA119" s="1" t="s">
        <v>184</v>
      </c>
      <c r="CB119" s="1" t="s">
        <v>395</v>
      </c>
      <c r="CC119" s="1" t="s">
        <v>150</v>
      </c>
      <c r="CD119" s="1" t="s">
        <v>212</v>
      </c>
      <c r="CE119" s="1" t="s">
        <v>150</v>
      </c>
      <c r="CF119" s="1" t="s">
        <v>150</v>
      </c>
      <c r="CG119" s="1" t="s">
        <v>150</v>
      </c>
      <c r="CH119" s="1" t="s">
        <v>150</v>
      </c>
      <c r="CI119" s="1" t="s">
        <v>150</v>
      </c>
      <c r="CJ119" s="1" t="s">
        <v>150</v>
      </c>
      <c r="CK119" s="1" t="s">
        <v>150</v>
      </c>
      <c r="CL119" s="1" t="s">
        <v>396</v>
      </c>
      <c r="CM119" s="7">
        <v>6.15</v>
      </c>
      <c r="CN119" s="7">
        <v>83.1</v>
      </c>
      <c r="CO119" s="7">
        <f t="shared" si="23"/>
        <v>5.11065</v>
      </c>
      <c r="CP119" s="7">
        <v>14.3</v>
      </c>
      <c r="CQ119" s="7">
        <f t="shared" si="10"/>
        <v>0.73082295</v>
      </c>
      <c r="CR119" s="7">
        <v>2.4</v>
      </c>
      <c r="CS119" s="7">
        <f t="shared" si="11"/>
        <v>0.0175397508</v>
      </c>
      <c r="CT119" s="7">
        <v>0.0</v>
      </c>
      <c r="CU119" s="7">
        <f t="shared" si="12"/>
        <v>0</v>
      </c>
      <c r="CV119" s="7">
        <f t="shared" si="13"/>
        <v>6.993006993</v>
      </c>
      <c r="CW119" s="7">
        <v>4.29</v>
      </c>
      <c r="CX119" s="7">
        <v>119.0</v>
      </c>
      <c r="CY119" s="7" t="str">
        <f t="shared" si="14"/>
        <v>Легкая степень</v>
      </c>
      <c r="CZ119" s="9"/>
      <c r="DA119" s="7">
        <v>83.0</v>
      </c>
      <c r="DB119" s="7">
        <v>60.5</v>
      </c>
      <c r="DC119" s="7">
        <v>8.18</v>
      </c>
      <c r="DD119" s="7">
        <v>83.0</v>
      </c>
      <c r="DE119" s="7"/>
      <c r="DF119" s="7">
        <v>13.2</v>
      </c>
      <c r="DG119" s="7"/>
      <c r="DH119" s="7">
        <v>3.4</v>
      </c>
      <c r="DI119" s="7"/>
      <c r="DJ119" s="7">
        <v>0.0</v>
      </c>
      <c r="DK119" s="7"/>
      <c r="DL119" s="7"/>
      <c r="DM119" s="7">
        <v>8.18</v>
      </c>
      <c r="DN119" s="7">
        <v>120.0</v>
      </c>
      <c r="DO119" s="7" t="str">
        <f t="shared" si="15"/>
        <v>Легкая степень</v>
      </c>
      <c r="DP119" s="7">
        <v>2.0</v>
      </c>
      <c r="DQ119" s="7">
        <v>206.0</v>
      </c>
      <c r="DR119" s="7">
        <v>8.6</v>
      </c>
      <c r="DS119" s="13">
        <v>630.0</v>
      </c>
      <c r="DT119" s="9"/>
      <c r="DU119" s="7">
        <v>12.7</v>
      </c>
      <c r="DV119" s="7">
        <v>1.085</v>
      </c>
      <c r="DW119" s="1" t="s">
        <v>320</v>
      </c>
      <c r="DX119" s="9"/>
      <c r="DY119" s="9"/>
      <c r="DZ119" s="7">
        <v>13.9</v>
      </c>
      <c r="EA119" s="7">
        <v>1.19</v>
      </c>
      <c r="EB119" s="7"/>
      <c r="EC119" s="7">
        <v>6.22</v>
      </c>
      <c r="ED119" s="7">
        <v>4.34</v>
      </c>
      <c r="EE119" s="7">
        <v>21.26</v>
      </c>
      <c r="EF119" s="7">
        <v>26.79</v>
      </c>
      <c r="EG119" s="7">
        <v>71.8</v>
      </c>
      <c r="EH119" s="7">
        <v>8.95</v>
      </c>
      <c r="EI119" s="7">
        <v>2.62</v>
      </c>
      <c r="EJ119" s="7">
        <v>80.42</v>
      </c>
      <c r="EK119" s="14">
        <f t="shared" si="16"/>
        <v>67.88670569</v>
      </c>
      <c r="EL119" s="11" t="str">
        <f t="shared" si="17"/>
        <v>C2</v>
      </c>
      <c r="EM119" s="7">
        <v>135.9</v>
      </c>
      <c r="EN119" s="7">
        <v>3.7</v>
      </c>
      <c r="EO119" s="7">
        <v>50.3</v>
      </c>
      <c r="EP119" s="7">
        <v>13.6</v>
      </c>
      <c r="EQ119" s="7">
        <v>69.0</v>
      </c>
      <c r="ER119" s="7">
        <v>10.7</v>
      </c>
      <c r="ES119" s="7">
        <v>4.2</v>
      </c>
      <c r="ET119" s="7">
        <v>82.0</v>
      </c>
      <c r="EU119" s="11">
        <f t="shared" si="18"/>
        <v>66.30846066</v>
      </c>
      <c r="EV119" s="11" t="str">
        <f t="shared" si="19"/>
        <v>C2</v>
      </c>
      <c r="EW119" s="7">
        <v>141.64</v>
      </c>
      <c r="EX119" s="7">
        <v>4.7</v>
      </c>
      <c r="EY119" s="9">
        <f t="shared" si="20"/>
        <v>0.630932</v>
      </c>
      <c r="EZ119" s="9">
        <f t="shared" si="21"/>
        <v>0.3472992397</v>
      </c>
      <c r="FA119" s="9" t="str">
        <f t="shared" si="22"/>
        <v>Благоприятный</v>
      </c>
      <c r="FB119" s="1" t="s">
        <v>150</v>
      </c>
      <c r="FC119" s="1" t="s">
        <v>148</v>
      </c>
    </row>
    <row r="120">
      <c r="A120" s="7">
        <v>119.0</v>
      </c>
      <c r="B120" s="21">
        <v>78.0</v>
      </c>
      <c r="C120" s="25">
        <v>10188.0</v>
      </c>
      <c r="D120" s="1" t="s">
        <v>148</v>
      </c>
      <c r="E120" s="7">
        <v>68.0</v>
      </c>
      <c r="F120" s="1" t="s">
        <v>161</v>
      </c>
      <c r="G120" s="7"/>
      <c r="H120" s="7">
        <v>29.0</v>
      </c>
      <c r="I120" s="1" t="s">
        <v>150</v>
      </c>
      <c r="J120" s="1" t="s">
        <v>150</v>
      </c>
      <c r="K120" s="9"/>
      <c r="L120" s="1" t="s">
        <v>150</v>
      </c>
      <c r="M120" s="1" t="s">
        <v>150</v>
      </c>
      <c r="N120" s="9"/>
      <c r="O120" s="1" t="str">
        <f t="shared" si="1"/>
        <v>да</v>
      </c>
      <c r="P120" s="1" t="s">
        <v>154</v>
      </c>
      <c r="Q120" s="1" t="s">
        <v>154</v>
      </c>
      <c r="R120" s="7">
        <v>2.0</v>
      </c>
      <c r="S120" s="1" t="s">
        <v>154</v>
      </c>
      <c r="T120" s="1" t="s">
        <v>181</v>
      </c>
      <c r="X120" s="9"/>
      <c r="Y120" s="1" t="s">
        <v>150</v>
      </c>
      <c r="Z120" s="9"/>
      <c r="AA120" s="9"/>
      <c r="AB120" s="9"/>
      <c r="AC120" s="9"/>
      <c r="AD120" s="26" t="s">
        <v>397</v>
      </c>
      <c r="AE120" s="1" t="s">
        <v>150</v>
      </c>
      <c r="AF120" s="7">
        <v>0.0</v>
      </c>
      <c r="AG120" s="27" t="s">
        <v>162</v>
      </c>
      <c r="AH120" s="27" t="s">
        <v>152</v>
      </c>
      <c r="AI120" s="1" t="s">
        <v>168</v>
      </c>
      <c r="AJ120" s="7">
        <v>3.0</v>
      </c>
      <c r="AK120" s="1" t="s">
        <v>5</v>
      </c>
      <c r="AL120" s="1" t="s">
        <v>150</v>
      </c>
      <c r="AM120" s="9"/>
      <c r="AN120" s="1">
        <v>15.0</v>
      </c>
      <c r="AO120" s="1" t="str">
        <f t="shared" si="2"/>
        <v>нет</v>
      </c>
      <c r="AP120" s="7">
        <v>165.0</v>
      </c>
      <c r="AQ120" s="7">
        <v>90.0</v>
      </c>
      <c r="AR120" s="9">
        <f t="shared" si="3"/>
        <v>33.05785124</v>
      </c>
      <c r="AS120" s="7" t="str">
        <f t="shared" si="4"/>
        <v>Ожирение I степени</v>
      </c>
      <c r="AT120" s="7">
        <v>109.0</v>
      </c>
      <c r="AU120" s="7">
        <v>70.0</v>
      </c>
      <c r="AV120" s="3">
        <v>83.0</v>
      </c>
      <c r="AW120" s="7">
        <v>95.0</v>
      </c>
      <c r="AX120" s="7">
        <v>37.0</v>
      </c>
      <c r="AY120" s="7">
        <v>20.0</v>
      </c>
      <c r="AZ120" s="7">
        <v>83.0</v>
      </c>
      <c r="BA120" s="10" t="str">
        <f t="shared" si="5"/>
        <v>да</v>
      </c>
      <c r="BB120" s="7">
        <v>92.0</v>
      </c>
      <c r="BC120" s="11"/>
      <c r="BD120" s="12" t="str">
        <f t="shared" si="6"/>
        <v>#DIV/0!</v>
      </c>
      <c r="BE120" s="12">
        <f t="shared" si="7"/>
        <v>0</v>
      </c>
      <c r="BF120" s="12">
        <f t="shared" si="8"/>
        <v>5</v>
      </c>
      <c r="BG120" s="15" t="s">
        <v>154</v>
      </c>
      <c r="BH120" s="15" t="s">
        <v>163</v>
      </c>
      <c r="BI120" s="15" t="s">
        <v>154</v>
      </c>
      <c r="BJ120" s="15" t="s">
        <v>163</v>
      </c>
      <c r="BK120" s="15" t="s">
        <v>150</v>
      </c>
      <c r="BL120" s="9"/>
      <c r="BM120" s="15" t="s">
        <v>154</v>
      </c>
      <c r="BN120" s="15" t="s">
        <v>155</v>
      </c>
      <c r="BO120" s="15" t="s">
        <v>154</v>
      </c>
      <c r="BP120" s="15" t="s">
        <v>157</v>
      </c>
      <c r="BQ120" s="9"/>
      <c r="BR120" s="15" t="s">
        <v>154</v>
      </c>
      <c r="BS120" s="15" t="s">
        <v>293</v>
      </c>
      <c r="BT120" s="30"/>
      <c r="BU120" s="15" t="s">
        <v>398</v>
      </c>
      <c r="BV120" s="9"/>
      <c r="BW120" s="15" t="s">
        <v>150</v>
      </c>
      <c r="BX120" s="10" t="s">
        <v>154</v>
      </c>
      <c r="BY120" s="1" t="s">
        <v>269</v>
      </c>
      <c r="BZ120" s="29" t="s">
        <v>158</v>
      </c>
      <c r="CA120" s="9"/>
      <c r="CB120" s="1" t="s">
        <v>150</v>
      </c>
      <c r="CC120" s="1" t="s">
        <v>150</v>
      </c>
      <c r="CD120" s="1" t="s">
        <v>212</v>
      </c>
      <c r="CE120" s="1" t="s">
        <v>150</v>
      </c>
      <c r="CF120" s="1" t="s">
        <v>150</v>
      </c>
      <c r="CG120" s="1" t="s">
        <v>150</v>
      </c>
      <c r="CH120" s="1" t="s">
        <v>150</v>
      </c>
      <c r="CI120" s="1" t="s">
        <v>150</v>
      </c>
      <c r="CJ120" s="1" t="s">
        <v>150</v>
      </c>
      <c r="CK120" s="1" t="s">
        <v>150</v>
      </c>
      <c r="CL120" s="1" t="s">
        <v>250</v>
      </c>
      <c r="CM120" s="7">
        <v>8.6</v>
      </c>
      <c r="CN120" s="7">
        <v>93.7</v>
      </c>
      <c r="CO120" s="7">
        <f t="shared" si="23"/>
        <v>8.0582</v>
      </c>
      <c r="CP120" s="7">
        <v>3.5</v>
      </c>
      <c r="CQ120" s="7">
        <f t="shared" si="10"/>
        <v>0.282037</v>
      </c>
      <c r="CR120" s="7">
        <v>2.8</v>
      </c>
      <c r="CS120" s="7">
        <f t="shared" si="11"/>
        <v>0.007897036</v>
      </c>
      <c r="CT120" s="7">
        <v>0.0</v>
      </c>
      <c r="CU120" s="7">
        <f t="shared" si="12"/>
        <v>0</v>
      </c>
      <c r="CV120" s="7">
        <f t="shared" si="13"/>
        <v>28.57142857</v>
      </c>
      <c r="CW120" s="7">
        <v>3.56</v>
      </c>
      <c r="CX120" s="7">
        <v>132.0</v>
      </c>
      <c r="CY120" s="7" t="str">
        <f t="shared" si="14"/>
        <v>Норма</v>
      </c>
      <c r="CZ120" s="9"/>
      <c r="DA120" s="7">
        <v>126.0</v>
      </c>
      <c r="DB120" s="7">
        <v>229.8</v>
      </c>
      <c r="DC120" s="7">
        <v>10.2</v>
      </c>
      <c r="DD120" s="7">
        <v>78.2</v>
      </c>
      <c r="DE120" s="7"/>
      <c r="DF120" s="7">
        <v>17.3</v>
      </c>
      <c r="DG120" s="7"/>
      <c r="DH120" s="7">
        <v>4.1</v>
      </c>
      <c r="DI120" s="7"/>
      <c r="DJ120" s="7">
        <v>0.0</v>
      </c>
      <c r="DK120" s="7"/>
      <c r="DL120" s="7"/>
      <c r="DM120" s="7">
        <v>4.39</v>
      </c>
      <c r="DN120" s="7">
        <v>136.0</v>
      </c>
      <c r="DO120" s="7" t="str">
        <f t="shared" si="15"/>
        <v>Норма</v>
      </c>
      <c r="DP120" s="9"/>
      <c r="DQ120" s="7">
        <v>131.0</v>
      </c>
      <c r="DR120" s="7">
        <v>0.0</v>
      </c>
      <c r="DS120" s="13">
        <v>451.2</v>
      </c>
      <c r="DT120" s="7">
        <v>32.1</v>
      </c>
      <c r="DU120" s="7">
        <v>1.068</v>
      </c>
      <c r="DV120" s="7">
        <v>1.07</v>
      </c>
      <c r="DW120" s="1" t="s">
        <v>320</v>
      </c>
      <c r="DX120" s="9"/>
      <c r="DY120" s="7">
        <v>20.7</v>
      </c>
      <c r="DZ120" s="7">
        <v>0.966</v>
      </c>
      <c r="EA120" s="7">
        <v>0.96</v>
      </c>
      <c r="EB120" s="7"/>
      <c r="EC120" s="7">
        <v>6.38</v>
      </c>
      <c r="ED120" s="7">
        <v>16.31</v>
      </c>
      <c r="EE120" s="7">
        <v>22.98</v>
      </c>
      <c r="EF120" s="7">
        <v>26.61</v>
      </c>
      <c r="EG120" s="7">
        <v>64.4</v>
      </c>
      <c r="EH120" s="7">
        <v>9.38</v>
      </c>
      <c r="EI120" s="9"/>
      <c r="EJ120" s="7">
        <v>171.13</v>
      </c>
      <c r="EK120" s="14">
        <f t="shared" si="16"/>
        <v>26.12005389</v>
      </c>
      <c r="EL120" s="11" t="str">
        <f t="shared" si="17"/>
        <v>C4</v>
      </c>
      <c r="EM120" s="7">
        <v>133.6</v>
      </c>
      <c r="EN120" s="7">
        <v>4.77</v>
      </c>
      <c r="EO120" s="7">
        <v>35.3</v>
      </c>
      <c r="EP120" s="7">
        <v>15.6</v>
      </c>
      <c r="EQ120" s="7">
        <v>59.7</v>
      </c>
      <c r="ER120" s="7">
        <v>28.5</v>
      </c>
      <c r="ES120" s="7">
        <v>8.1</v>
      </c>
      <c r="ET120" s="7">
        <v>63.0</v>
      </c>
      <c r="EU120" s="11">
        <f t="shared" si="18"/>
        <v>87.43043922</v>
      </c>
      <c r="EV120" s="11" t="str">
        <f t="shared" si="19"/>
        <v>C2</v>
      </c>
      <c r="EW120" s="9"/>
      <c r="EX120" s="9"/>
      <c r="EY120" s="9">
        <f t="shared" si="20"/>
        <v>0.1154914793</v>
      </c>
      <c r="EZ120" s="9">
        <f t="shared" si="21"/>
        <v>0.4711591803</v>
      </c>
      <c r="FA120" s="9" t="str">
        <f t="shared" si="22"/>
        <v>Благоприятный</v>
      </c>
      <c r="FB120" s="1" t="s">
        <v>150</v>
      </c>
      <c r="FC120" s="1" t="s">
        <v>148</v>
      </c>
    </row>
    <row r="121">
      <c r="A121" s="7">
        <v>120.0</v>
      </c>
      <c r="B121" s="21">
        <v>80.0</v>
      </c>
      <c r="C121" s="25">
        <v>9141.0</v>
      </c>
      <c r="D121" s="1" t="s">
        <v>148</v>
      </c>
      <c r="E121" s="7">
        <v>72.0</v>
      </c>
      <c r="F121" s="1" t="s">
        <v>149</v>
      </c>
      <c r="G121" s="7"/>
      <c r="H121" s="7">
        <v>18.0</v>
      </c>
      <c r="I121" s="1" t="s">
        <v>150</v>
      </c>
      <c r="J121" s="1" t="s">
        <v>150</v>
      </c>
      <c r="K121" s="9"/>
      <c r="L121" s="1" t="s">
        <v>150</v>
      </c>
      <c r="M121" s="1" t="s">
        <v>150</v>
      </c>
      <c r="N121" s="9"/>
      <c r="O121" s="1" t="str">
        <f t="shared" si="1"/>
        <v>нет</v>
      </c>
      <c r="P121" s="1" t="s">
        <v>154</v>
      </c>
      <c r="Q121" s="1" t="s">
        <v>154</v>
      </c>
      <c r="R121" s="7">
        <v>3.0</v>
      </c>
      <c r="S121" s="1" t="s">
        <v>154</v>
      </c>
      <c r="T121" s="1" t="s">
        <v>399</v>
      </c>
      <c r="Y121" s="1" t="s">
        <v>150</v>
      </c>
      <c r="Z121" s="9"/>
      <c r="AA121" s="9"/>
      <c r="AB121" s="9"/>
      <c r="AC121" s="9"/>
      <c r="AD121" s="26" t="s">
        <v>400</v>
      </c>
      <c r="AE121" s="1" t="s">
        <v>150</v>
      </c>
      <c r="AF121" s="7">
        <v>0.0</v>
      </c>
      <c r="AG121" s="27" t="s">
        <v>162</v>
      </c>
      <c r="AH121" s="27" t="s">
        <v>152</v>
      </c>
      <c r="AI121" s="1" t="s">
        <v>168</v>
      </c>
      <c r="AJ121" s="7">
        <v>2.0</v>
      </c>
      <c r="AK121" s="1" t="s">
        <v>5</v>
      </c>
      <c r="AL121" s="1" t="s">
        <v>150</v>
      </c>
      <c r="AM121" s="9"/>
      <c r="AN121" s="1">
        <v>15.0</v>
      </c>
      <c r="AO121" s="1" t="str">
        <f t="shared" si="2"/>
        <v>нет</v>
      </c>
      <c r="AP121" s="7">
        <v>180.0</v>
      </c>
      <c r="AQ121" s="7">
        <v>75.0</v>
      </c>
      <c r="AR121" s="9">
        <f t="shared" si="3"/>
        <v>23.14814815</v>
      </c>
      <c r="AS121" s="7" t="str">
        <f t="shared" si="4"/>
        <v>Нормальный вес</v>
      </c>
      <c r="AT121" s="7">
        <v>110.0</v>
      </c>
      <c r="AU121" s="7">
        <v>70.0</v>
      </c>
      <c r="AV121" s="3">
        <v>83.0</v>
      </c>
      <c r="AW121" s="7">
        <v>70.0</v>
      </c>
      <c r="AX121" s="7">
        <v>38.0</v>
      </c>
      <c r="AY121" s="7">
        <v>24.0</v>
      </c>
      <c r="AZ121" s="7">
        <v>89.0</v>
      </c>
      <c r="BA121" s="10" t="str">
        <f t="shared" si="5"/>
        <v>да</v>
      </c>
      <c r="BB121" s="7">
        <v>94.0</v>
      </c>
      <c r="BC121" s="11"/>
      <c r="BD121" s="12" t="str">
        <f t="shared" si="6"/>
        <v>#DIV/0!</v>
      </c>
      <c r="BE121" s="12">
        <f t="shared" si="7"/>
        <v>1</v>
      </c>
      <c r="BF121" s="12">
        <f t="shared" si="8"/>
        <v>6</v>
      </c>
      <c r="BG121" s="15" t="s">
        <v>154</v>
      </c>
      <c r="BH121" s="9"/>
      <c r="BI121" s="1" t="s">
        <v>154</v>
      </c>
      <c r="BJ121" s="1" t="s">
        <v>175</v>
      </c>
      <c r="BK121" s="1" t="s">
        <v>150</v>
      </c>
      <c r="BL121" s="9"/>
      <c r="BM121" s="1" t="s">
        <v>154</v>
      </c>
      <c r="BN121" s="1" t="s">
        <v>155</v>
      </c>
      <c r="BO121" s="1" t="s">
        <v>154</v>
      </c>
      <c r="BP121" s="1" t="s">
        <v>157</v>
      </c>
      <c r="BQ121" s="9"/>
      <c r="BR121" s="1" t="s">
        <v>154</v>
      </c>
      <c r="BS121" s="1" t="s">
        <v>170</v>
      </c>
      <c r="BT121" s="28">
        <v>24.0</v>
      </c>
      <c r="BU121" s="1" t="s">
        <v>157</v>
      </c>
      <c r="BV121" s="7">
        <v>12.0</v>
      </c>
      <c r="BW121" s="1" t="s">
        <v>150</v>
      </c>
      <c r="BX121" s="10" t="s">
        <v>154</v>
      </c>
      <c r="BY121" s="1" t="s">
        <v>258</v>
      </c>
      <c r="BZ121" s="29" t="s">
        <v>158</v>
      </c>
      <c r="CA121" s="1" t="s">
        <v>167</v>
      </c>
      <c r="CB121" s="1" t="s">
        <v>185</v>
      </c>
      <c r="CC121" s="1" t="s">
        <v>150</v>
      </c>
      <c r="CD121" s="1" t="s">
        <v>212</v>
      </c>
      <c r="CE121" s="1" t="s">
        <v>150</v>
      </c>
      <c r="CF121" s="1" t="s">
        <v>150</v>
      </c>
      <c r="CG121" s="1" t="s">
        <v>150</v>
      </c>
      <c r="CH121" s="1" t="s">
        <v>150</v>
      </c>
      <c r="CI121" s="1" t="s">
        <v>150</v>
      </c>
      <c r="CJ121" s="1" t="s">
        <v>150</v>
      </c>
      <c r="CK121" s="1" t="s">
        <v>150</v>
      </c>
      <c r="CL121" s="9"/>
      <c r="CM121" s="7">
        <v>9.19</v>
      </c>
      <c r="CN121" s="7">
        <v>90.8</v>
      </c>
      <c r="CO121" s="7">
        <f t="shared" si="23"/>
        <v>8.34452</v>
      </c>
      <c r="CP121" s="7">
        <v>4.5</v>
      </c>
      <c r="CQ121" s="7">
        <f t="shared" si="10"/>
        <v>0.3755034</v>
      </c>
      <c r="CR121" s="7">
        <v>4.5</v>
      </c>
      <c r="CS121" s="7">
        <f t="shared" si="11"/>
        <v>0.016897653</v>
      </c>
      <c r="CT121" s="7">
        <v>0.0</v>
      </c>
      <c r="CU121" s="7">
        <f t="shared" si="12"/>
        <v>0</v>
      </c>
      <c r="CV121" s="7">
        <f t="shared" si="13"/>
        <v>22.22222222</v>
      </c>
      <c r="CW121" s="7">
        <v>5.12</v>
      </c>
      <c r="CX121" s="7">
        <v>148.0</v>
      </c>
      <c r="CY121" s="7" t="str">
        <f t="shared" si="14"/>
        <v>Норма</v>
      </c>
      <c r="CZ121" s="7">
        <v>15.0</v>
      </c>
      <c r="DA121" s="7">
        <v>144.0</v>
      </c>
      <c r="DB121" s="7">
        <v>15.7</v>
      </c>
      <c r="DC121" s="7">
        <v>8.82</v>
      </c>
      <c r="DD121" s="7">
        <v>88.1</v>
      </c>
      <c r="DE121" s="7"/>
      <c r="DF121" s="7">
        <v>3.6</v>
      </c>
      <c r="DG121" s="7"/>
      <c r="DH121" s="7">
        <v>7.3</v>
      </c>
      <c r="DI121" s="7"/>
      <c r="DJ121" s="7">
        <v>0.0</v>
      </c>
      <c r="DK121" s="7"/>
      <c r="DL121" s="7"/>
      <c r="DM121" s="7">
        <v>4.71</v>
      </c>
      <c r="DN121" s="7">
        <v>135.0</v>
      </c>
      <c r="DO121" s="7" t="str">
        <f t="shared" si="15"/>
        <v>Норма</v>
      </c>
      <c r="DP121" s="7">
        <v>6.0</v>
      </c>
      <c r="DQ121" s="7">
        <v>124.0</v>
      </c>
      <c r="DR121" s="7">
        <v>7.8</v>
      </c>
      <c r="DS121" s="13">
        <v>710.0</v>
      </c>
      <c r="DT121" s="7">
        <v>28.7</v>
      </c>
      <c r="DU121" s="7">
        <v>13.5</v>
      </c>
      <c r="DV121" s="7">
        <v>1.15</v>
      </c>
      <c r="DW121" s="1" t="s">
        <v>320</v>
      </c>
      <c r="DX121" s="9"/>
      <c r="DY121" s="7">
        <v>29.4</v>
      </c>
      <c r="DZ121" s="7">
        <v>12.8</v>
      </c>
      <c r="EA121" s="7">
        <v>1.09</v>
      </c>
      <c r="EB121" s="7"/>
      <c r="EC121" s="7">
        <v>8.5</v>
      </c>
      <c r="ED121" s="7">
        <v>24.44</v>
      </c>
      <c r="EE121" s="7">
        <v>53.4</v>
      </c>
      <c r="EF121" s="7">
        <v>57.01</v>
      </c>
      <c r="EG121" s="7">
        <v>73.3</v>
      </c>
      <c r="EH121" s="7">
        <v>10.86</v>
      </c>
      <c r="EI121" s="7">
        <v>2.57</v>
      </c>
      <c r="EJ121" s="7">
        <v>98.9</v>
      </c>
      <c r="EK121" s="14">
        <f t="shared" si="16"/>
        <v>49.27992769</v>
      </c>
      <c r="EL121" s="11" t="str">
        <f t="shared" si="17"/>
        <v>C3a</v>
      </c>
      <c r="EM121" s="7">
        <v>137.7</v>
      </c>
      <c r="EN121" s="7">
        <v>4.92</v>
      </c>
      <c r="EO121" s="7">
        <v>50.25</v>
      </c>
      <c r="EP121" s="7">
        <v>16.01</v>
      </c>
      <c r="EQ121" s="7">
        <v>56.0</v>
      </c>
      <c r="ER121" s="7">
        <v>12.8</v>
      </c>
      <c r="ES121" s="7">
        <v>1.98</v>
      </c>
      <c r="ET121" s="7">
        <v>108.64</v>
      </c>
      <c r="EU121" s="11">
        <f t="shared" si="18"/>
        <v>43.9896759</v>
      </c>
      <c r="EV121" s="11" t="str">
        <f t="shared" si="19"/>
        <v>C3b</v>
      </c>
      <c r="EW121" s="7">
        <v>132.1</v>
      </c>
      <c r="EX121" s="7">
        <v>5.08</v>
      </c>
      <c r="EY121" s="9">
        <f t="shared" si="20"/>
        <v>0.2624895926</v>
      </c>
      <c r="EZ121" s="9">
        <f t="shared" si="21"/>
        <v>0.43475181</v>
      </c>
      <c r="FA121" s="9" t="str">
        <f t="shared" si="22"/>
        <v>Благоприятный</v>
      </c>
      <c r="FB121" s="1" t="s">
        <v>150</v>
      </c>
      <c r="FC121" s="1" t="s">
        <v>148</v>
      </c>
    </row>
    <row r="122">
      <c r="A122" s="7">
        <v>121.0</v>
      </c>
      <c r="B122" s="21">
        <v>81.0</v>
      </c>
      <c r="C122" s="25">
        <v>9076.0</v>
      </c>
      <c r="D122" s="1" t="s">
        <v>148</v>
      </c>
      <c r="E122" s="7">
        <v>50.0</v>
      </c>
      <c r="F122" s="1" t="s">
        <v>161</v>
      </c>
      <c r="G122" s="7"/>
      <c r="H122" s="7">
        <v>15.0</v>
      </c>
      <c r="I122" s="1" t="s">
        <v>150</v>
      </c>
      <c r="J122" s="1" t="s">
        <v>150</v>
      </c>
      <c r="K122" s="9"/>
      <c r="L122" s="1" t="s">
        <v>150</v>
      </c>
      <c r="M122" s="1" t="s">
        <v>150</v>
      </c>
      <c r="N122" s="9"/>
      <c r="O122" s="1" t="str">
        <f t="shared" si="1"/>
        <v>да</v>
      </c>
      <c r="P122" s="1" t="s">
        <v>150</v>
      </c>
      <c r="Q122" s="1" t="s">
        <v>154</v>
      </c>
      <c r="R122" s="7">
        <v>2.0</v>
      </c>
      <c r="S122" s="1" t="s">
        <v>150</v>
      </c>
      <c r="T122" s="9"/>
      <c r="U122" s="9"/>
      <c r="V122" s="9"/>
      <c r="W122" s="9"/>
      <c r="X122" s="9"/>
      <c r="Y122" s="1" t="s">
        <v>150</v>
      </c>
      <c r="Z122" s="9"/>
      <c r="AA122" s="9"/>
      <c r="AB122" s="9"/>
      <c r="AC122" s="9"/>
      <c r="AD122" s="26" t="s">
        <v>401</v>
      </c>
      <c r="AE122" s="1" t="s">
        <v>154</v>
      </c>
      <c r="AF122" s="7">
        <v>7.0</v>
      </c>
      <c r="AG122" s="27" t="s">
        <v>162</v>
      </c>
      <c r="AH122" s="27" t="s">
        <v>152</v>
      </c>
      <c r="AI122" s="1" t="s">
        <v>168</v>
      </c>
      <c r="AJ122" s="9"/>
      <c r="AK122" s="1" t="s">
        <v>5</v>
      </c>
      <c r="AL122" s="1" t="s">
        <v>150</v>
      </c>
      <c r="AM122" s="9"/>
      <c r="AN122" s="1">
        <v>15.0</v>
      </c>
      <c r="AO122" s="1" t="str">
        <f t="shared" si="2"/>
        <v>нет</v>
      </c>
      <c r="AP122" s="7">
        <v>161.0</v>
      </c>
      <c r="AQ122" s="7">
        <v>103.0</v>
      </c>
      <c r="AR122" s="9">
        <f t="shared" si="3"/>
        <v>39.73612129</v>
      </c>
      <c r="AS122" s="7" t="str">
        <f t="shared" si="4"/>
        <v>Ожирение II степени</v>
      </c>
      <c r="AT122" s="7">
        <v>150.0</v>
      </c>
      <c r="AU122" s="7">
        <v>89.0</v>
      </c>
      <c r="AV122" s="3">
        <v>109.0</v>
      </c>
      <c r="AW122" s="7">
        <v>101.0</v>
      </c>
      <c r="AX122" s="7">
        <v>37.5</v>
      </c>
      <c r="AY122" s="7">
        <v>25.0</v>
      </c>
      <c r="AZ122" s="7">
        <v>75.0</v>
      </c>
      <c r="BA122" s="10" t="str">
        <f t="shared" si="5"/>
        <v>да</v>
      </c>
      <c r="BB122" s="7">
        <v>92.0</v>
      </c>
      <c r="BC122" s="11"/>
      <c r="BD122" s="12" t="str">
        <f t="shared" si="6"/>
        <v>#DIV/0!</v>
      </c>
      <c r="BE122" s="12">
        <f t="shared" si="7"/>
        <v>1</v>
      </c>
      <c r="BF122" s="12">
        <f t="shared" si="8"/>
        <v>7</v>
      </c>
      <c r="BG122" s="15" t="s">
        <v>150</v>
      </c>
      <c r="BH122" s="9"/>
      <c r="BI122" s="15" t="s">
        <v>154</v>
      </c>
      <c r="BJ122" s="15" t="s">
        <v>285</v>
      </c>
      <c r="BK122" s="15" t="s">
        <v>150</v>
      </c>
      <c r="BL122" s="9"/>
      <c r="BM122" s="15" t="s">
        <v>154</v>
      </c>
      <c r="BN122" s="15" t="s">
        <v>155</v>
      </c>
      <c r="BO122" s="15" t="s">
        <v>150</v>
      </c>
      <c r="BP122" s="9"/>
      <c r="BQ122" s="9"/>
      <c r="BR122" s="15" t="s">
        <v>154</v>
      </c>
      <c r="BS122" s="15" t="s">
        <v>306</v>
      </c>
      <c r="BT122" s="30"/>
      <c r="BU122" s="1" t="s">
        <v>157</v>
      </c>
      <c r="BV122" s="7">
        <v>16.0</v>
      </c>
      <c r="BW122" s="15" t="s">
        <v>150</v>
      </c>
      <c r="BX122" s="10" t="s">
        <v>154</v>
      </c>
      <c r="BY122" s="1" t="s">
        <v>239</v>
      </c>
      <c r="BZ122" s="29" t="s">
        <v>158</v>
      </c>
      <c r="CA122" s="1" t="s">
        <v>184</v>
      </c>
      <c r="CB122" s="1" t="s">
        <v>150</v>
      </c>
      <c r="CC122" s="1" t="s">
        <v>150</v>
      </c>
      <c r="CD122" s="9"/>
      <c r="CE122" s="1" t="s">
        <v>150</v>
      </c>
      <c r="CF122" s="1" t="s">
        <v>150</v>
      </c>
      <c r="CG122" s="1" t="s">
        <v>150</v>
      </c>
      <c r="CH122" s="1" t="s">
        <v>150</v>
      </c>
      <c r="CI122" s="1" t="s">
        <v>150</v>
      </c>
      <c r="CJ122" s="1" t="s">
        <v>150</v>
      </c>
      <c r="CK122" s="1" t="s">
        <v>150</v>
      </c>
      <c r="CL122" s="1" t="s">
        <v>402</v>
      </c>
      <c r="CM122" s="7">
        <v>8.1</v>
      </c>
      <c r="CN122" s="7"/>
      <c r="CO122" s="7">
        <f t="shared" si="23"/>
        <v>0</v>
      </c>
      <c r="CP122" s="7"/>
      <c r="CQ122" s="7">
        <f t="shared" si="10"/>
        <v>0</v>
      </c>
      <c r="CR122" s="7"/>
      <c r="CS122" s="7">
        <f t="shared" si="11"/>
        <v>0</v>
      </c>
      <c r="CT122" s="7"/>
      <c r="CU122" s="7">
        <f t="shared" si="12"/>
        <v>0</v>
      </c>
      <c r="CV122" s="7" t="str">
        <f t="shared" si="13"/>
        <v>#DIV/0!</v>
      </c>
      <c r="CW122" s="7">
        <v>4.24</v>
      </c>
      <c r="CX122" s="7">
        <v>117.0</v>
      </c>
      <c r="CY122" s="7" t="str">
        <f t="shared" si="14"/>
        <v>Легкая степень</v>
      </c>
      <c r="CZ122" s="9"/>
      <c r="DA122" s="7">
        <v>279.0</v>
      </c>
      <c r="DB122" s="7">
        <v>29.4</v>
      </c>
      <c r="DC122" s="7">
        <v>8.2</v>
      </c>
      <c r="DD122" s="7"/>
      <c r="DE122" s="7"/>
      <c r="DF122" s="7"/>
      <c r="DG122" s="7"/>
      <c r="DH122" s="7"/>
      <c r="DI122" s="7"/>
      <c r="DJ122" s="7"/>
      <c r="DK122" s="7"/>
      <c r="DL122" s="7"/>
      <c r="DM122" s="7">
        <v>4.79</v>
      </c>
      <c r="DN122" s="7">
        <v>144.0</v>
      </c>
      <c r="DO122" s="7" t="str">
        <f t="shared" si="15"/>
        <v>Норма</v>
      </c>
      <c r="DP122" s="9"/>
      <c r="DQ122" s="7">
        <v>177.0</v>
      </c>
      <c r="DR122" s="7">
        <v>8.9</v>
      </c>
      <c r="DS122" s="13">
        <v>550.0</v>
      </c>
      <c r="DT122" s="7">
        <v>26.1</v>
      </c>
      <c r="DU122" s="7">
        <v>11.7</v>
      </c>
      <c r="DV122" s="7">
        <v>1.0</v>
      </c>
      <c r="DW122" s="1" t="s">
        <v>320</v>
      </c>
      <c r="DX122" s="9"/>
      <c r="DY122" s="7">
        <v>23.2</v>
      </c>
      <c r="DZ122" s="7">
        <v>11.0</v>
      </c>
      <c r="EA122" s="7">
        <v>0.94</v>
      </c>
      <c r="EB122" s="7"/>
      <c r="EC122" s="7">
        <v>6.48</v>
      </c>
      <c r="ED122" s="7">
        <v>6.65</v>
      </c>
      <c r="EE122" s="7">
        <v>36.3</v>
      </c>
      <c r="EF122" s="7">
        <v>46.9</v>
      </c>
      <c r="EG122" s="7">
        <v>67.6</v>
      </c>
      <c r="EH122" s="7">
        <v>6.4</v>
      </c>
      <c r="EI122" s="7">
        <v>3.8</v>
      </c>
      <c r="EJ122" s="7">
        <v>76.0</v>
      </c>
      <c r="EK122" s="14">
        <f t="shared" si="16"/>
        <v>79.08156922</v>
      </c>
      <c r="EL122" s="11" t="str">
        <f t="shared" si="17"/>
        <v>C2</v>
      </c>
      <c r="EM122" s="7">
        <v>138.4</v>
      </c>
      <c r="EN122" s="7">
        <v>4.27</v>
      </c>
      <c r="EO122" s="7">
        <v>28.3</v>
      </c>
      <c r="EP122" s="7">
        <v>16.8</v>
      </c>
      <c r="EQ122" s="7">
        <v>65.1</v>
      </c>
      <c r="ER122" s="7">
        <v>10.7</v>
      </c>
      <c r="ES122" s="7">
        <v>3.8</v>
      </c>
      <c r="ET122" s="7">
        <v>79.0</v>
      </c>
      <c r="EU122" s="11">
        <f t="shared" si="18"/>
        <v>75.46537912</v>
      </c>
      <c r="EV122" s="11" t="str">
        <f t="shared" si="19"/>
        <v>C2</v>
      </c>
      <c r="EW122" s="7">
        <v>139.9</v>
      </c>
      <c r="EX122" s="7">
        <v>4.37</v>
      </c>
      <c r="EY122" s="9">
        <f t="shared" si="20"/>
        <v>-0.8296442518</v>
      </c>
      <c r="EZ122" s="9">
        <f t="shared" si="21"/>
        <v>0.6962797035</v>
      </c>
      <c r="FA122" s="9" t="str">
        <f t="shared" si="22"/>
        <v>Неблагоприятный</v>
      </c>
      <c r="FB122" s="1" t="s">
        <v>256</v>
      </c>
      <c r="FC122" s="1" t="s">
        <v>148</v>
      </c>
    </row>
    <row r="123">
      <c r="A123" s="7">
        <v>122.0</v>
      </c>
      <c r="B123" s="21">
        <v>82.0</v>
      </c>
      <c r="C123" s="25">
        <v>6969.0</v>
      </c>
      <c r="D123" s="1" t="s">
        <v>148</v>
      </c>
      <c r="E123" s="7">
        <v>52.0</v>
      </c>
      <c r="F123" s="1" t="s">
        <v>161</v>
      </c>
      <c r="G123" s="7"/>
      <c r="H123" s="7">
        <v>33.0</v>
      </c>
      <c r="I123" s="1" t="s">
        <v>150</v>
      </c>
      <c r="J123" s="1" t="s">
        <v>154</v>
      </c>
      <c r="K123" s="1" t="s">
        <v>403</v>
      </c>
      <c r="L123" s="1" t="s">
        <v>150</v>
      </c>
      <c r="M123" s="1" t="s">
        <v>154</v>
      </c>
      <c r="N123" s="1" t="s">
        <v>192</v>
      </c>
      <c r="O123" s="1" t="str">
        <f t="shared" si="1"/>
        <v>нет</v>
      </c>
      <c r="P123" s="1" t="s">
        <v>154</v>
      </c>
      <c r="Q123" s="1" t="s">
        <v>154</v>
      </c>
      <c r="R123" s="7">
        <v>2.0</v>
      </c>
      <c r="S123" s="1" t="s">
        <v>150</v>
      </c>
      <c r="T123" s="9"/>
      <c r="U123" s="9"/>
      <c r="V123" s="9"/>
      <c r="W123" s="9"/>
      <c r="X123" s="9"/>
      <c r="Y123" s="1" t="s">
        <v>150</v>
      </c>
      <c r="Z123" s="9"/>
      <c r="AA123" s="9"/>
      <c r="AB123" s="9"/>
      <c r="AC123" s="9"/>
      <c r="AD123" s="26" t="s">
        <v>404</v>
      </c>
      <c r="AE123" s="1" t="s">
        <v>154</v>
      </c>
      <c r="AF123" s="7">
        <v>5.0</v>
      </c>
      <c r="AG123" s="27" t="s">
        <v>162</v>
      </c>
      <c r="AH123" s="27" t="s">
        <v>152</v>
      </c>
      <c r="AI123" s="1" t="s">
        <v>168</v>
      </c>
      <c r="AJ123" s="7">
        <v>3.0</v>
      </c>
      <c r="AK123" s="1" t="s">
        <v>5</v>
      </c>
      <c r="AL123" s="1" t="s">
        <v>150</v>
      </c>
      <c r="AM123" s="9"/>
      <c r="AN123" s="1">
        <v>15.0</v>
      </c>
      <c r="AO123" s="1" t="str">
        <f t="shared" si="2"/>
        <v>нет</v>
      </c>
      <c r="AP123" s="7">
        <v>160.0</v>
      </c>
      <c r="AQ123" s="7">
        <v>84.0</v>
      </c>
      <c r="AR123" s="9">
        <f t="shared" si="3"/>
        <v>32.8125</v>
      </c>
      <c r="AS123" s="7" t="str">
        <f t="shared" si="4"/>
        <v>Ожирение I степени</v>
      </c>
      <c r="AT123" s="7">
        <v>138.0</v>
      </c>
      <c r="AU123" s="7">
        <v>97.0</v>
      </c>
      <c r="AV123" s="3">
        <v>111.0</v>
      </c>
      <c r="AW123" s="7">
        <v>109.0</v>
      </c>
      <c r="AX123" s="7">
        <v>37.4</v>
      </c>
      <c r="AY123" s="7">
        <v>20.0</v>
      </c>
      <c r="AZ123" s="7">
        <v>80.0</v>
      </c>
      <c r="BA123" s="10" t="str">
        <f t="shared" si="5"/>
        <v>да</v>
      </c>
      <c r="BB123" s="7">
        <v>84.0</v>
      </c>
      <c r="BC123" s="11"/>
      <c r="BD123" s="12" t="str">
        <f t="shared" si="6"/>
        <v>#DIV/0!</v>
      </c>
      <c r="BE123" s="12">
        <f t="shared" si="7"/>
        <v>0</v>
      </c>
      <c r="BF123" s="12">
        <f t="shared" si="8"/>
        <v>4</v>
      </c>
      <c r="BG123" s="15" t="s">
        <v>154</v>
      </c>
      <c r="BH123" s="15" t="s">
        <v>169</v>
      </c>
      <c r="BI123" s="1" t="s">
        <v>154</v>
      </c>
      <c r="BJ123" s="1" t="s">
        <v>285</v>
      </c>
      <c r="BK123" s="1" t="s">
        <v>150</v>
      </c>
      <c r="BL123" s="9"/>
      <c r="BM123" s="1" t="s">
        <v>154</v>
      </c>
      <c r="BN123" s="1" t="s">
        <v>155</v>
      </c>
      <c r="BO123" s="1" t="s">
        <v>150</v>
      </c>
      <c r="BP123" s="9"/>
      <c r="BQ123" s="9"/>
      <c r="BR123" s="1" t="s">
        <v>154</v>
      </c>
      <c r="BS123" s="1" t="s">
        <v>306</v>
      </c>
      <c r="BT123" s="28">
        <v>24.0</v>
      </c>
      <c r="BU123" s="1" t="s">
        <v>405</v>
      </c>
      <c r="BV123" s="7">
        <v>16.0</v>
      </c>
      <c r="BW123" s="1" t="s">
        <v>154</v>
      </c>
      <c r="BX123" s="10" t="s">
        <v>154</v>
      </c>
      <c r="BY123" s="1" t="s">
        <v>269</v>
      </c>
      <c r="BZ123" s="29" t="s">
        <v>158</v>
      </c>
      <c r="CA123" s="1" t="s">
        <v>167</v>
      </c>
      <c r="CB123" s="1" t="s">
        <v>150</v>
      </c>
      <c r="CC123" s="1" t="s">
        <v>150</v>
      </c>
      <c r="CD123" s="9"/>
      <c r="CE123" s="1" t="s">
        <v>150</v>
      </c>
      <c r="CF123" s="1" t="s">
        <v>150</v>
      </c>
      <c r="CG123" s="1" t="s">
        <v>150</v>
      </c>
      <c r="CH123" s="1" t="s">
        <v>150</v>
      </c>
      <c r="CI123" s="1" t="s">
        <v>150</v>
      </c>
      <c r="CJ123" s="1" t="s">
        <v>150</v>
      </c>
      <c r="CK123" s="1" t="s">
        <v>150</v>
      </c>
      <c r="CL123" s="1" t="s">
        <v>304</v>
      </c>
      <c r="CM123" s="7">
        <v>11.4</v>
      </c>
      <c r="CN123" s="7">
        <v>76.6</v>
      </c>
      <c r="CO123" s="7">
        <f t="shared" si="23"/>
        <v>8.7324</v>
      </c>
      <c r="CP123" s="7">
        <v>11.1</v>
      </c>
      <c r="CQ123" s="7">
        <f t="shared" si="10"/>
        <v>0.9692964</v>
      </c>
      <c r="CR123" s="7">
        <v>12.0</v>
      </c>
      <c r="CS123" s="7">
        <f t="shared" si="11"/>
        <v>0.116315568</v>
      </c>
      <c r="CT123" s="7">
        <v>0.0</v>
      </c>
      <c r="CU123" s="7">
        <f t="shared" si="12"/>
        <v>0</v>
      </c>
      <c r="CV123" s="7">
        <f t="shared" si="13"/>
        <v>9.009009009</v>
      </c>
      <c r="CW123" s="7">
        <v>5.07</v>
      </c>
      <c r="CX123" s="7">
        <v>148.0</v>
      </c>
      <c r="CY123" s="7" t="str">
        <f t="shared" si="14"/>
        <v>Норма</v>
      </c>
      <c r="CZ123" s="9"/>
      <c r="DA123" s="7">
        <v>280.0</v>
      </c>
      <c r="DB123" s="7">
        <v>57.3</v>
      </c>
      <c r="DC123" s="7">
        <v>10.7</v>
      </c>
      <c r="DD123" s="7">
        <v>80.4</v>
      </c>
      <c r="DE123" s="7"/>
      <c r="DF123" s="7">
        <v>17.1</v>
      </c>
      <c r="DG123" s="7"/>
      <c r="DH123" s="7">
        <v>2.0</v>
      </c>
      <c r="DI123" s="7"/>
      <c r="DJ123" s="7">
        <v>0.0</v>
      </c>
      <c r="DK123" s="7"/>
      <c r="DL123" s="7"/>
      <c r="DM123" s="7">
        <v>4.41</v>
      </c>
      <c r="DN123" s="7">
        <v>130.0</v>
      </c>
      <c r="DO123" s="7" t="str">
        <f t="shared" si="15"/>
        <v>Норма</v>
      </c>
      <c r="DP123" s="9"/>
      <c r="DQ123" s="7">
        <v>156.0</v>
      </c>
      <c r="DR123" s="7">
        <v>5.6</v>
      </c>
      <c r="DS123" s="13">
        <v>566.2</v>
      </c>
      <c r="DT123" s="7">
        <v>25.3</v>
      </c>
      <c r="DU123" s="7">
        <v>11.2</v>
      </c>
      <c r="DV123" s="7">
        <v>0.96</v>
      </c>
      <c r="DW123" s="1" t="s">
        <v>320</v>
      </c>
      <c r="DX123" s="9"/>
      <c r="DY123" s="7">
        <v>31.2</v>
      </c>
      <c r="DZ123" s="7">
        <v>12.4</v>
      </c>
      <c r="EA123" s="7">
        <v>1.06</v>
      </c>
      <c r="EB123" s="7"/>
      <c r="EC123" s="7">
        <v>8.56</v>
      </c>
      <c r="ED123" s="7">
        <v>6.7</v>
      </c>
      <c r="EE123" s="7">
        <v>30.5</v>
      </c>
      <c r="EF123" s="7">
        <v>90.8</v>
      </c>
      <c r="EG123" s="7">
        <v>74.7</v>
      </c>
      <c r="EH123" s="7">
        <v>7.6</v>
      </c>
      <c r="EI123" s="7">
        <v>3.3</v>
      </c>
      <c r="EJ123" s="7">
        <v>72.0</v>
      </c>
      <c r="EK123" s="14">
        <f t="shared" si="16"/>
        <v>83.24581707</v>
      </c>
      <c r="EL123" s="11" t="str">
        <f t="shared" si="17"/>
        <v>C2</v>
      </c>
      <c r="EM123" s="7">
        <v>139.7</v>
      </c>
      <c r="EN123" s="7">
        <v>4.18</v>
      </c>
      <c r="EO123" s="7">
        <v>29.66</v>
      </c>
      <c r="EP123" s="7">
        <v>73.1</v>
      </c>
      <c r="EQ123" s="7">
        <v>54.3</v>
      </c>
      <c r="ER123" s="7">
        <v>7.72</v>
      </c>
      <c r="ES123" s="7">
        <v>0.89</v>
      </c>
      <c r="ET123" s="7">
        <v>62.31</v>
      </c>
      <c r="EU123" s="11">
        <f t="shared" si="18"/>
        <v>99.14186566</v>
      </c>
      <c r="EV123" s="11" t="str">
        <f t="shared" si="19"/>
        <v>C1</v>
      </c>
      <c r="EW123" s="7">
        <v>132.0</v>
      </c>
      <c r="EX123" s="7">
        <v>4.21</v>
      </c>
      <c r="EY123" s="9">
        <f t="shared" si="20"/>
        <v>-0.68450875</v>
      </c>
      <c r="EZ123" s="9">
        <f t="shared" si="21"/>
        <v>0.6647442596</v>
      </c>
      <c r="FA123" s="9" t="str">
        <f t="shared" si="22"/>
        <v>Неблагоприятный</v>
      </c>
      <c r="FB123" s="1" t="s">
        <v>256</v>
      </c>
      <c r="FC123" s="1" t="s">
        <v>148</v>
      </c>
    </row>
    <row r="124">
      <c r="A124" s="7">
        <v>123.0</v>
      </c>
      <c r="B124" s="21">
        <v>83.0</v>
      </c>
      <c r="C124" s="25">
        <v>5840.0</v>
      </c>
      <c r="D124" s="1" t="s">
        <v>148</v>
      </c>
      <c r="E124" s="7">
        <v>44.0</v>
      </c>
      <c r="F124" s="1" t="s">
        <v>149</v>
      </c>
      <c r="G124" s="7"/>
      <c r="H124" s="7">
        <v>17.0</v>
      </c>
      <c r="I124" s="1" t="s">
        <v>150</v>
      </c>
      <c r="J124" s="1" t="s">
        <v>150</v>
      </c>
      <c r="K124" s="9"/>
      <c r="L124" s="1" t="s">
        <v>150</v>
      </c>
      <c r="M124" s="1" t="s">
        <v>150</v>
      </c>
      <c r="N124" s="9"/>
      <c r="O124" s="1" t="str">
        <f t="shared" si="1"/>
        <v>нет</v>
      </c>
      <c r="P124" s="1" t="s">
        <v>150</v>
      </c>
      <c r="Q124" s="1" t="s">
        <v>150</v>
      </c>
      <c r="R124" s="9"/>
      <c r="S124" s="1" t="s">
        <v>150</v>
      </c>
      <c r="T124" s="9"/>
      <c r="U124" s="9"/>
      <c r="V124" s="9"/>
      <c r="W124" s="9"/>
      <c r="X124" s="9"/>
      <c r="Y124" s="1" t="s">
        <v>150</v>
      </c>
      <c r="Z124" s="9"/>
      <c r="AA124" s="9"/>
      <c r="AB124" s="9"/>
      <c r="AC124" s="9"/>
      <c r="AD124" s="26" t="s">
        <v>406</v>
      </c>
      <c r="AE124" s="1" t="s">
        <v>150</v>
      </c>
      <c r="AF124" s="7">
        <v>0.0</v>
      </c>
      <c r="AG124" s="27" t="s">
        <v>162</v>
      </c>
      <c r="AH124" s="27" t="s">
        <v>152</v>
      </c>
      <c r="AI124" s="1" t="s">
        <v>168</v>
      </c>
      <c r="AJ124" s="7">
        <v>3.0</v>
      </c>
      <c r="AK124" s="1" t="s">
        <v>5</v>
      </c>
      <c r="AL124" s="1" t="s">
        <v>150</v>
      </c>
      <c r="AM124" s="9"/>
      <c r="AN124" s="1">
        <v>15.0</v>
      </c>
      <c r="AO124" s="1" t="str">
        <f t="shared" si="2"/>
        <v>нет</v>
      </c>
      <c r="AP124" s="7">
        <v>180.0</v>
      </c>
      <c r="AQ124" s="7">
        <v>90.0</v>
      </c>
      <c r="AR124" s="9">
        <f t="shared" si="3"/>
        <v>27.77777778</v>
      </c>
      <c r="AS124" s="7" t="str">
        <f t="shared" si="4"/>
        <v>Избыточный вес (предожирение)</v>
      </c>
      <c r="AT124" s="7">
        <v>120.0</v>
      </c>
      <c r="AU124" s="7">
        <v>80.0</v>
      </c>
      <c r="AV124" s="3">
        <v>93.0</v>
      </c>
      <c r="AW124" s="7">
        <v>103.0</v>
      </c>
      <c r="AX124" s="7">
        <v>38.0</v>
      </c>
      <c r="AY124" s="7">
        <v>19.0</v>
      </c>
      <c r="AZ124" s="7">
        <v>86.0</v>
      </c>
      <c r="BA124" s="10" t="str">
        <f t="shared" si="5"/>
        <v>да</v>
      </c>
      <c r="BB124" s="7">
        <v>95.0</v>
      </c>
      <c r="BC124" s="11"/>
      <c r="BD124" s="12" t="str">
        <f t="shared" si="6"/>
        <v>#DIV/0!</v>
      </c>
      <c r="BE124" s="12">
        <f t="shared" si="7"/>
        <v>0</v>
      </c>
      <c r="BF124" s="12">
        <f t="shared" si="8"/>
        <v>4</v>
      </c>
      <c r="BG124" s="15" t="s">
        <v>154</v>
      </c>
      <c r="BH124" s="15" t="s">
        <v>175</v>
      </c>
      <c r="BI124" s="15" t="s">
        <v>154</v>
      </c>
      <c r="BJ124" s="15" t="s">
        <v>407</v>
      </c>
      <c r="BK124" s="15" t="s">
        <v>150</v>
      </c>
      <c r="BL124" s="9"/>
      <c r="BM124" s="15" t="s">
        <v>154</v>
      </c>
      <c r="BN124" s="15" t="s">
        <v>155</v>
      </c>
      <c r="BO124" s="15" t="s">
        <v>150</v>
      </c>
      <c r="BP124" s="9"/>
      <c r="BQ124" s="9"/>
      <c r="BR124" s="15" t="s">
        <v>154</v>
      </c>
      <c r="BS124" s="15" t="s">
        <v>408</v>
      </c>
      <c r="BT124" s="30"/>
      <c r="BU124" s="1" t="s">
        <v>157</v>
      </c>
      <c r="BV124" s="7">
        <v>20.0</v>
      </c>
      <c r="BW124" s="15" t="s">
        <v>150</v>
      </c>
      <c r="BX124" s="10" t="s">
        <v>154</v>
      </c>
      <c r="BY124" s="1" t="s">
        <v>269</v>
      </c>
      <c r="BZ124" s="29" t="s">
        <v>158</v>
      </c>
      <c r="CA124" s="9"/>
      <c r="CB124" s="1" t="s">
        <v>150</v>
      </c>
      <c r="CC124" s="1" t="s">
        <v>150</v>
      </c>
      <c r="CD124" s="9"/>
      <c r="CE124" s="1" t="s">
        <v>150</v>
      </c>
      <c r="CF124" s="1" t="s">
        <v>150</v>
      </c>
      <c r="CG124" s="1" t="s">
        <v>150</v>
      </c>
      <c r="CH124" s="1" t="s">
        <v>150</v>
      </c>
      <c r="CI124" s="1" t="s">
        <v>150</v>
      </c>
      <c r="CJ124" s="1" t="s">
        <v>150</v>
      </c>
      <c r="CK124" s="1" t="s">
        <v>150</v>
      </c>
      <c r="CL124" s="9"/>
      <c r="CM124" s="7">
        <v>10.4</v>
      </c>
      <c r="CN124" s="7">
        <v>75.2</v>
      </c>
      <c r="CO124" s="7">
        <f t="shared" si="23"/>
        <v>7.8208</v>
      </c>
      <c r="CP124" s="7">
        <v>9.2</v>
      </c>
      <c r="CQ124" s="7">
        <f t="shared" si="10"/>
        <v>0.7195136</v>
      </c>
      <c r="CR124" s="7">
        <v>15.3</v>
      </c>
      <c r="CS124" s="7">
        <f t="shared" si="11"/>
        <v>0.1100855808</v>
      </c>
      <c r="CT124" s="7">
        <v>0.0</v>
      </c>
      <c r="CU124" s="7">
        <f t="shared" si="12"/>
        <v>0</v>
      </c>
      <c r="CV124" s="7">
        <f t="shared" si="13"/>
        <v>10.86956522</v>
      </c>
      <c r="CW124" s="7">
        <v>4.89</v>
      </c>
      <c r="CX124" s="7">
        <v>150.0</v>
      </c>
      <c r="CY124" s="7" t="str">
        <f t="shared" si="14"/>
        <v>Норма</v>
      </c>
      <c r="CZ124" s="9"/>
      <c r="DA124" s="7">
        <v>276.0</v>
      </c>
      <c r="DB124" s="7">
        <v>59.4</v>
      </c>
      <c r="DC124" s="7">
        <v>14.4</v>
      </c>
      <c r="DD124" s="7">
        <v>91.0</v>
      </c>
      <c r="DE124" s="7"/>
      <c r="DF124" s="7">
        <v>3.2</v>
      </c>
      <c r="DG124" s="7"/>
      <c r="DH124" s="7">
        <v>5.4</v>
      </c>
      <c r="DI124" s="7"/>
      <c r="DJ124" s="7">
        <v>0.0</v>
      </c>
      <c r="DK124" s="7"/>
      <c r="DL124" s="7"/>
      <c r="DM124" s="7">
        <v>4.57</v>
      </c>
      <c r="DN124" s="7">
        <v>138.0</v>
      </c>
      <c r="DO124" s="7" t="str">
        <f t="shared" si="15"/>
        <v>Норма</v>
      </c>
      <c r="DP124" s="9"/>
      <c r="DQ124" s="7">
        <v>240.0</v>
      </c>
      <c r="DR124" s="7">
        <v>5.31</v>
      </c>
      <c r="DS124" s="13">
        <v>900.0</v>
      </c>
      <c r="DT124" s="9"/>
      <c r="DU124" s="7">
        <v>13.3</v>
      </c>
      <c r="DV124" s="7">
        <v>1.14</v>
      </c>
      <c r="DW124" s="1" t="s">
        <v>320</v>
      </c>
      <c r="DX124" s="9"/>
      <c r="DY124" s="9"/>
      <c r="DZ124" s="7">
        <v>10.7</v>
      </c>
      <c r="EA124" s="7">
        <v>0.9</v>
      </c>
      <c r="EB124" s="7"/>
      <c r="EC124" s="7">
        <v>5.38</v>
      </c>
      <c r="ED124" s="7">
        <v>5.31</v>
      </c>
      <c r="EE124" s="7">
        <v>238.6</v>
      </c>
      <c r="EF124" s="7">
        <v>203.1</v>
      </c>
      <c r="EG124" s="7">
        <v>78.1</v>
      </c>
      <c r="EH124" s="7">
        <v>15.5</v>
      </c>
      <c r="EI124" s="7">
        <v>5.1</v>
      </c>
      <c r="EJ124" s="7">
        <v>91.0</v>
      </c>
      <c r="EK124" s="14">
        <f t="shared" si="16"/>
        <v>66.34411073</v>
      </c>
      <c r="EL124" s="11" t="str">
        <f t="shared" si="17"/>
        <v>C2</v>
      </c>
      <c r="EM124" s="9"/>
      <c r="EN124" s="9"/>
      <c r="EO124" s="7">
        <v>344.1</v>
      </c>
      <c r="EP124" s="7">
        <v>89.0</v>
      </c>
      <c r="EQ124" s="7">
        <v>54.0</v>
      </c>
      <c r="ER124" s="7">
        <v>14.6</v>
      </c>
      <c r="ES124" s="7">
        <v>5.6</v>
      </c>
      <c r="ET124" s="7">
        <v>82.0</v>
      </c>
      <c r="EU124" s="11">
        <f t="shared" si="18"/>
        <v>75.24583623</v>
      </c>
      <c r="EV124" s="11" t="str">
        <f t="shared" si="19"/>
        <v>C2</v>
      </c>
      <c r="EW124" s="7">
        <v>136.8</v>
      </c>
      <c r="EX124" s="7">
        <v>4.0</v>
      </c>
      <c r="EY124" s="9">
        <f t="shared" si="20"/>
        <v>1.166521111</v>
      </c>
      <c r="EZ124" s="9">
        <f t="shared" si="21"/>
        <v>0.2374843853</v>
      </c>
      <c r="FA124" s="9" t="str">
        <f t="shared" si="22"/>
        <v>Благоприятный</v>
      </c>
      <c r="FB124" s="1" t="s">
        <v>150</v>
      </c>
      <c r="FC124" s="1" t="s">
        <v>148</v>
      </c>
    </row>
    <row r="125">
      <c r="A125" s="7">
        <v>124.0</v>
      </c>
      <c r="B125" s="21">
        <v>84.0</v>
      </c>
      <c r="C125" s="25">
        <v>6702.0</v>
      </c>
      <c r="D125" s="1" t="s">
        <v>148</v>
      </c>
      <c r="E125" s="7">
        <v>63.0</v>
      </c>
      <c r="F125" s="1" t="s">
        <v>161</v>
      </c>
      <c r="G125" s="7"/>
      <c r="H125" s="7">
        <v>14.0</v>
      </c>
      <c r="I125" s="1" t="s">
        <v>150</v>
      </c>
      <c r="J125" s="1" t="s">
        <v>150</v>
      </c>
      <c r="K125" s="9"/>
      <c r="L125" s="1" t="s">
        <v>154</v>
      </c>
      <c r="M125" s="1" t="s">
        <v>154</v>
      </c>
      <c r="N125" s="1" t="s">
        <v>187</v>
      </c>
      <c r="O125" s="1" t="str">
        <f t="shared" si="1"/>
        <v>нет</v>
      </c>
      <c r="P125" s="1" t="s">
        <v>154</v>
      </c>
      <c r="Q125" s="1" t="s">
        <v>154</v>
      </c>
      <c r="R125" s="7">
        <v>2.0</v>
      </c>
      <c r="S125" s="1" t="s">
        <v>150</v>
      </c>
      <c r="T125" s="9"/>
      <c r="U125" s="9"/>
      <c r="V125" s="9"/>
      <c r="W125" s="9"/>
      <c r="X125" s="1" t="s">
        <v>154</v>
      </c>
      <c r="Y125" s="1" t="s">
        <v>154</v>
      </c>
      <c r="Z125" s="7">
        <v>1.0</v>
      </c>
      <c r="AA125" s="9"/>
      <c r="AB125" s="9"/>
      <c r="AC125" s="9"/>
      <c r="AD125" s="26"/>
      <c r="AE125" s="1" t="s">
        <v>150</v>
      </c>
      <c r="AF125" s="7">
        <v>0.0</v>
      </c>
      <c r="AG125" s="27" t="s">
        <v>162</v>
      </c>
      <c r="AH125" s="27" t="s">
        <v>152</v>
      </c>
      <c r="AI125" s="1" t="s">
        <v>168</v>
      </c>
      <c r="AJ125" s="9"/>
      <c r="AK125" s="1" t="s">
        <v>5</v>
      </c>
      <c r="AL125" s="1" t="s">
        <v>150</v>
      </c>
      <c r="AM125" s="9"/>
      <c r="AN125" s="1">
        <v>15.0</v>
      </c>
      <c r="AO125" s="1" t="str">
        <f t="shared" si="2"/>
        <v>нет</v>
      </c>
      <c r="AP125" s="7">
        <v>158.0</v>
      </c>
      <c r="AQ125" s="7">
        <v>65.0</v>
      </c>
      <c r="AR125" s="9">
        <f t="shared" si="3"/>
        <v>26.03749399</v>
      </c>
      <c r="AS125" s="7" t="str">
        <f t="shared" si="4"/>
        <v>Избыточный вес (предожирение)</v>
      </c>
      <c r="AT125" s="7">
        <v>154.0</v>
      </c>
      <c r="AU125" s="7">
        <v>84.0</v>
      </c>
      <c r="AV125" s="3">
        <v>107.0</v>
      </c>
      <c r="AW125" s="7">
        <v>88.0</v>
      </c>
      <c r="AX125" s="7">
        <v>37.2</v>
      </c>
      <c r="AY125" s="7">
        <v>22.0</v>
      </c>
      <c r="AZ125" s="7">
        <v>74.0</v>
      </c>
      <c r="BA125" s="10" t="str">
        <f t="shared" si="5"/>
        <v>да</v>
      </c>
      <c r="BB125" s="7">
        <v>90.0</v>
      </c>
      <c r="BC125" s="11"/>
      <c r="BD125" s="12" t="str">
        <f t="shared" si="6"/>
        <v>#DIV/0!</v>
      </c>
      <c r="BE125" s="12">
        <f t="shared" si="7"/>
        <v>1</v>
      </c>
      <c r="BF125" s="12">
        <f t="shared" si="8"/>
        <v>5</v>
      </c>
      <c r="BG125" s="15" t="s">
        <v>154</v>
      </c>
      <c r="BH125" s="15" t="s">
        <v>262</v>
      </c>
      <c r="BI125" s="1" t="s">
        <v>154</v>
      </c>
      <c r="BJ125" s="1" t="s">
        <v>285</v>
      </c>
      <c r="BK125" s="1" t="s">
        <v>150</v>
      </c>
      <c r="BL125" s="9"/>
      <c r="BM125" s="1" t="s">
        <v>154</v>
      </c>
      <c r="BN125" s="1" t="s">
        <v>155</v>
      </c>
      <c r="BO125" s="1" t="s">
        <v>154</v>
      </c>
      <c r="BP125" s="1" t="s">
        <v>303</v>
      </c>
      <c r="BQ125" s="9"/>
      <c r="BR125" s="1" t="s">
        <v>154</v>
      </c>
      <c r="BS125" s="1" t="s">
        <v>170</v>
      </c>
      <c r="BT125" s="30"/>
      <c r="BU125" s="1" t="s">
        <v>157</v>
      </c>
      <c r="BV125" s="7">
        <v>12.0</v>
      </c>
      <c r="BW125" s="1" t="s">
        <v>154</v>
      </c>
      <c r="BX125" s="10" t="s">
        <v>154</v>
      </c>
      <c r="BY125" s="1" t="s">
        <v>269</v>
      </c>
      <c r="BZ125" s="29" t="s">
        <v>158</v>
      </c>
      <c r="CA125" s="9"/>
      <c r="CB125" s="1" t="s">
        <v>150</v>
      </c>
      <c r="CC125" s="1" t="s">
        <v>150</v>
      </c>
      <c r="CD125" s="9"/>
      <c r="CE125" s="1" t="s">
        <v>150</v>
      </c>
      <c r="CF125" s="1" t="s">
        <v>150</v>
      </c>
      <c r="CG125" s="1" t="s">
        <v>150</v>
      </c>
      <c r="CH125" s="1" t="s">
        <v>150</v>
      </c>
      <c r="CI125" s="1" t="s">
        <v>150</v>
      </c>
      <c r="CJ125" s="1" t="s">
        <v>150</v>
      </c>
      <c r="CK125" s="1" t="s">
        <v>150</v>
      </c>
      <c r="CL125" s="9"/>
      <c r="CM125" s="7">
        <v>5.0</v>
      </c>
      <c r="CN125" s="7">
        <v>89.5</v>
      </c>
      <c r="CO125" s="7">
        <f t="shared" si="23"/>
        <v>4.475</v>
      </c>
      <c r="CP125" s="7">
        <v>6.5</v>
      </c>
      <c r="CQ125" s="7">
        <f t="shared" si="10"/>
        <v>0.290875</v>
      </c>
      <c r="CR125" s="7">
        <v>3.8</v>
      </c>
      <c r="CS125" s="7">
        <f t="shared" si="11"/>
        <v>0.01105325</v>
      </c>
      <c r="CT125" s="7">
        <v>0.0</v>
      </c>
      <c r="CU125" s="7">
        <f t="shared" si="12"/>
        <v>0</v>
      </c>
      <c r="CV125" s="7">
        <f t="shared" si="13"/>
        <v>15.38461538</v>
      </c>
      <c r="CW125" s="7">
        <v>3.64</v>
      </c>
      <c r="CX125" s="7">
        <v>107.0</v>
      </c>
      <c r="CY125" s="7" t="str">
        <f t="shared" si="14"/>
        <v>Средняя степень</v>
      </c>
      <c r="CZ125" s="9"/>
      <c r="DA125" s="9"/>
      <c r="DB125" s="7">
        <v>125.8</v>
      </c>
      <c r="DC125" s="7">
        <v>9.3</v>
      </c>
      <c r="DD125" s="7">
        <v>82.0</v>
      </c>
      <c r="DE125" s="7"/>
      <c r="DF125" s="7">
        <v>10.2</v>
      </c>
      <c r="DG125" s="7"/>
      <c r="DH125" s="7">
        <v>7.5</v>
      </c>
      <c r="DI125" s="7"/>
      <c r="DJ125" s="7"/>
      <c r="DK125" s="7"/>
      <c r="DL125" s="7"/>
      <c r="DM125" s="7">
        <v>3.73</v>
      </c>
      <c r="DN125" s="7">
        <v>108.0</v>
      </c>
      <c r="DO125" s="7" t="str">
        <f t="shared" si="15"/>
        <v>Средняя степень</v>
      </c>
      <c r="DP125" s="9"/>
      <c r="DQ125" s="9"/>
      <c r="DR125" s="7">
        <v>14.1</v>
      </c>
      <c r="DS125" s="13">
        <v>632.0</v>
      </c>
      <c r="DT125" s="9"/>
      <c r="DU125" s="7">
        <v>10.5</v>
      </c>
      <c r="DV125" s="7">
        <v>0.89</v>
      </c>
      <c r="DW125" s="1" t="s">
        <v>320</v>
      </c>
      <c r="DX125" s="9"/>
      <c r="DY125" s="9"/>
      <c r="DZ125" s="7">
        <v>11.8</v>
      </c>
      <c r="EA125" s="7">
        <v>1.003</v>
      </c>
      <c r="EB125" s="7"/>
      <c r="EC125" s="7">
        <v>18.32</v>
      </c>
      <c r="ED125" s="7">
        <v>16.43</v>
      </c>
      <c r="EE125" s="7">
        <v>8.0</v>
      </c>
      <c r="EF125" s="7">
        <v>21.6</v>
      </c>
      <c r="EG125" s="7">
        <v>66.8</v>
      </c>
      <c r="EH125" s="7">
        <v>7.7</v>
      </c>
      <c r="EI125" s="7">
        <v>3.7</v>
      </c>
      <c r="EJ125" s="7">
        <v>138.0</v>
      </c>
      <c r="EK125" s="14">
        <f t="shared" si="16"/>
        <v>35.09177422</v>
      </c>
      <c r="EL125" s="11" t="str">
        <f t="shared" si="17"/>
        <v>C3b</v>
      </c>
      <c r="EM125" s="7">
        <v>141.1</v>
      </c>
      <c r="EN125" s="7">
        <v>4.04</v>
      </c>
      <c r="EO125" s="7">
        <v>15.0</v>
      </c>
      <c r="EP125" s="7">
        <v>9.3</v>
      </c>
      <c r="EQ125" s="7">
        <v>62.1</v>
      </c>
      <c r="ER125" s="7">
        <v>8.9</v>
      </c>
      <c r="ES125" s="7">
        <v>4.3</v>
      </c>
      <c r="ET125" s="7">
        <v>123.0</v>
      </c>
      <c r="EU125" s="11">
        <f t="shared" si="18"/>
        <v>40.32959514</v>
      </c>
      <c r="EV125" s="11" t="str">
        <f t="shared" si="19"/>
        <v>C3b</v>
      </c>
      <c r="EW125" s="7">
        <v>121.8</v>
      </c>
      <c r="EX125" s="7">
        <v>2.78</v>
      </c>
      <c r="EY125" s="9">
        <f t="shared" si="20"/>
        <v>1.063214456</v>
      </c>
      <c r="EZ125" s="9">
        <f t="shared" si="21"/>
        <v>0.2566956473</v>
      </c>
      <c r="FA125" s="9" t="str">
        <f t="shared" si="22"/>
        <v>Благоприятный</v>
      </c>
      <c r="FB125" s="1" t="s">
        <v>150</v>
      </c>
      <c r="FC125" s="1" t="s">
        <v>148</v>
      </c>
    </row>
    <row r="126">
      <c r="A126" s="7">
        <v>125.0</v>
      </c>
      <c r="B126" s="21">
        <v>85.0</v>
      </c>
      <c r="C126" s="25">
        <v>8488.0</v>
      </c>
      <c r="D126" s="1" t="s">
        <v>148</v>
      </c>
      <c r="E126" s="7">
        <v>71.0</v>
      </c>
      <c r="F126" s="1" t="s">
        <v>161</v>
      </c>
      <c r="G126" s="7"/>
      <c r="H126" s="7">
        <v>20.0</v>
      </c>
      <c r="I126" s="1" t="s">
        <v>150</v>
      </c>
      <c r="J126" s="1" t="s">
        <v>150</v>
      </c>
      <c r="K126" s="9"/>
      <c r="L126" s="1" t="s">
        <v>154</v>
      </c>
      <c r="M126" s="1" t="s">
        <v>154</v>
      </c>
      <c r="N126" s="9"/>
      <c r="O126" s="1" t="str">
        <f t="shared" si="1"/>
        <v>нет</v>
      </c>
      <c r="P126" s="1" t="s">
        <v>154</v>
      </c>
      <c r="Q126" s="1" t="s">
        <v>154</v>
      </c>
      <c r="R126" s="7">
        <v>3.0</v>
      </c>
      <c r="S126" s="1" t="s">
        <v>150</v>
      </c>
      <c r="T126" s="9"/>
      <c r="U126" s="9"/>
      <c r="V126" s="9"/>
      <c r="W126" s="9"/>
      <c r="X126" s="9"/>
      <c r="Y126" s="1" t="s">
        <v>150</v>
      </c>
      <c r="Z126" s="9"/>
      <c r="AA126" s="9"/>
      <c r="AB126" s="9"/>
      <c r="AC126" s="9"/>
      <c r="AD126" s="26" t="s">
        <v>409</v>
      </c>
      <c r="AE126" s="1" t="s">
        <v>150</v>
      </c>
      <c r="AF126" s="7">
        <v>0.0</v>
      </c>
      <c r="AG126" s="27" t="s">
        <v>162</v>
      </c>
      <c r="AH126" s="27" t="s">
        <v>152</v>
      </c>
      <c r="AI126" s="1" t="s">
        <v>153</v>
      </c>
      <c r="AJ126" s="7">
        <v>3.0</v>
      </c>
      <c r="AK126" s="1" t="s">
        <v>5</v>
      </c>
      <c r="AL126" s="1" t="s">
        <v>150</v>
      </c>
      <c r="AM126" s="9"/>
      <c r="AN126" s="1">
        <v>15.0</v>
      </c>
      <c r="AO126" s="1" t="str">
        <f t="shared" si="2"/>
        <v>нет</v>
      </c>
      <c r="AP126" s="7">
        <v>162.0</v>
      </c>
      <c r="AQ126" s="7">
        <v>80.0</v>
      </c>
      <c r="AR126" s="9">
        <f t="shared" si="3"/>
        <v>30.48315806</v>
      </c>
      <c r="AS126" s="7" t="str">
        <f t="shared" si="4"/>
        <v>Ожирение I степени</v>
      </c>
      <c r="AT126" s="7">
        <v>170.0</v>
      </c>
      <c r="AU126" s="7">
        <v>96.0</v>
      </c>
      <c r="AV126" s="3">
        <v>121.0</v>
      </c>
      <c r="AW126" s="7">
        <v>77.0</v>
      </c>
      <c r="AX126" s="7">
        <v>37.0</v>
      </c>
      <c r="AY126" s="7">
        <v>18.0</v>
      </c>
      <c r="AZ126" s="7">
        <v>94.0</v>
      </c>
      <c r="BA126" s="10" t="str">
        <f t="shared" si="5"/>
        <v>да</v>
      </c>
      <c r="BB126" s="9"/>
      <c r="BC126" s="11"/>
      <c r="BD126" s="12" t="str">
        <f t="shared" si="6"/>
        <v>#DIV/0!</v>
      </c>
      <c r="BE126" s="12">
        <f t="shared" si="7"/>
        <v>0</v>
      </c>
      <c r="BF126" s="12">
        <f t="shared" si="8"/>
        <v>1</v>
      </c>
      <c r="BG126" s="15" t="s">
        <v>150</v>
      </c>
      <c r="BH126" s="9"/>
      <c r="BI126" s="15" t="s">
        <v>154</v>
      </c>
      <c r="BJ126" s="15" t="s">
        <v>285</v>
      </c>
      <c r="BK126" s="15" t="s">
        <v>150</v>
      </c>
      <c r="BL126" s="9"/>
      <c r="BM126" s="15" t="s">
        <v>154</v>
      </c>
      <c r="BN126" s="15" t="s">
        <v>155</v>
      </c>
      <c r="BO126" s="15" t="s">
        <v>150</v>
      </c>
      <c r="BP126" s="9"/>
      <c r="BQ126" s="9"/>
      <c r="BR126" s="15" t="s">
        <v>154</v>
      </c>
      <c r="BS126" s="15" t="s">
        <v>306</v>
      </c>
      <c r="BT126" s="30"/>
      <c r="BU126" s="1" t="s">
        <v>157</v>
      </c>
      <c r="BV126" s="7">
        <v>16.0</v>
      </c>
      <c r="BW126" s="15" t="s">
        <v>154</v>
      </c>
      <c r="BX126" s="10" t="s">
        <v>154</v>
      </c>
      <c r="BY126" s="1" t="s">
        <v>275</v>
      </c>
      <c r="BZ126" s="29" t="s">
        <v>158</v>
      </c>
      <c r="CA126" s="9"/>
      <c r="CB126" s="1" t="s">
        <v>150</v>
      </c>
      <c r="CC126" s="1" t="s">
        <v>150</v>
      </c>
      <c r="CD126" s="9"/>
      <c r="CE126" s="1" t="s">
        <v>150</v>
      </c>
      <c r="CF126" s="1" t="s">
        <v>150</v>
      </c>
      <c r="CG126" s="1" t="s">
        <v>150</v>
      </c>
      <c r="CH126" s="1" t="s">
        <v>150</v>
      </c>
      <c r="CI126" s="1" t="s">
        <v>150</v>
      </c>
      <c r="CJ126" s="1" t="s">
        <v>150</v>
      </c>
      <c r="CK126" s="1" t="s">
        <v>150</v>
      </c>
      <c r="CL126" s="9"/>
      <c r="CM126" s="7">
        <v>9.6</v>
      </c>
      <c r="CN126" s="7">
        <v>82.4</v>
      </c>
      <c r="CO126" s="7">
        <f t="shared" si="23"/>
        <v>7.9104</v>
      </c>
      <c r="CP126" s="7">
        <v>10.8</v>
      </c>
      <c r="CQ126" s="7">
        <f t="shared" si="10"/>
        <v>0.8543232</v>
      </c>
      <c r="CR126" s="7">
        <v>5.6</v>
      </c>
      <c r="CS126" s="7">
        <f t="shared" si="11"/>
        <v>0.0478420992</v>
      </c>
      <c r="CT126" s="7">
        <v>0.0</v>
      </c>
      <c r="CU126" s="7">
        <f t="shared" si="12"/>
        <v>0</v>
      </c>
      <c r="CV126" s="7">
        <f t="shared" si="13"/>
        <v>9.259259259</v>
      </c>
      <c r="CW126" s="7">
        <v>4.1</v>
      </c>
      <c r="CX126" s="7">
        <v>123.0</v>
      </c>
      <c r="CY126" s="7" t="str">
        <f t="shared" si="14"/>
        <v>Легкая степень</v>
      </c>
      <c r="CZ126" s="7">
        <v>2.0</v>
      </c>
      <c r="DA126" s="7">
        <v>206.0</v>
      </c>
      <c r="DB126" s="7">
        <v>10.0</v>
      </c>
      <c r="DC126" s="7">
        <v>8.6</v>
      </c>
      <c r="DD126" s="7">
        <v>84.2</v>
      </c>
      <c r="DE126" s="7"/>
      <c r="DF126" s="7">
        <v>9.0</v>
      </c>
      <c r="DG126" s="7"/>
      <c r="DH126" s="7">
        <v>3.4</v>
      </c>
      <c r="DI126" s="7"/>
      <c r="DJ126" s="7">
        <v>0.0</v>
      </c>
      <c r="DK126" s="7"/>
      <c r="DL126" s="7"/>
      <c r="DM126" s="7">
        <v>4.07</v>
      </c>
      <c r="DN126" s="7">
        <v>122.0</v>
      </c>
      <c r="DO126" s="7" t="str">
        <f t="shared" si="15"/>
        <v>Легкая степень</v>
      </c>
      <c r="DP126" s="7">
        <v>1.0</v>
      </c>
      <c r="DQ126" s="7">
        <v>149.0</v>
      </c>
      <c r="DR126" s="7">
        <v>3.4</v>
      </c>
      <c r="DS126" s="13">
        <v>172.0</v>
      </c>
      <c r="DT126" s="7">
        <v>26.9</v>
      </c>
      <c r="DU126" s="7">
        <v>11.4</v>
      </c>
      <c r="DV126" s="7">
        <v>0.97</v>
      </c>
      <c r="DW126" s="1" t="s">
        <v>320</v>
      </c>
      <c r="DX126" s="9"/>
      <c r="DY126" s="7">
        <v>28.9</v>
      </c>
      <c r="DZ126" s="7">
        <v>11.5</v>
      </c>
      <c r="EA126" s="7">
        <v>0.98</v>
      </c>
      <c r="EB126" s="7"/>
      <c r="EC126" s="7">
        <v>14.05</v>
      </c>
      <c r="ED126" s="7">
        <v>17.84</v>
      </c>
      <c r="EE126" s="7">
        <v>21.4</v>
      </c>
      <c r="EF126" s="7">
        <v>4.3</v>
      </c>
      <c r="EG126" s="7">
        <v>54.0</v>
      </c>
      <c r="EH126" s="7">
        <v>15.9</v>
      </c>
      <c r="EI126" s="7">
        <v>7.1</v>
      </c>
      <c r="EJ126" s="7">
        <v>81.0</v>
      </c>
      <c r="EK126" s="14">
        <f t="shared" si="16"/>
        <v>63.17638071</v>
      </c>
      <c r="EL126" s="11" t="str">
        <f t="shared" si="17"/>
        <v>C2</v>
      </c>
      <c r="EM126" s="7">
        <v>131.4</v>
      </c>
      <c r="EN126" s="7">
        <v>4.7</v>
      </c>
      <c r="EO126" s="7">
        <v>19.5</v>
      </c>
      <c r="EP126" s="7">
        <v>9.3</v>
      </c>
      <c r="EQ126" s="7">
        <v>55.8</v>
      </c>
      <c r="ER126" s="7">
        <v>23.6</v>
      </c>
      <c r="ES126" s="7">
        <v>8.7</v>
      </c>
      <c r="ET126" s="7">
        <v>75.0</v>
      </c>
      <c r="EU126" s="11">
        <f t="shared" si="18"/>
        <v>69.3368428</v>
      </c>
      <c r="EV126" s="11" t="str">
        <f t="shared" si="19"/>
        <v>C2</v>
      </c>
      <c r="EW126" s="7">
        <v>136.0</v>
      </c>
      <c r="EX126" s="7">
        <v>3.9</v>
      </c>
      <c r="EY126" s="9">
        <f t="shared" si="20"/>
        <v>2.585998929</v>
      </c>
      <c r="EZ126" s="9">
        <f t="shared" si="21"/>
        <v>0.0700449594</v>
      </c>
      <c r="FA126" s="9" t="str">
        <f t="shared" si="22"/>
        <v>Благоприятный</v>
      </c>
      <c r="FB126" s="1" t="s">
        <v>150</v>
      </c>
      <c r="FC126" s="1" t="s">
        <v>148</v>
      </c>
    </row>
    <row r="127">
      <c r="A127" s="7">
        <v>126.0</v>
      </c>
      <c r="B127" s="21">
        <v>86.0</v>
      </c>
      <c r="C127" s="25">
        <v>7994.0</v>
      </c>
      <c r="D127" s="1" t="s">
        <v>148</v>
      </c>
      <c r="E127" s="7">
        <v>47.0</v>
      </c>
      <c r="F127" s="1" t="s">
        <v>161</v>
      </c>
      <c r="G127" s="7"/>
      <c r="H127" s="7">
        <v>15.0</v>
      </c>
      <c r="I127" s="1" t="s">
        <v>150</v>
      </c>
      <c r="J127" s="1" t="s">
        <v>150</v>
      </c>
      <c r="K127" s="9"/>
      <c r="L127" s="1" t="s">
        <v>154</v>
      </c>
      <c r="M127" s="1" t="s">
        <v>154</v>
      </c>
      <c r="N127" s="9"/>
      <c r="O127" s="1" t="str">
        <f t="shared" si="1"/>
        <v>нет</v>
      </c>
      <c r="P127" s="1" t="s">
        <v>154</v>
      </c>
      <c r="Q127" s="1" t="s">
        <v>154</v>
      </c>
      <c r="R127" s="7">
        <v>3.0</v>
      </c>
      <c r="S127" s="1" t="s">
        <v>150</v>
      </c>
      <c r="T127" s="9"/>
      <c r="U127" s="9"/>
      <c r="V127" s="9"/>
      <c r="W127" s="9"/>
      <c r="X127" s="9"/>
      <c r="Y127" s="1" t="s">
        <v>154</v>
      </c>
      <c r="Z127" s="7">
        <v>1.0</v>
      </c>
      <c r="AA127" s="9"/>
      <c r="AB127" s="9"/>
      <c r="AC127" s="9"/>
      <c r="AD127" s="26"/>
      <c r="AE127" s="1" t="s">
        <v>150</v>
      </c>
      <c r="AF127" s="7">
        <v>0.0</v>
      </c>
      <c r="AG127" s="27" t="s">
        <v>162</v>
      </c>
      <c r="AH127" s="27" t="s">
        <v>152</v>
      </c>
      <c r="AI127" s="1" t="s">
        <v>168</v>
      </c>
      <c r="AJ127" s="7">
        <v>1.0</v>
      </c>
      <c r="AK127" s="1" t="s">
        <v>5</v>
      </c>
      <c r="AL127" s="1" t="s">
        <v>150</v>
      </c>
      <c r="AM127" s="9"/>
      <c r="AN127" s="1">
        <v>15.0</v>
      </c>
      <c r="AO127" s="1" t="str">
        <f t="shared" si="2"/>
        <v>нет</v>
      </c>
      <c r="AP127" s="7">
        <v>165.0</v>
      </c>
      <c r="AQ127" s="7">
        <v>89.0</v>
      </c>
      <c r="AR127" s="9">
        <f t="shared" si="3"/>
        <v>32.69054178</v>
      </c>
      <c r="AS127" s="7" t="str">
        <f t="shared" si="4"/>
        <v>Ожирение I степени</v>
      </c>
      <c r="AT127" s="7">
        <v>155.0</v>
      </c>
      <c r="AU127" s="7">
        <v>90.0</v>
      </c>
      <c r="AV127" s="3">
        <v>112.0</v>
      </c>
      <c r="AW127" s="7">
        <v>90.0</v>
      </c>
      <c r="AX127" s="7">
        <v>38.0</v>
      </c>
      <c r="AY127" s="7">
        <v>21.0</v>
      </c>
      <c r="AZ127" s="7">
        <v>94.0</v>
      </c>
      <c r="BA127" s="10" t="str">
        <f t="shared" si="5"/>
        <v>да</v>
      </c>
      <c r="BB127" s="9"/>
      <c r="BC127" s="11"/>
      <c r="BD127" s="12" t="str">
        <f t="shared" si="6"/>
        <v>#DIV/0!</v>
      </c>
      <c r="BE127" s="12">
        <f t="shared" si="7"/>
        <v>0</v>
      </c>
      <c r="BF127" s="12">
        <f t="shared" si="8"/>
        <v>3</v>
      </c>
      <c r="BG127" s="15" t="s">
        <v>154</v>
      </c>
      <c r="BH127" s="9"/>
      <c r="BI127" s="1" t="s">
        <v>154</v>
      </c>
      <c r="BJ127" s="1" t="s">
        <v>285</v>
      </c>
      <c r="BK127" s="1" t="s">
        <v>150</v>
      </c>
      <c r="BL127" s="9"/>
      <c r="BM127" s="1" t="s">
        <v>154</v>
      </c>
      <c r="BN127" s="1" t="s">
        <v>155</v>
      </c>
      <c r="BO127" s="1" t="s">
        <v>154</v>
      </c>
      <c r="BP127" s="1" t="s">
        <v>170</v>
      </c>
      <c r="BQ127" s="9"/>
      <c r="BR127" s="1" t="s">
        <v>154</v>
      </c>
      <c r="BS127" s="1" t="s">
        <v>410</v>
      </c>
      <c r="BT127" s="30"/>
      <c r="BU127" s="1" t="s">
        <v>157</v>
      </c>
      <c r="BV127" s="7">
        <v>16.0</v>
      </c>
      <c r="BW127" s="1" t="s">
        <v>150</v>
      </c>
      <c r="BX127" s="10" t="s">
        <v>154</v>
      </c>
      <c r="BY127" s="1" t="s">
        <v>173</v>
      </c>
      <c r="BZ127" s="29" t="s">
        <v>158</v>
      </c>
      <c r="CA127" s="9"/>
      <c r="CB127" s="1" t="s">
        <v>150</v>
      </c>
      <c r="CC127" s="1" t="s">
        <v>150</v>
      </c>
      <c r="CD127" s="9"/>
      <c r="CE127" s="1" t="s">
        <v>150</v>
      </c>
      <c r="CF127" s="1" t="s">
        <v>150</v>
      </c>
      <c r="CG127" s="1" t="s">
        <v>150</v>
      </c>
      <c r="CH127" s="1" t="s">
        <v>150</v>
      </c>
      <c r="CI127" s="1" t="s">
        <v>150</v>
      </c>
      <c r="CJ127" s="1" t="s">
        <v>150</v>
      </c>
      <c r="CK127" s="1" t="s">
        <v>150</v>
      </c>
      <c r="CL127" s="9"/>
      <c r="CM127" s="7">
        <v>11.1</v>
      </c>
      <c r="CN127" s="7">
        <v>78.5</v>
      </c>
      <c r="CO127" s="7">
        <f t="shared" si="23"/>
        <v>8.7135</v>
      </c>
      <c r="CP127" s="7">
        <v>19.6</v>
      </c>
      <c r="CQ127" s="7">
        <f t="shared" si="10"/>
        <v>1.707846</v>
      </c>
      <c r="CR127" s="7">
        <v>4.8</v>
      </c>
      <c r="CS127" s="7">
        <f t="shared" si="11"/>
        <v>0.081976608</v>
      </c>
      <c r="CT127" s="7">
        <v>1.1</v>
      </c>
      <c r="CU127" s="7">
        <f t="shared" si="12"/>
        <v>0.000901742688</v>
      </c>
      <c r="CV127" s="7">
        <f t="shared" si="13"/>
        <v>5.102040816</v>
      </c>
      <c r="CW127" s="7">
        <v>4.8</v>
      </c>
      <c r="CX127" s="7">
        <v>110.0</v>
      </c>
      <c r="CY127" s="7" t="str">
        <f t="shared" si="14"/>
        <v>Легкая степень</v>
      </c>
      <c r="CZ127" s="7">
        <v>21.0</v>
      </c>
      <c r="DA127" s="7">
        <v>349.0</v>
      </c>
      <c r="DB127" s="7">
        <v>6.2</v>
      </c>
      <c r="DC127" s="7">
        <v>11.1</v>
      </c>
      <c r="DD127" s="7">
        <v>82.3</v>
      </c>
      <c r="DE127" s="7"/>
      <c r="DF127" s="7">
        <v>11.7</v>
      </c>
      <c r="DG127" s="7"/>
      <c r="DH127" s="7">
        <v>5.6</v>
      </c>
      <c r="DI127" s="7"/>
      <c r="DJ127" s="7">
        <v>0.0</v>
      </c>
      <c r="DK127" s="7"/>
      <c r="DL127" s="7"/>
      <c r="DM127" s="7">
        <v>4.64</v>
      </c>
      <c r="DN127" s="7">
        <v>108.0</v>
      </c>
      <c r="DO127" s="7" t="str">
        <f t="shared" si="15"/>
        <v>Средняя степень</v>
      </c>
      <c r="DP127" s="7">
        <v>12.0</v>
      </c>
      <c r="DQ127" s="7">
        <v>434.0</v>
      </c>
      <c r="DR127" s="7">
        <v>4.0</v>
      </c>
      <c r="DS127" s="13">
        <v>472.0</v>
      </c>
      <c r="DT127" s="7">
        <v>38.8</v>
      </c>
      <c r="DU127" s="7">
        <v>12.2</v>
      </c>
      <c r="DV127" s="7">
        <v>1.09</v>
      </c>
      <c r="DW127" s="1" t="s">
        <v>320</v>
      </c>
      <c r="DX127" s="9"/>
      <c r="DY127" s="7">
        <v>31.8</v>
      </c>
      <c r="DZ127" s="7">
        <v>11.2</v>
      </c>
      <c r="EA127" s="7">
        <v>1.09</v>
      </c>
      <c r="EB127" s="7"/>
      <c r="EC127" s="7">
        <v>5.06</v>
      </c>
      <c r="ED127" s="7">
        <v>8.13</v>
      </c>
      <c r="EE127" s="7">
        <v>18.22</v>
      </c>
      <c r="EF127" s="7">
        <v>24.17</v>
      </c>
      <c r="EG127" s="7">
        <v>81.0</v>
      </c>
      <c r="EH127" s="7">
        <v>5.1</v>
      </c>
      <c r="EI127" s="7">
        <v>2.12</v>
      </c>
      <c r="EJ127" s="7">
        <v>81.96</v>
      </c>
      <c r="EK127" s="14">
        <f t="shared" si="16"/>
        <v>73.72018371</v>
      </c>
      <c r="EL127" s="11" t="str">
        <f t="shared" si="17"/>
        <v>C2</v>
      </c>
      <c r="EM127" s="7">
        <v>138.0</v>
      </c>
      <c r="EN127" s="7">
        <v>4.6</v>
      </c>
      <c r="EO127" s="7">
        <v>11.79</v>
      </c>
      <c r="EP127" s="7">
        <v>13.11</v>
      </c>
      <c r="EQ127" s="7">
        <v>68.5</v>
      </c>
      <c r="ER127" s="7">
        <v>3.32</v>
      </c>
      <c r="ES127" s="7">
        <v>0.68</v>
      </c>
      <c r="ET127" s="7">
        <v>70.46</v>
      </c>
      <c r="EU127" s="11">
        <f t="shared" si="18"/>
        <v>88.50514454</v>
      </c>
      <c r="EV127" s="11" t="str">
        <f t="shared" si="19"/>
        <v>C2</v>
      </c>
      <c r="EW127" s="7">
        <v>139.0</v>
      </c>
      <c r="EX127" s="7">
        <v>4.3</v>
      </c>
      <c r="EY127" s="9">
        <f t="shared" si="20"/>
        <v>2.145138341</v>
      </c>
      <c r="EZ127" s="9">
        <f t="shared" si="21"/>
        <v>0.1047864015</v>
      </c>
      <c r="FA127" s="9" t="str">
        <f t="shared" si="22"/>
        <v>Благоприятный</v>
      </c>
      <c r="FB127" s="1" t="s">
        <v>150</v>
      </c>
      <c r="FC127" s="1" t="s">
        <v>148</v>
      </c>
    </row>
    <row r="128">
      <c r="A128" s="7">
        <v>127.0</v>
      </c>
      <c r="B128" s="21">
        <v>87.0</v>
      </c>
      <c r="C128" s="25">
        <v>8209.0</v>
      </c>
      <c r="D128" s="1" t="s">
        <v>148</v>
      </c>
      <c r="E128" s="7">
        <v>31.0</v>
      </c>
      <c r="F128" s="1" t="s">
        <v>149</v>
      </c>
      <c r="G128" s="7"/>
      <c r="H128" s="7">
        <v>17.0</v>
      </c>
      <c r="I128" s="1" t="s">
        <v>150</v>
      </c>
      <c r="J128" s="1" t="s">
        <v>150</v>
      </c>
      <c r="K128" s="9"/>
      <c r="L128" s="1" t="s">
        <v>150</v>
      </c>
      <c r="M128" s="1" t="s">
        <v>150</v>
      </c>
      <c r="N128" s="9"/>
      <c r="O128" s="1" t="str">
        <f t="shared" si="1"/>
        <v>нет</v>
      </c>
      <c r="P128" s="1" t="s">
        <v>150</v>
      </c>
      <c r="Q128" s="1" t="s">
        <v>150</v>
      </c>
      <c r="R128" s="9"/>
      <c r="S128" s="1" t="s">
        <v>150</v>
      </c>
      <c r="T128" s="9"/>
      <c r="U128" s="9"/>
      <c r="V128" s="9"/>
      <c r="W128" s="9"/>
      <c r="X128" s="9"/>
      <c r="Y128" s="1" t="s">
        <v>150</v>
      </c>
      <c r="Z128" s="9"/>
      <c r="AA128" s="9"/>
      <c r="AB128" s="9"/>
      <c r="AC128" s="9"/>
      <c r="AD128" s="26"/>
      <c r="AE128" s="1" t="s">
        <v>150</v>
      </c>
      <c r="AF128" s="7">
        <v>0.0</v>
      </c>
      <c r="AG128" s="27" t="s">
        <v>162</v>
      </c>
      <c r="AH128" s="27" t="s">
        <v>152</v>
      </c>
      <c r="AI128" s="1" t="s">
        <v>168</v>
      </c>
      <c r="AJ128" s="7">
        <v>1.0</v>
      </c>
      <c r="AK128" s="1" t="s">
        <v>5</v>
      </c>
      <c r="AL128" s="1" t="s">
        <v>150</v>
      </c>
      <c r="AM128" s="9"/>
      <c r="AN128" s="1">
        <v>15.0</v>
      </c>
      <c r="AO128" s="1" t="str">
        <f t="shared" si="2"/>
        <v>нет</v>
      </c>
      <c r="AP128" s="7">
        <v>175.0</v>
      </c>
      <c r="AQ128" s="7">
        <v>88.0</v>
      </c>
      <c r="AR128" s="9">
        <f t="shared" si="3"/>
        <v>28.73469388</v>
      </c>
      <c r="AS128" s="7" t="str">
        <f t="shared" si="4"/>
        <v>Избыточный вес (предожирение)</v>
      </c>
      <c r="AT128" s="7">
        <v>160.0</v>
      </c>
      <c r="AU128" s="7">
        <v>100.0</v>
      </c>
      <c r="AV128" s="3">
        <v>120.0</v>
      </c>
      <c r="AW128" s="7">
        <v>130.0</v>
      </c>
      <c r="AX128" s="7">
        <v>37.5</v>
      </c>
      <c r="AY128" s="7">
        <v>18.0</v>
      </c>
      <c r="AZ128" s="7">
        <v>92.0</v>
      </c>
      <c r="BA128" s="10" t="str">
        <f t="shared" si="5"/>
        <v>да</v>
      </c>
      <c r="BB128" s="9"/>
      <c r="BC128" s="11"/>
      <c r="BD128" s="12" t="str">
        <f t="shared" si="6"/>
        <v>#DIV/0!</v>
      </c>
      <c r="BE128" s="12">
        <f t="shared" si="7"/>
        <v>0</v>
      </c>
      <c r="BF128" s="12">
        <f t="shared" si="8"/>
        <v>4</v>
      </c>
      <c r="BG128" s="15" t="s">
        <v>150</v>
      </c>
      <c r="BH128" s="9"/>
      <c r="BI128" s="15" t="s">
        <v>154</v>
      </c>
      <c r="BJ128" s="15" t="s">
        <v>175</v>
      </c>
      <c r="BK128" s="15" t="s">
        <v>150</v>
      </c>
      <c r="BL128" s="9"/>
      <c r="BM128" s="15" t="s">
        <v>154</v>
      </c>
      <c r="BN128" s="15" t="s">
        <v>155</v>
      </c>
      <c r="BO128" s="15" t="s">
        <v>150</v>
      </c>
      <c r="BP128" s="9"/>
      <c r="BQ128" s="9"/>
      <c r="BR128" s="15" t="s">
        <v>154</v>
      </c>
      <c r="BS128" s="15" t="s">
        <v>306</v>
      </c>
      <c r="BT128" s="30"/>
      <c r="BU128" s="1" t="s">
        <v>157</v>
      </c>
      <c r="BV128" s="7">
        <v>12.0</v>
      </c>
      <c r="BW128" s="15" t="s">
        <v>150</v>
      </c>
      <c r="BX128" s="10" t="s">
        <v>154</v>
      </c>
      <c r="BY128" s="1" t="s">
        <v>173</v>
      </c>
      <c r="BZ128" s="29" t="s">
        <v>158</v>
      </c>
      <c r="CA128" s="9"/>
      <c r="CB128" s="1" t="s">
        <v>150</v>
      </c>
      <c r="CC128" s="1" t="s">
        <v>150</v>
      </c>
      <c r="CD128" s="1" t="s">
        <v>212</v>
      </c>
      <c r="CE128" s="1" t="s">
        <v>150</v>
      </c>
      <c r="CF128" s="1" t="s">
        <v>240</v>
      </c>
      <c r="CG128" s="1" t="s">
        <v>150</v>
      </c>
      <c r="CH128" s="1" t="s">
        <v>150</v>
      </c>
      <c r="CI128" s="1" t="s">
        <v>150</v>
      </c>
      <c r="CJ128" s="1" t="s">
        <v>150</v>
      </c>
      <c r="CK128" s="1" t="s">
        <v>150</v>
      </c>
      <c r="CL128" s="1" t="s">
        <v>411</v>
      </c>
      <c r="CM128" s="7">
        <v>5.0</v>
      </c>
      <c r="CN128" s="7">
        <v>70.0</v>
      </c>
      <c r="CO128" s="7">
        <f t="shared" si="23"/>
        <v>3.5</v>
      </c>
      <c r="CP128" s="7">
        <v>20.5</v>
      </c>
      <c r="CQ128" s="7">
        <f t="shared" si="10"/>
        <v>0.7175</v>
      </c>
      <c r="CR128" s="7">
        <v>6.0</v>
      </c>
      <c r="CS128" s="7">
        <f t="shared" si="11"/>
        <v>0.04305</v>
      </c>
      <c r="CT128" s="7">
        <v>0.0</v>
      </c>
      <c r="CU128" s="7">
        <f t="shared" si="12"/>
        <v>0</v>
      </c>
      <c r="CV128" s="7">
        <f t="shared" si="13"/>
        <v>4.87804878</v>
      </c>
      <c r="CW128" s="7">
        <v>5.34</v>
      </c>
      <c r="CX128" s="7">
        <v>153.0</v>
      </c>
      <c r="CY128" s="7" t="str">
        <f t="shared" si="14"/>
        <v>Норма</v>
      </c>
      <c r="CZ128" s="9"/>
      <c r="DA128" s="7">
        <v>138.0</v>
      </c>
      <c r="DB128" s="7">
        <v>78.4</v>
      </c>
      <c r="DC128" s="7">
        <v>11.9</v>
      </c>
      <c r="DD128" s="7">
        <v>81.4</v>
      </c>
      <c r="DE128" s="7"/>
      <c r="DF128" s="7">
        <v>13.0</v>
      </c>
      <c r="DG128" s="7"/>
      <c r="DH128" s="7">
        <v>5.0</v>
      </c>
      <c r="DI128" s="7"/>
      <c r="DJ128" s="7">
        <v>0.3</v>
      </c>
      <c r="DK128" s="7"/>
      <c r="DL128" s="7"/>
      <c r="DM128" s="7">
        <v>5.03</v>
      </c>
      <c r="DN128" s="7">
        <v>143.0</v>
      </c>
      <c r="DO128" s="7" t="str">
        <f t="shared" si="15"/>
        <v>Норма</v>
      </c>
      <c r="DP128" s="9"/>
      <c r="DQ128" s="7">
        <v>211.0</v>
      </c>
      <c r="DR128" s="7">
        <v>6.9</v>
      </c>
      <c r="DS128" s="13">
        <v>588.0</v>
      </c>
      <c r="DT128" s="9"/>
      <c r="DU128" s="7">
        <v>15.5</v>
      </c>
      <c r="DV128" s="7">
        <v>1.33</v>
      </c>
      <c r="DW128" s="1" t="s">
        <v>320</v>
      </c>
      <c r="DX128" s="9"/>
      <c r="DY128" s="9"/>
      <c r="DZ128" s="7">
        <v>11.2</v>
      </c>
      <c r="EA128" s="7">
        <v>0.96</v>
      </c>
      <c r="EB128" s="7"/>
      <c r="EC128" s="7">
        <v>7.41</v>
      </c>
      <c r="ED128" s="7">
        <v>6.7</v>
      </c>
      <c r="EE128" s="7">
        <v>79.95</v>
      </c>
      <c r="EF128" s="7">
        <v>70.94</v>
      </c>
      <c r="EG128" s="7">
        <v>72.1</v>
      </c>
      <c r="EH128" s="7">
        <v>15.13</v>
      </c>
      <c r="EI128" s="7">
        <v>5.09</v>
      </c>
      <c r="EJ128" s="7">
        <v>103.22</v>
      </c>
      <c r="EK128" s="14">
        <f t="shared" si="16"/>
        <v>62.41697108</v>
      </c>
      <c r="EL128" s="11" t="str">
        <f t="shared" si="17"/>
        <v>C2</v>
      </c>
      <c r="EM128" s="7">
        <v>142.4</v>
      </c>
      <c r="EN128" s="7">
        <v>4.52</v>
      </c>
      <c r="EO128" s="7">
        <v>283.67</v>
      </c>
      <c r="EP128" s="7">
        <v>57.23</v>
      </c>
      <c r="EQ128" s="7">
        <v>59.1</v>
      </c>
      <c r="ER128" s="7">
        <v>12.6</v>
      </c>
      <c r="ES128" s="7">
        <v>2.4</v>
      </c>
      <c r="ET128" s="7">
        <v>83.94</v>
      </c>
      <c r="EU128" s="11">
        <f t="shared" si="18"/>
        <v>80.14283691</v>
      </c>
      <c r="EV128" s="11" t="str">
        <f t="shared" si="19"/>
        <v>C2</v>
      </c>
      <c r="EW128" s="9"/>
      <c r="EX128" s="9"/>
      <c r="EY128" s="9">
        <f t="shared" si="20"/>
        <v>2.896981469</v>
      </c>
      <c r="EZ128" s="9">
        <f t="shared" si="21"/>
        <v>0.0523029817</v>
      </c>
      <c r="FA128" s="9" t="str">
        <f t="shared" si="22"/>
        <v>Благоприятный</v>
      </c>
      <c r="FB128" s="1" t="s">
        <v>150</v>
      </c>
      <c r="FC128" s="1" t="s">
        <v>148</v>
      </c>
    </row>
    <row r="129">
      <c r="A129" s="7">
        <v>128.0</v>
      </c>
      <c r="B129" s="21">
        <v>88.0</v>
      </c>
      <c r="C129" s="25">
        <v>8294.0</v>
      </c>
      <c r="D129" s="1" t="s">
        <v>148</v>
      </c>
      <c r="E129" s="7">
        <v>74.0</v>
      </c>
      <c r="F129" s="1" t="s">
        <v>161</v>
      </c>
      <c r="G129" s="7"/>
      <c r="H129" s="7">
        <v>14.0</v>
      </c>
      <c r="I129" s="1" t="s">
        <v>150</v>
      </c>
      <c r="J129" s="1" t="s">
        <v>150</v>
      </c>
      <c r="K129" s="9"/>
      <c r="L129" s="1" t="s">
        <v>150</v>
      </c>
      <c r="M129" s="1" t="s">
        <v>150</v>
      </c>
      <c r="N129" s="9"/>
      <c r="O129" s="1" t="str">
        <f t="shared" si="1"/>
        <v>да</v>
      </c>
      <c r="P129" s="1" t="s">
        <v>150</v>
      </c>
      <c r="Q129" s="1" t="s">
        <v>154</v>
      </c>
      <c r="R129" s="7">
        <v>2.0</v>
      </c>
      <c r="S129" s="1" t="s">
        <v>150</v>
      </c>
      <c r="T129" s="9"/>
      <c r="U129" s="9"/>
      <c r="V129" s="9"/>
      <c r="W129" s="9"/>
      <c r="X129" s="9"/>
      <c r="Y129" s="1" t="s">
        <v>150</v>
      </c>
      <c r="Z129" s="9"/>
      <c r="AA129" s="9"/>
      <c r="AB129" s="9"/>
      <c r="AC129" s="9"/>
      <c r="AD129" s="26" t="s">
        <v>412</v>
      </c>
      <c r="AE129" s="1" t="s">
        <v>150</v>
      </c>
      <c r="AF129" s="7">
        <v>0.0</v>
      </c>
      <c r="AG129" s="27" t="s">
        <v>162</v>
      </c>
      <c r="AH129" s="27" t="s">
        <v>152</v>
      </c>
      <c r="AI129" s="1" t="s">
        <v>168</v>
      </c>
      <c r="AJ129" s="7">
        <v>3.0</v>
      </c>
      <c r="AK129" s="1" t="s">
        <v>5</v>
      </c>
      <c r="AL129" s="1" t="s">
        <v>150</v>
      </c>
      <c r="AM129" s="9"/>
      <c r="AN129" s="1">
        <v>15.0</v>
      </c>
      <c r="AO129" s="1" t="str">
        <f t="shared" si="2"/>
        <v>нет</v>
      </c>
      <c r="AP129" s="7">
        <v>167.0</v>
      </c>
      <c r="AQ129" s="7">
        <v>72.0</v>
      </c>
      <c r="AR129" s="9">
        <f t="shared" si="3"/>
        <v>25.81663021</v>
      </c>
      <c r="AS129" s="7" t="str">
        <f t="shared" si="4"/>
        <v>Избыточный вес (предожирение)</v>
      </c>
      <c r="AT129" s="7">
        <v>118.0</v>
      </c>
      <c r="AU129" s="7">
        <v>88.0</v>
      </c>
      <c r="AV129" s="3">
        <v>98.0</v>
      </c>
      <c r="AW129" s="7">
        <v>86.0</v>
      </c>
      <c r="AX129" s="7">
        <v>36.7</v>
      </c>
      <c r="AY129" s="7">
        <v>22.0</v>
      </c>
      <c r="AZ129" s="7">
        <v>80.0</v>
      </c>
      <c r="BA129" s="10" t="str">
        <f t="shared" si="5"/>
        <v>да</v>
      </c>
      <c r="BB129" s="7">
        <v>97.0</v>
      </c>
      <c r="BC129" s="11"/>
      <c r="BD129" s="12" t="str">
        <f t="shared" si="6"/>
        <v>#DIV/0!</v>
      </c>
      <c r="BE129" s="12">
        <f t="shared" si="7"/>
        <v>1</v>
      </c>
      <c r="BF129" s="12">
        <f t="shared" si="8"/>
        <v>5</v>
      </c>
      <c r="BG129" s="15" t="s">
        <v>154</v>
      </c>
      <c r="BH129" s="15" t="s">
        <v>413</v>
      </c>
      <c r="BI129" s="1" t="s">
        <v>154</v>
      </c>
      <c r="BJ129" s="1" t="s">
        <v>285</v>
      </c>
      <c r="BK129" s="1" t="s">
        <v>150</v>
      </c>
      <c r="BL129" s="9"/>
      <c r="BM129" s="1" t="s">
        <v>154</v>
      </c>
      <c r="BN129" s="1" t="s">
        <v>155</v>
      </c>
      <c r="BO129" s="1" t="s">
        <v>150</v>
      </c>
      <c r="BP129" s="9"/>
      <c r="BQ129" s="9"/>
      <c r="BR129" s="1" t="s">
        <v>154</v>
      </c>
      <c r="BS129" s="1" t="s">
        <v>170</v>
      </c>
      <c r="BT129" s="28">
        <v>12.0</v>
      </c>
      <c r="BU129" s="1" t="s">
        <v>157</v>
      </c>
      <c r="BV129" s="7">
        <v>16.0</v>
      </c>
      <c r="BW129" s="1" t="s">
        <v>150</v>
      </c>
      <c r="BX129" s="10" t="s">
        <v>154</v>
      </c>
      <c r="BY129" s="1" t="s">
        <v>258</v>
      </c>
      <c r="BZ129" s="29" t="s">
        <v>158</v>
      </c>
      <c r="CA129" s="1" t="s">
        <v>176</v>
      </c>
      <c r="CB129" s="1" t="s">
        <v>150</v>
      </c>
      <c r="CC129" s="1" t="s">
        <v>150</v>
      </c>
      <c r="CD129" s="9"/>
      <c r="CE129" s="1" t="s">
        <v>150</v>
      </c>
      <c r="CF129" s="1" t="s">
        <v>150</v>
      </c>
      <c r="CG129" s="1" t="s">
        <v>150</v>
      </c>
      <c r="CH129" s="1" t="s">
        <v>150</v>
      </c>
      <c r="CI129" s="1" t="s">
        <v>150</v>
      </c>
      <c r="CJ129" s="1" t="s">
        <v>150</v>
      </c>
      <c r="CK129" s="1" t="s">
        <v>150</v>
      </c>
      <c r="CL129" s="1" t="s">
        <v>414</v>
      </c>
      <c r="CM129" s="7">
        <v>6.9</v>
      </c>
      <c r="CN129" s="7">
        <v>80.4</v>
      </c>
      <c r="CO129" s="7">
        <f t="shared" si="23"/>
        <v>5.5476</v>
      </c>
      <c r="CP129" s="7">
        <v>11.9</v>
      </c>
      <c r="CQ129" s="7">
        <f t="shared" si="10"/>
        <v>0.6601644</v>
      </c>
      <c r="CR129" s="7">
        <v>6.1</v>
      </c>
      <c r="CS129" s="7">
        <f t="shared" si="11"/>
        <v>0.0402700284</v>
      </c>
      <c r="CT129" s="7">
        <v>0.6</v>
      </c>
      <c r="CU129" s="7">
        <f t="shared" si="12"/>
        <v>0.0002416201704</v>
      </c>
      <c r="CV129" s="7">
        <f t="shared" si="13"/>
        <v>8.403361345</v>
      </c>
      <c r="CW129" s="7">
        <v>4.79</v>
      </c>
      <c r="CX129" s="7">
        <v>138.0</v>
      </c>
      <c r="CY129" s="7" t="str">
        <f t="shared" si="14"/>
        <v>Норма</v>
      </c>
      <c r="CZ129" s="9"/>
      <c r="DA129" s="7">
        <v>212.0</v>
      </c>
      <c r="DB129" s="7">
        <v>86.4</v>
      </c>
      <c r="DC129" s="7">
        <v>12.7</v>
      </c>
      <c r="DD129" s="7">
        <v>79.5</v>
      </c>
      <c r="DE129" s="7"/>
      <c r="DF129" s="7">
        <v>13.3</v>
      </c>
      <c r="DG129" s="7"/>
      <c r="DH129" s="7">
        <v>8.9</v>
      </c>
      <c r="DI129" s="7"/>
      <c r="DJ129" s="7">
        <v>0.1</v>
      </c>
      <c r="DK129" s="7"/>
      <c r="DL129" s="7"/>
      <c r="DM129" s="7">
        <v>4.56</v>
      </c>
      <c r="DN129" s="7">
        <v>131.0</v>
      </c>
      <c r="DO129" s="7" t="str">
        <f t="shared" si="15"/>
        <v>Норма</v>
      </c>
      <c r="DP129" s="9"/>
      <c r="DQ129" s="7">
        <v>212.0</v>
      </c>
      <c r="DR129" s="7">
        <v>7.6</v>
      </c>
      <c r="DS129" s="13">
        <v>590.0</v>
      </c>
      <c r="DT129" s="9"/>
      <c r="DU129" s="7">
        <v>14.4</v>
      </c>
      <c r="DV129" s="7">
        <v>1.09</v>
      </c>
      <c r="DW129" s="1" t="s">
        <v>320</v>
      </c>
      <c r="DX129" s="9"/>
      <c r="DY129" s="9"/>
      <c r="DZ129" s="7">
        <v>14.8</v>
      </c>
      <c r="EA129" s="7">
        <v>1.26</v>
      </c>
      <c r="EB129" s="7"/>
      <c r="EC129" s="7">
        <v>6.23</v>
      </c>
      <c r="ED129" s="7">
        <v>6.1</v>
      </c>
      <c r="EE129" s="7">
        <v>36.3</v>
      </c>
      <c r="EF129" s="7">
        <v>55.5</v>
      </c>
      <c r="EG129" s="7">
        <v>70.2</v>
      </c>
      <c r="EH129" s="7">
        <v>8.83</v>
      </c>
      <c r="EI129" s="7">
        <v>2.04</v>
      </c>
      <c r="EJ129" s="7">
        <v>108.0</v>
      </c>
      <c r="EK129" s="14">
        <f t="shared" si="16"/>
        <v>43.68693285</v>
      </c>
      <c r="EL129" s="11" t="str">
        <f t="shared" si="17"/>
        <v>C3b</v>
      </c>
      <c r="EM129" s="9"/>
      <c r="EN129" s="9"/>
      <c r="EO129" s="7">
        <v>28.6</v>
      </c>
      <c r="EP129" s="7">
        <v>16.4</v>
      </c>
      <c r="EQ129" s="7">
        <v>56.4</v>
      </c>
      <c r="ER129" s="7">
        <v>10.9</v>
      </c>
      <c r="ES129" s="7">
        <v>3.2</v>
      </c>
      <c r="ET129" s="7">
        <v>78.0</v>
      </c>
      <c r="EU129" s="11">
        <f t="shared" si="18"/>
        <v>64.74682859</v>
      </c>
      <c r="EV129" s="11" t="str">
        <f t="shared" si="19"/>
        <v>C2</v>
      </c>
      <c r="EW129" s="7">
        <v>136.2</v>
      </c>
      <c r="EX129" s="7">
        <v>4.1</v>
      </c>
      <c r="EY129" s="9">
        <f t="shared" si="20"/>
        <v>-0.12048405</v>
      </c>
      <c r="EZ129" s="9">
        <f t="shared" si="21"/>
        <v>0.5300846279</v>
      </c>
      <c r="FA129" s="9" t="str">
        <f t="shared" si="22"/>
        <v>Неблагоприятный</v>
      </c>
      <c r="FB129" s="1" t="s">
        <v>256</v>
      </c>
      <c r="FC129" s="1" t="s">
        <v>148</v>
      </c>
    </row>
    <row r="130">
      <c r="A130" s="7">
        <v>129.0</v>
      </c>
      <c r="B130" s="21">
        <v>89.0</v>
      </c>
      <c r="C130" s="25">
        <v>9905.0</v>
      </c>
      <c r="D130" s="1" t="s">
        <v>148</v>
      </c>
      <c r="E130" s="7">
        <v>61.0</v>
      </c>
      <c r="F130" s="1" t="s">
        <v>161</v>
      </c>
      <c r="G130" s="7"/>
      <c r="H130" s="7">
        <v>32.0</v>
      </c>
      <c r="I130" s="1" t="s">
        <v>150</v>
      </c>
      <c r="J130" s="1" t="s">
        <v>150</v>
      </c>
      <c r="K130" s="9"/>
      <c r="L130" s="1" t="s">
        <v>150</v>
      </c>
      <c r="M130" s="1" t="s">
        <v>150</v>
      </c>
      <c r="N130" s="9"/>
      <c r="O130" s="1" t="str">
        <f t="shared" si="1"/>
        <v>нет</v>
      </c>
      <c r="P130" s="1" t="s">
        <v>154</v>
      </c>
      <c r="Q130" s="1" t="s">
        <v>154</v>
      </c>
      <c r="R130" s="7">
        <v>2.0</v>
      </c>
      <c r="S130" s="1" t="s">
        <v>150</v>
      </c>
      <c r="T130" s="9"/>
      <c r="U130" s="9"/>
      <c r="V130" s="9"/>
      <c r="W130" s="9"/>
      <c r="X130" s="9"/>
      <c r="Y130" s="1" t="s">
        <v>150</v>
      </c>
      <c r="Z130" s="9"/>
      <c r="AA130" s="9"/>
      <c r="AB130" s="9"/>
      <c r="AC130" s="9"/>
      <c r="AD130" s="26" t="s">
        <v>415</v>
      </c>
      <c r="AE130" s="1" t="s">
        <v>150</v>
      </c>
      <c r="AF130" s="7">
        <v>0.0</v>
      </c>
      <c r="AG130" s="27" t="s">
        <v>162</v>
      </c>
      <c r="AH130" s="27" t="s">
        <v>152</v>
      </c>
      <c r="AI130" s="1" t="s">
        <v>168</v>
      </c>
      <c r="AJ130" s="7">
        <v>3.0</v>
      </c>
      <c r="AK130" s="1" t="s">
        <v>5</v>
      </c>
      <c r="AL130" s="1" t="s">
        <v>150</v>
      </c>
      <c r="AM130" s="9"/>
      <c r="AN130" s="1">
        <v>15.0</v>
      </c>
      <c r="AO130" s="1" t="str">
        <f t="shared" si="2"/>
        <v>нет</v>
      </c>
      <c r="AP130" s="7">
        <v>162.0</v>
      </c>
      <c r="AQ130" s="7">
        <v>78.0</v>
      </c>
      <c r="AR130" s="9">
        <f t="shared" si="3"/>
        <v>29.7210791</v>
      </c>
      <c r="AS130" s="7" t="str">
        <f t="shared" si="4"/>
        <v>Избыточный вес (предожирение)</v>
      </c>
      <c r="AT130" s="7">
        <v>110.0</v>
      </c>
      <c r="AU130" s="7">
        <v>80.0</v>
      </c>
      <c r="AV130" s="3">
        <v>90.0</v>
      </c>
      <c r="AW130" s="7">
        <v>85.0</v>
      </c>
      <c r="AX130" s="7">
        <v>39.0</v>
      </c>
      <c r="AY130" s="7">
        <v>26.0</v>
      </c>
      <c r="AZ130" s="7">
        <v>78.0</v>
      </c>
      <c r="BA130" s="10" t="str">
        <f t="shared" si="5"/>
        <v>да</v>
      </c>
      <c r="BB130" s="7">
        <v>98.0</v>
      </c>
      <c r="BC130" s="11"/>
      <c r="BD130" s="12" t="str">
        <f t="shared" si="6"/>
        <v>#DIV/0!</v>
      </c>
      <c r="BE130" s="12">
        <f t="shared" si="7"/>
        <v>1</v>
      </c>
      <c r="BF130" s="12">
        <f t="shared" si="8"/>
        <v>8</v>
      </c>
      <c r="BG130" s="15" t="s">
        <v>154</v>
      </c>
      <c r="BH130" s="15" t="s">
        <v>175</v>
      </c>
      <c r="BI130" s="15" t="s">
        <v>154</v>
      </c>
      <c r="BJ130" s="15" t="s">
        <v>285</v>
      </c>
      <c r="BK130" s="15" t="s">
        <v>150</v>
      </c>
      <c r="BL130" s="9"/>
      <c r="BM130" s="15" t="s">
        <v>154</v>
      </c>
      <c r="BN130" s="15" t="s">
        <v>155</v>
      </c>
      <c r="BO130" s="15" t="s">
        <v>154</v>
      </c>
      <c r="BP130" s="15" t="s">
        <v>170</v>
      </c>
      <c r="BQ130" s="9"/>
      <c r="BR130" s="15" t="s">
        <v>154</v>
      </c>
      <c r="BS130" s="15" t="s">
        <v>416</v>
      </c>
      <c r="BT130" s="30"/>
      <c r="BU130" s="15" t="s">
        <v>157</v>
      </c>
      <c r="BV130" s="7">
        <v>20.0</v>
      </c>
      <c r="BW130" s="15" t="s">
        <v>150</v>
      </c>
      <c r="BX130" s="10" t="s">
        <v>154</v>
      </c>
      <c r="BY130" s="1" t="s">
        <v>275</v>
      </c>
      <c r="BZ130" s="29" t="s">
        <v>158</v>
      </c>
      <c r="CA130" s="1" t="s">
        <v>167</v>
      </c>
      <c r="CB130" s="1" t="s">
        <v>150</v>
      </c>
      <c r="CC130" s="1" t="s">
        <v>150</v>
      </c>
      <c r="CD130" s="1" t="s">
        <v>247</v>
      </c>
      <c r="CE130" s="1" t="s">
        <v>150</v>
      </c>
      <c r="CF130" s="1" t="s">
        <v>150</v>
      </c>
      <c r="CG130" s="1" t="s">
        <v>150</v>
      </c>
      <c r="CH130" s="1" t="s">
        <v>150</v>
      </c>
      <c r="CI130" s="1" t="s">
        <v>150</v>
      </c>
      <c r="CJ130" s="1" t="s">
        <v>150</v>
      </c>
      <c r="CK130" s="1" t="s">
        <v>150</v>
      </c>
      <c r="CL130" s="1" t="s">
        <v>279</v>
      </c>
      <c r="CM130" s="7">
        <v>12.8</v>
      </c>
      <c r="CN130" s="7">
        <v>90.6</v>
      </c>
      <c r="CO130" s="7">
        <f t="shared" si="23"/>
        <v>11.5968</v>
      </c>
      <c r="CP130" s="7">
        <v>5.7</v>
      </c>
      <c r="CQ130" s="7">
        <f t="shared" si="10"/>
        <v>0.6610176</v>
      </c>
      <c r="CR130" s="7">
        <v>3.6</v>
      </c>
      <c r="CS130" s="7">
        <f t="shared" si="11"/>
        <v>0.0237966336</v>
      </c>
      <c r="CT130" s="7">
        <v>0.0</v>
      </c>
      <c r="CU130" s="7">
        <f t="shared" si="12"/>
        <v>0</v>
      </c>
      <c r="CV130" s="7">
        <f t="shared" si="13"/>
        <v>17.54385965</v>
      </c>
      <c r="CW130" s="7">
        <v>4.94</v>
      </c>
      <c r="CX130" s="7">
        <v>137.0</v>
      </c>
      <c r="CY130" s="7" t="str">
        <f t="shared" si="14"/>
        <v>Норма</v>
      </c>
      <c r="CZ130" s="9"/>
      <c r="DA130" s="7">
        <v>300.0</v>
      </c>
      <c r="DB130" s="7">
        <v>30.4</v>
      </c>
      <c r="DC130" s="7">
        <v>13.1</v>
      </c>
      <c r="DD130" s="7">
        <v>64.0</v>
      </c>
      <c r="DE130" s="7"/>
      <c r="DF130" s="7">
        <v>27.0</v>
      </c>
      <c r="DG130" s="7"/>
      <c r="DH130" s="7">
        <v>8.0</v>
      </c>
      <c r="DI130" s="7"/>
      <c r="DJ130" s="7">
        <v>0.3</v>
      </c>
      <c r="DK130" s="7"/>
      <c r="DL130" s="7"/>
      <c r="DM130" s="7">
        <v>5.35</v>
      </c>
      <c r="DN130" s="7">
        <v>147.0</v>
      </c>
      <c r="DO130" s="7" t="str">
        <f t="shared" si="15"/>
        <v>Норма</v>
      </c>
      <c r="DP130" s="7">
        <v>3.0</v>
      </c>
      <c r="DQ130" s="7">
        <v>292.0</v>
      </c>
      <c r="DR130" s="7">
        <v>4.4</v>
      </c>
      <c r="DS130" s="13">
        <v>641.0</v>
      </c>
      <c r="DT130" s="7">
        <v>24.5</v>
      </c>
      <c r="DU130" s="7">
        <v>11.5</v>
      </c>
      <c r="DV130" s="7">
        <v>0.98</v>
      </c>
      <c r="DW130" s="1" t="s">
        <v>320</v>
      </c>
      <c r="DX130" s="9"/>
      <c r="DY130" s="7">
        <v>27.1</v>
      </c>
      <c r="DZ130" s="7">
        <v>10.9</v>
      </c>
      <c r="EA130" s="7">
        <v>0.93</v>
      </c>
      <c r="EB130" s="7"/>
      <c r="EC130" s="7">
        <v>11.63</v>
      </c>
      <c r="ED130" s="7">
        <v>5.47</v>
      </c>
      <c r="EE130" s="7">
        <v>56.55</v>
      </c>
      <c r="EF130" s="7">
        <v>36.45</v>
      </c>
      <c r="EG130" s="7">
        <v>66.8</v>
      </c>
      <c r="EH130" s="7">
        <v>8.89</v>
      </c>
      <c r="EI130" s="9"/>
      <c r="EJ130" s="7">
        <v>74.69</v>
      </c>
      <c r="EK130" s="14">
        <f t="shared" si="16"/>
        <v>74.75604754</v>
      </c>
      <c r="EL130" s="11" t="str">
        <f t="shared" si="17"/>
        <v>C2</v>
      </c>
      <c r="EM130" s="9"/>
      <c r="EN130" s="9"/>
      <c r="EO130" s="7">
        <v>52.2</v>
      </c>
      <c r="EP130" s="7">
        <v>8.4</v>
      </c>
      <c r="EQ130" s="7">
        <v>69.3</v>
      </c>
      <c r="ER130" s="7">
        <v>12.0</v>
      </c>
      <c r="ES130" s="7">
        <v>4.1</v>
      </c>
      <c r="ET130" s="7">
        <v>66.0</v>
      </c>
      <c r="EU130" s="11">
        <f t="shared" si="18"/>
        <v>86.81445174</v>
      </c>
      <c r="EV130" s="11" t="str">
        <f t="shared" si="19"/>
        <v>C2</v>
      </c>
      <c r="EW130" s="9"/>
      <c r="EX130" s="9"/>
      <c r="EY130" s="9">
        <f t="shared" si="20"/>
        <v>0.1665082053</v>
      </c>
      <c r="EZ130" s="9">
        <f t="shared" si="21"/>
        <v>0.4584688585</v>
      </c>
      <c r="FA130" s="9" t="str">
        <f t="shared" si="22"/>
        <v>Благоприятный</v>
      </c>
      <c r="FB130" s="1" t="s">
        <v>150</v>
      </c>
      <c r="FC130" s="1" t="s">
        <v>148</v>
      </c>
    </row>
    <row r="131">
      <c r="A131" s="7">
        <v>130.0</v>
      </c>
      <c r="B131" s="21">
        <v>90.0</v>
      </c>
      <c r="C131" s="25">
        <v>5856.0</v>
      </c>
      <c r="D131" s="1" t="s">
        <v>148</v>
      </c>
      <c r="E131" s="7">
        <v>44.0</v>
      </c>
      <c r="F131" s="1" t="s">
        <v>149</v>
      </c>
      <c r="G131" s="7"/>
      <c r="H131" s="7">
        <v>46.0</v>
      </c>
      <c r="I131" s="1" t="s">
        <v>150</v>
      </c>
      <c r="J131" s="1" t="s">
        <v>150</v>
      </c>
      <c r="K131" s="9"/>
      <c r="L131" s="1" t="s">
        <v>150</v>
      </c>
      <c r="M131" s="1" t="s">
        <v>150</v>
      </c>
      <c r="N131" s="9"/>
      <c r="O131" s="1" t="str">
        <f t="shared" si="1"/>
        <v>нет</v>
      </c>
      <c r="P131" s="1" t="s">
        <v>150</v>
      </c>
      <c r="Q131" s="1" t="s">
        <v>150</v>
      </c>
      <c r="R131" s="9"/>
      <c r="S131" s="1" t="s">
        <v>150</v>
      </c>
      <c r="T131" s="9"/>
      <c r="U131" s="9"/>
      <c r="V131" s="9"/>
      <c r="W131" s="9"/>
      <c r="X131" s="9"/>
      <c r="Y131" s="1" t="s">
        <v>150</v>
      </c>
      <c r="Z131" s="9"/>
      <c r="AA131" s="9"/>
      <c r="AB131" s="9"/>
      <c r="AC131" s="9"/>
      <c r="AD131" s="26"/>
      <c r="AE131" s="1" t="s">
        <v>150</v>
      </c>
      <c r="AF131" s="7">
        <v>0.0</v>
      </c>
      <c r="AG131" s="27" t="s">
        <v>162</v>
      </c>
      <c r="AH131" s="27" t="s">
        <v>152</v>
      </c>
      <c r="AI131" s="1" t="s">
        <v>168</v>
      </c>
      <c r="AJ131" s="7">
        <v>2.0</v>
      </c>
      <c r="AK131" s="1" t="s">
        <v>5</v>
      </c>
      <c r="AL131" s="1" t="s">
        <v>150</v>
      </c>
      <c r="AM131" s="9"/>
      <c r="AN131" s="1">
        <v>15.0</v>
      </c>
      <c r="AO131" s="1" t="str">
        <f t="shared" si="2"/>
        <v>нет</v>
      </c>
      <c r="AP131" s="7">
        <v>172.0</v>
      </c>
      <c r="AQ131" s="7">
        <v>80.0</v>
      </c>
      <c r="AR131" s="9">
        <f t="shared" si="3"/>
        <v>27.04164413</v>
      </c>
      <c r="AS131" s="7" t="str">
        <f t="shared" si="4"/>
        <v>Избыточный вес (предожирение)</v>
      </c>
      <c r="AT131" s="7">
        <v>156.0</v>
      </c>
      <c r="AU131" s="7">
        <v>94.0</v>
      </c>
      <c r="AV131" s="3">
        <v>115.0</v>
      </c>
      <c r="AW131" s="7">
        <v>120.0</v>
      </c>
      <c r="AX131" s="7">
        <v>38.4</v>
      </c>
      <c r="AY131" s="7">
        <v>18.0</v>
      </c>
      <c r="AZ131" s="7">
        <v>81.0</v>
      </c>
      <c r="BA131" s="10" t="str">
        <f t="shared" si="5"/>
        <v>да</v>
      </c>
      <c r="BB131" s="7">
        <v>92.0</v>
      </c>
      <c r="BC131" s="11"/>
      <c r="BD131" s="12" t="str">
        <f t="shared" si="6"/>
        <v>#DIV/0!</v>
      </c>
      <c r="BE131" s="12">
        <f t="shared" si="7"/>
        <v>0</v>
      </c>
      <c r="BF131" s="12">
        <f t="shared" si="8"/>
        <v>6</v>
      </c>
      <c r="BG131" s="1" t="s">
        <v>150</v>
      </c>
      <c r="BH131" s="9"/>
      <c r="BI131" s="1" t="s">
        <v>154</v>
      </c>
      <c r="BJ131" s="1" t="s">
        <v>169</v>
      </c>
      <c r="BK131" s="1" t="s">
        <v>150</v>
      </c>
      <c r="BL131" s="9"/>
      <c r="BM131" s="1" t="s">
        <v>154</v>
      </c>
      <c r="BN131" s="1" t="s">
        <v>155</v>
      </c>
      <c r="BO131" s="9"/>
      <c r="BP131" s="9"/>
      <c r="BQ131" s="9"/>
      <c r="BR131" s="1" t="s">
        <v>154</v>
      </c>
      <c r="BS131" s="1" t="s">
        <v>348</v>
      </c>
      <c r="BT131" s="28">
        <v>12.0</v>
      </c>
      <c r="BU131" s="1" t="s">
        <v>157</v>
      </c>
      <c r="BV131" s="7">
        <v>12.0</v>
      </c>
      <c r="BW131" s="1" t="s">
        <v>150</v>
      </c>
      <c r="BX131" s="10" t="s">
        <v>154</v>
      </c>
      <c r="BY131" s="1" t="s">
        <v>269</v>
      </c>
      <c r="BZ131" s="29" t="s">
        <v>158</v>
      </c>
      <c r="CA131" s="9"/>
      <c r="CB131" s="1" t="s">
        <v>150</v>
      </c>
      <c r="CC131" s="1" t="s">
        <v>150</v>
      </c>
      <c r="CD131" s="9"/>
      <c r="CE131" s="1" t="s">
        <v>150</v>
      </c>
      <c r="CF131" s="1" t="s">
        <v>240</v>
      </c>
      <c r="CG131" s="1" t="s">
        <v>154</v>
      </c>
      <c r="CH131" s="1" t="s">
        <v>150</v>
      </c>
      <c r="CI131" s="1" t="s">
        <v>150</v>
      </c>
      <c r="CJ131" s="1" t="s">
        <v>150</v>
      </c>
      <c r="CK131" s="1" t="s">
        <v>150</v>
      </c>
      <c r="CL131" s="1" t="s">
        <v>417</v>
      </c>
      <c r="CM131" s="7">
        <v>7.5</v>
      </c>
      <c r="CN131" s="7">
        <v>89.7</v>
      </c>
      <c r="CO131" s="7">
        <f t="shared" si="23"/>
        <v>6.7275</v>
      </c>
      <c r="CP131" s="7">
        <v>7.3</v>
      </c>
      <c r="CQ131" s="7">
        <f t="shared" si="10"/>
        <v>0.4911075</v>
      </c>
      <c r="CR131" s="7">
        <v>2.8</v>
      </c>
      <c r="CS131" s="7">
        <f t="shared" si="11"/>
        <v>0.01375101</v>
      </c>
      <c r="CT131" s="7">
        <v>0.0</v>
      </c>
      <c r="CU131" s="7">
        <f t="shared" si="12"/>
        <v>0</v>
      </c>
      <c r="CV131" s="7">
        <f t="shared" si="13"/>
        <v>13.69863014</v>
      </c>
      <c r="CW131" s="7">
        <v>5.1</v>
      </c>
      <c r="CX131" s="7">
        <v>145.0</v>
      </c>
      <c r="CY131" s="7" t="str">
        <f t="shared" si="14"/>
        <v>Норма</v>
      </c>
      <c r="CZ131" s="9"/>
      <c r="DA131" s="7">
        <v>179.0</v>
      </c>
      <c r="DB131" s="7">
        <v>195.1</v>
      </c>
      <c r="DC131" s="7">
        <v>10.6</v>
      </c>
      <c r="DD131" s="7">
        <v>67.5</v>
      </c>
      <c r="DE131" s="7"/>
      <c r="DF131" s="7">
        <v>27.4</v>
      </c>
      <c r="DG131" s="7"/>
      <c r="DH131" s="7">
        <v>3.2</v>
      </c>
      <c r="DI131" s="7"/>
      <c r="DJ131" s="7">
        <v>0.3</v>
      </c>
      <c r="DK131" s="7"/>
      <c r="DL131" s="7"/>
      <c r="DM131" s="7">
        <v>4.52</v>
      </c>
      <c r="DN131" s="7">
        <v>130.0</v>
      </c>
      <c r="DO131" s="7" t="str">
        <f t="shared" si="15"/>
        <v>Норма</v>
      </c>
      <c r="DP131" s="9"/>
      <c r="DQ131" s="7">
        <v>108.0</v>
      </c>
      <c r="DR131" s="7">
        <v>22.0</v>
      </c>
      <c r="DS131" s="13">
        <v>970.0</v>
      </c>
      <c r="DT131" s="9"/>
      <c r="DU131" s="7">
        <v>12.1</v>
      </c>
      <c r="DV131" s="7">
        <v>1.03</v>
      </c>
      <c r="DW131" s="1" t="s">
        <v>320</v>
      </c>
      <c r="DX131" s="9"/>
      <c r="DY131" s="9"/>
      <c r="DZ131" s="7">
        <v>12.6</v>
      </c>
      <c r="EA131" s="7">
        <v>1.07</v>
      </c>
      <c r="EB131" s="7"/>
      <c r="EC131" s="7">
        <v>10.27</v>
      </c>
      <c r="ED131" s="7">
        <v>5.3</v>
      </c>
      <c r="EE131" s="7">
        <v>44.5</v>
      </c>
      <c r="EF131" s="7">
        <v>67.2</v>
      </c>
      <c r="EG131" s="7">
        <v>72.7</v>
      </c>
      <c r="EH131" s="7">
        <v>10.5</v>
      </c>
      <c r="EI131" s="7">
        <v>4.5</v>
      </c>
      <c r="EJ131" s="7">
        <v>114.0</v>
      </c>
      <c r="EK131" s="14">
        <f t="shared" si="16"/>
        <v>50.52257244</v>
      </c>
      <c r="EL131" s="11" t="str">
        <f t="shared" si="17"/>
        <v>C3a</v>
      </c>
      <c r="EM131" s="7">
        <v>134.0</v>
      </c>
      <c r="EN131" s="7">
        <v>4.2</v>
      </c>
      <c r="EO131" s="7">
        <v>43.0</v>
      </c>
      <c r="EP131" s="7">
        <v>9.7</v>
      </c>
      <c r="EQ131" s="7">
        <v>60.1</v>
      </c>
      <c r="ER131" s="7">
        <v>12.7</v>
      </c>
      <c r="ES131" s="7">
        <v>3.7</v>
      </c>
      <c r="ET131" s="7">
        <v>57.0</v>
      </c>
      <c r="EU131" s="11">
        <f t="shared" si="18"/>
        <v>108.6207562</v>
      </c>
      <c r="EV131" s="11" t="str">
        <f t="shared" si="19"/>
        <v>C1</v>
      </c>
      <c r="EW131" s="7">
        <v>141.9</v>
      </c>
      <c r="EX131" s="7">
        <v>4.53</v>
      </c>
      <c r="EY131" s="9">
        <f t="shared" si="20"/>
        <v>0.8592468145</v>
      </c>
      <c r="EZ131" s="9">
        <f t="shared" si="21"/>
        <v>0.2974967317</v>
      </c>
      <c r="FA131" s="9" t="str">
        <f t="shared" si="22"/>
        <v>Благоприятный</v>
      </c>
      <c r="FB131" s="1" t="s">
        <v>150</v>
      </c>
      <c r="FC131" s="1" t="s">
        <v>148</v>
      </c>
    </row>
    <row r="132">
      <c r="A132" s="7">
        <v>131.0</v>
      </c>
      <c r="B132" s="21">
        <v>91.0</v>
      </c>
      <c r="C132" s="25">
        <v>6844.0</v>
      </c>
      <c r="D132" s="1" t="s">
        <v>148</v>
      </c>
      <c r="E132" s="7">
        <v>55.0</v>
      </c>
      <c r="F132" s="1" t="s">
        <v>149</v>
      </c>
      <c r="G132" s="7"/>
      <c r="H132" s="7">
        <v>18.0</v>
      </c>
      <c r="I132" s="1" t="s">
        <v>150</v>
      </c>
      <c r="J132" s="1" t="s">
        <v>150</v>
      </c>
      <c r="K132" s="9"/>
      <c r="L132" s="1" t="s">
        <v>150</v>
      </c>
      <c r="M132" s="1" t="s">
        <v>150</v>
      </c>
      <c r="N132" s="9"/>
      <c r="O132" s="1" t="str">
        <f t="shared" si="1"/>
        <v>нет</v>
      </c>
      <c r="P132" s="1" t="s">
        <v>150</v>
      </c>
      <c r="Q132" s="1" t="s">
        <v>154</v>
      </c>
      <c r="R132" s="7">
        <v>3.0</v>
      </c>
      <c r="S132" s="1" t="s">
        <v>154</v>
      </c>
      <c r="T132" s="1" t="s">
        <v>165</v>
      </c>
      <c r="U132" s="7"/>
      <c r="V132" s="7">
        <v>2.0</v>
      </c>
      <c r="W132" s="7">
        <v>2.0</v>
      </c>
      <c r="X132" s="9"/>
      <c r="Y132" s="1" t="s">
        <v>150</v>
      </c>
      <c r="Z132" s="9"/>
      <c r="AA132" s="9"/>
      <c r="AB132" s="9"/>
      <c r="AC132" s="9"/>
      <c r="AD132" s="26"/>
      <c r="AE132" s="1" t="s">
        <v>150</v>
      </c>
      <c r="AF132" s="7">
        <v>0.0</v>
      </c>
      <c r="AG132" s="27" t="s">
        <v>162</v>
      </c>
      <c r="AH132" s="27" t="s">
        <v>152</v>
      </c>
      <c r="AI132" s="1" t="s">
        <v>168</v>
      </c>
      <c r="AJ132" s="7">
        <v>1.0</v>
      </c>
      <c r="AK132" s="1" t="s">
        <v>5</v>
      </c>
      <c r="AL132" s="1" t="s">
        <v>150</v>
      </c>
      <c r="AM132" s="9"/>
      <c r="AN132" s="1">
        <v>15.0</v>
      </c>
      <c r="AO132" s="1" t="str">
        <f t="shared" si="2"/>
        <v>нет</v>
      </c>
      <c r="AP132" s="7">
        <v>189.0</v>
      </c>
      <c r="AQ132" s="7">
        <v>125.0</v>
      </c>
      <c r="AR132" s="9">
        <f t="shared" si="3"/>
        <v>34.99342124</v>
      </c>
      <c r="AS132" s="7" t="str">
        <f t="shared" si="4"/>
        <v>Ожирение I степени</v>
      </c>
      <c r="AT132" s="7">
        <v>95.0</v>
      </c>
      <c r="AU132" s="7">
        <v>70.0</v>
      </c>
      <c r="AV132" s="3">
        <v>78.0</v>
      </c>
      <c r="AW132" s="7">
        <v>100.0</v>
      </c>
      <c r="AX132" s="7">
        <v>37.0</v>
      </c>
      <c r="AY132" s="7">
        <v>20.0</v>
      </c>
      <c r="AZ132" s="7">
        <v>94.0</v>
      </c>
      <c r="BA132" s="10" t="str">
        <f t="shared" si="5"/>
        <v>да</v>
      </c>
      <c r="BB132" s="9"/>
      <c r="BC132" s="11"/>
      <c r="BD132" s="12" t="str">
        <f t="shared" si="6"/>
        <v>#DIV/0!</v>
      </c>
      <c r="BE132" s="12">
        <f t="shared" si="7"/>
        <v>1</v>
      </c>
      <c r="BF132" s="12">
        <f t="shared" si="8"/>
        <v>4</v>
      </c>
      <c r="BG132" s="1" t="s">
        <v>150</v>
      </c>
      <c r="BH132" s="9"/>
      <c r="BI132" s="15" t="s">
        <v>154</v>
      </c>
      <c r="BJ132" s="15" t="s">
        <v>285</v>
      </c>
      <c r="BK132" s="15" t="s">
        <v>150</v>
      </c>
      <c r="BL132" s="9"/>
      <c r="BM132" s="15" t="s">
        <v>154</v>
      </c>
      <c r="BN132" s="15" t="s">
        <v>155</v>
      </c>
      <c r="BO132" s="30"/>
      <c r="BP132" s="9"/>
      <c r="BQ132" s="9"/>
      <c r="BR132" s="15" t="s">
        <v>154</v>
      </c>
      <c r="BS132" s="15" t="s">
        <v>293</v>
      </c>
      <c r="BT132" s="30"/>
      <c r="BU132" s="9"/>
      <c r="BV132" s="9"/>
      <c r="BW132" s="15" t="s">
        <v>150</v>
      </c>
      <c r="BX132" s="10" t="s">
        <v>154</v>
      </c>
      <c r="BY132" s="1" t="s">
        <v>173</v>
      </c>
      <c r="BZ132" s="29" t="s">
        <v>158</v>
      </c>
      <c r="CA132" s="1" t="s">
        <v>167</v>
      </c>
      <c r="CB132" s="1" t="s">
        <v>185</v>
      </c>
      <c r="CC132" s="1" t="s">
        <v>418</v>
      </c>
      <c r="CD132" s="1" t="s">
        <v>247</v>
      </c>
      <c r="CE132" s="1" t="s">
        <v>150</v>
      </c>
      <c r="CF132" s="1" t="s">
        <v>150</v>
      </c>
      <c r="CG132" s="1" t="s">
        <v>150</v>
      </c>
      <c r="CH132" s="1" t="s">
        <v>150</v>
      </c>
      <c r="CI132" s="1" t="s">
        <v>150</v>
      </c>
      <c r="CJ132" s="1" t="s">
        <v>150</v>
      </c>
      <c r="CK132" s="1" t="s">
        <v>150</v>
      </c>
      <c r="CL132" s="1" t="s">
        <v>419</v>
      </c>
      <c r="CM132" s="7">
        <v>10.4</v>
      </c>
      <c r="CN132" s="7">
        <v>63.0</v>
      </c>
      <c r="CO132" s="7">
        <f t="shared" si="23"/>
        <v>6.552</v>
      </c>
      <c r="CP132" s="7">
        <v>30.4</v>
      </c>
      <c r="CQ132" s="7">
        <f t="shared" si="10"/>
        <v>1.991808</v>
      </c>
      <c r="CR132" s="7">
        <v>5.0</v>
      </c>
      <c r="CS132" s="7">
        <f t="shared" si="11"/>
        <v>0.0995904</v>
      </c>
      <c r="CT132" s="7">
        <v>1.2</v>
      </c>
      <c r="CU132" s="7">
        <f t="shared" si="12"/>
        <v>0.0011950848</v>
      </c>
      <c r="CV132" s="7">
        <f t="shared" si="13"/>
        <v>3.289473684</v>
      </c>
      <c r="CW132" s="7">
        <v>4.52</v>
      </c>
      <c r="CX132" s="7">
        <v>134.0</v>
      </c>
      <c r="CY132" s="7" t="str">
        <f t="shared" si="14"/>
        <v>Норма</v>
      </c>
      <c r="CZ132" s="9"/>
      <c r="DA132" s="7">
        <v>209.0</v>
      </c>
      <c r="DB132" s="9"/>
      <c r="DC132" s="7">
        <v>10.39</v>
      </c>
      <c r="DD132" s="7">
        <v>80.6</v>
      </c>
      <c r="DE132" s="7"/>
      <c r="DF132" s="7">
        <v>11.4</v>
      </c>
      <c r="DG132" s="7"/>
      <c r="DH132" s="7">
        <v>7.1</v>
      </c>
      <c r="DI132" s="7"/>
      <c r="DJ132" s="7">
        <v>0.7</v>
      </c>
      <c r="DK132" s="7"/>
      <c r="DL132" s="7"/>
      <c r="DM132" s="7">
        <v>5.02</v>
      </c>
      <c r="DN132" s="7">
        <v>153.0</v>
      </c>
      <c r="DO132" s="7" t="str">
        <f t="shared" si="15"/>
        <v>Норма</v>
      </c>
      <c r="DP132" s="9"/>
      <c r="DQ132" s="7">
        <v>179.0</v>
      </c>
      <c r="DR132" s="9"/>
      <c r="DS132" s="13">
        <v>4.0</v>
      </c>
      <c r="DT132" s="9"/>
      <c r="DU132" s="7">
        <v>30.1</v>
      </c>
      <c r="DV132" s="9"/>
      <c r="DW132" s="1" t="s">
        <v>320</v>
      </c>
      <c r="DX132" s="9"/>
      <c r="DY132" s="9"/>
      <c r="DZ132" s="9"/>
      <c r="EA132" s="9"/>
      <c r="EB132" s="7"/>
      <c r="EC132" s="7">
        <v>8.39</v>
      </c>
      <c r="ED132" s="7">
        <v>5.68</v>
      </c>
      <c r="EE132" s="7">
        <v>29.3</v>
      </c>
      <c r="EF132" s="7">
        <v>44.8</v>
      </c>
      <c r="EG132" s="7">
        <v>75.0</v>
      </c>
      <c r="EH132" s="7">
        <v>10.7</v>
      </c>
      <c r="EI132" s="9"/>
      <c r="EJ132" s="7">
        <v>51.8</v>
      </c>
      <c r="EK132" s="14">
        <f t="shared" si="16"/>
        <v>103.7583106</v>
      </c>
      <c r="EL132" s="11" t="str">
        <f t="shared" si="17"/>
        <v>C1</v>
      </c>
      <c r="EM132" s="9"/>
      <c r="EN132" s="9"/>
      <c r="EO132" s="7">
        <v>32.5</v>
      </c>
      <c r="EP132" s="7">
        <v>26.7</v>
      </c>
      <c r="EQ132" s="9"/>
      <c r="ER132" s="7">
        <v>9.72</v>
      </c>
      <c r="ES132" s="9"/>
      <c r="ET132" s="7">
        <v>69.9</v>
      </c>
      <c r="EU132" s="11">
        <f t="shared" si="18"/>
        <v>84.47967774</v>
      </c>
      <c r="EV132" s="11" t="str">
        <f t="shared" si="19"/>
        <v>C2</v>
      </c>
      <c r="EW132" s="9"/>
      <c r="EX132" s="9"/>
      <c r="EY132" s="9">
        <f t="shared" si="20"/>
        <v>0.5260530047</v>
      </c>
      <c r="EZ132" s="9">
        <f t="shared" si="21"/>
        <v>0.3714379315</v>
      </c>
      <c r="FA132" s="9" t="str">
        <f t="shared" si="22"/>
        <v>Благоприятный</v>
      </c>
      <c r="FB132" s="1" t="s">
        <v>150</v>
      </c>
      <c r="FC132" s="1" t="s">
        <v>148</v>
      </c>
    </row>
    <row r="133">
      <c r="A133" s="7">
        <v>132.0</v>
      </c>
      <c r="B133" s="21">
        <v>92.0</v>
      </c>
      <c r="C133" s="16">
        <v>6683.0</v>
      </c>
      <c r="D133" s="1" t="s">
        <v>148</v>
      </c>
      <c r="E133" s="7">
        <v>49.0</v>
      </c>
      <c r="F133" s="1" t="s">
        <v>149</v>
      </c>
      <c r="G133" s="7"/>
      <c r="H133" s="7">
        <v>15.0</v>
      </c>
      <c r="I133" s="1" t="s">
        <v>150</v>
      </c>
      <c r="J133" s="1" t="s">
        <v>150</v>
      </c>
      <c r="K133" s="9"/>
      <c r="L133" s="1" t="s">
        <v>154</v>
      </c>
      <c r="M133" s="1" t="s">
        <v>154</v>
      </c>
      <c r="N133" s="9"/>
      <c r="O133" s="1" t="str">
        <f t="shared" si="1"/>
        <v>нет</v>
      </c>
      <c r="P133" s="1" t="s">
        <v>154</v>
      </c>
      <c r="Q133" s="1" t="s">
        <v>154</v>
      </c>
      <c r="R133" s="7">
        <v>3.0</v>
      </c>
      <c r="S133" s="1" t="s">
        <v>150</v>
      </c>
      <c r="T133" s="9"/>
      <c r="U133" s="9"/>
      <c r="V133" s="9"/>
      <c r="W133" s="9"/>
      <c r="X133" s="9"/>
      <c r="Y133" s="1" t="s">
        <v>150</v>
      </c>
      <c r="Z133" s="9"/>
      <c r="AA133" s="9"/>
      <c r="AB133" s="9"/>
      <c r="AC133" s="9"/>
      <c r="AD133" s="26"/>
      <c r="AE133" s="1" t="s">
        <v>150</v>
      </c>
      <c r="AF133" s="7">
        <v>0.0</v>
      </c>
      <c r="AG133" s="27" t="s">
        <v>151</v>
      </c>
      <c r="AH133" s="27" t="s">
        <v>152</v>
      </c>
      <c r="AI133" s="1" t="s">
        <v>168</v>
      </c>
      <c r="AJ133" s="7">
        <v>2.0</v>
      </c>
      <c r="AK133" s="1" t="s">
        <v>5</v>
      </c>
      <c r="AL133" s="1" t="s">
        <v>150</v>
      </c>
      <c r="AM133" s="9"/>
      <c r="AN133" s="1">
        <v>15.0</v>
      </c>
      <c r="AO133" s="1" t="str">
        <f t="shared" si="2"/>
        <v>нет</v>
      </c>
      <c r="AP133" s="7">
        <v>182.0</v>
      </c>
      <c r="AQ133" s="7">
        <v>88.0</v>
      </c>
      <c r="AR133" s="9">
        <f t="shared" si="3"/>
        <v>26.56683975</v>
      </c>
      <c r="AS133" s="7" t="str">
        <f t="shared" si="4"/>
        <v>Избыточный вес (предожирение)</v>
      </c>
      <c r="AT133" s="7">
        <v>140.0</v>
      </c>
      <c r="AU133" s="7">
        <v>90.0</v>
      </c>
      <c r="AV133" s="3">
        <v>107.0</v>
      </c>
      <c r="AW133" s="7">
        <v>94.0</v>
      </c>
      <c r="AX133" s="7">
        <v>39.0</v>
      </c>
      <c r="AY133" s="7">
        <v>30.0</v>
      </c>
      <c r="AZ133" s="7">
        <v>72.0</v>
      </c>
      <c r="BA133" s="10" t="str">
        <f t="shared" si="5"/>
        <v>да</v>
      </c>
      <c r="BB133" s="7">
        <v>94.0</v>
      </c>
      <c r="BC133" s="11"/>
      <c r="BD133" s="12" t="str">
        <f t="shared" si="6"/>
        <v>#DIV/0!</v>
      </c>
      <c r="BE133" s="12">
        <f t="shared" si="7"/>
        <v>1</v>
      </c>
      <c r="BF133" s="12">
        <f t="shared" si="8"/>
        <v>8</v>
      </c>
      <c r="BG133" s="1" t="s">
        <v>150</v>
      </c>
      <c r="BH133" s="9"/>
      <c r="BI133" s="1" t="s">
        <v>154</v>
      </c>
      <c r="BJ133" s="1" t="s">
        <v>285</v>
      </c>
      <c r="BK133" s="1" t="s">
        <v>154</v>
      </c>
      <c r="BL133" s="1" t="s">
        <v>189</v>
      </c>
      <c r="BM133" s="1" t="s">
        <v>154</v>
      </c>
      <c r="BN133" s="1" t="s">
        <v>155</v>
      </c>
      <c r="BO133" s="1" t="s">
        <v>150</v>
      </c>
      <c r="BP133" s="9"/>
      <c r="BQ133" s="9"/>
      <c r="BR133" s="1" t="s">
        <v>154</v>
      </c>
      <c r="BS133" s="1" t="s">
        <v>306</v>
      </c>
      <c r="BT133" s="30"/>
      <c r="BU133" s="1" t="s">
        <v>157</v>
      </c>
      <c r="BV133" s="7">
        <v>16.0</v>
      </c>
      <c r="BW133" s="1" t="s">
        <v>154</v>
      </c>
      <c r="BX133" s="10" t="s">
        <v>154</v>
      </c>
      <c r="BY133" s="1" t="s">
        <v>269</v>
      </c>
      <c r="BZ133" s="29" t="s">
        <v>158</v>
      </c>
      <c r="CA133" s="9"/>
      <c r="CB133" s="1" t="s">
        <v>150</v>
      </c>
      <c r="CC133" s="1" t="s">
        <v>150</v>
      </c>
      <c r="CD133" s="1" t="s">
        <v>420</v>
      </c>
      <c r="CE133" s="1" t="s">
        <v>150</v>
      </c>
      <c r="CF133" s="1" t="s">
        <v>150</v>
      </c>
      <c r="CG133" s="1" t="s">
        <v>150</v>
      </c>
      <c r="CH133" s="1" t="s">
        <v>150</v>
      </c>
      <c r="CI133" s="1" t="s">
        <v>150</v>
      </c>
      <c r="CJ133" s="1" t="s">
        <v>150</v>
      </c>
      <c r="CK133" s="1" t="s">
        <v>150</v>
      </c>
      <c r="CL133" s="1" t="s">
        <v>421</v>
      </c>
      <c r="CM133" s="1"/>
      <c r="CN133" s="1"/>
      <c r="CO133" s="7">
        <f t="shared" si="23"/>
        <v>0</v>
      </c>
      <c r="CP133" s="1"/>
      <c r="CQ133" s="7">
        <f t="shared" si="10"/>
        <v>0</v>
      </c>
      <c r="CR133" s="1"/>
      <c r="CS133" s="7">
        <f t="shared" si="11"/>
        <v>0</v>
      </c>
      <c r="CT133" s="1"/>
      <c r="CU133" s="7">
        <f t="shared" si="12"/>
        <v>0</v>
      </c>
      <c r="CV133" s="7" t="str">
        <f t="shared" si="13"/>
        <v>#DIV/0!</v>
      </c>
      <c r="CW133" s="1"/>
      <c r="CX133" s="9"/>
      <c r="CY133" s="7" t="str">
        <f t="shared" si="14"/>
        <v>Тяжелая степень</v>
      </c>
      <c r="CZ133" s="9"/>
      <c r="DA133" s="9"/>
      <c r="DB133" s="7">
        <v>86.6</v>
      </c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7" t="str">
        <f t="shared" si="15"/>
        <v>Тяжелая степень</v>
      </c>
      <c r="DP133" s="9"/>
      <c r="DQ133" s="9"/>
      <c r="DR133" s="7">
        <v>11.6</v>
      </c>
      <c r="DS133" s="13">
        <v>629.0</v>
      </c>
      <c r="DT133" s="9"/>
      <c r="DU133" s="7">
        <v>12.8</v>
      </c>
      <c r="DV133" s="7">
        <v>1.09</v>
      </c>
      <c r="DW133" s="1" t="s">
        <v>320</v>
      </c>
      <c r="DX133" s="9"/>
      <c r="DY133" s="9"/>
      <c r="DZ133" s="7">
        <v>10.8</v>
      </c>
      <c r="EA133" s="7">
        <v>0.423</v>
      </c>
      <c r="EB133" s="7"/>
      <c r="EC133" s="7">
        <v>24.69</v>
      </c>
      <c r="ED133" s="7">
        <v>19.68</v>
      </c>
      <c r="EE133" s="7">
        <v>20.9</v>
      </c>
      <c r="EF133" s="7">
        <v>47.6</v>
      </c>
      <c r="EG133" s="7">
        <v>84.6</v>
      </c>
      <c r="EH133" s="7">
        <v>13.6</v>
      </c>
      <c r="EI133" s="7">
        <v>3.9</v>
      </c>
      <c r="EJ133" s="7">
        <v>132.0</v>
      </c>
      <c r="EK133" s="14">
        <f t="shared" si="16"/>
        <v>40.85599392</v>
      </c>
      <c r="EL133" s="11" t="str">
        <f t="shared" si="17"/>
        <v>C3b</v>
      </c>
      <c r="EM133" s="7">
        <v>132.5</v>
      </c>
      <c r="EN133" s="7">
        <v>4.13</v>
      </c>
      <c r="EO133" s="7">
        <v>67.6</v>
      </c>
      <c r="EP133" s="7">
        <v>15.4</v>
      </c>
      <c r="EQ133" s="7">
        <v>60.5</v>
      </c>
      <c r="ER133" s="7">
        <v>10.0</v>
      </c>
      <c r="ES133" s="7">
        <v>3.6</v>
      </c>
      <c r="ET133" s="7">
        <v>115.0</v>
      </c>
      <c r="EU133" s="11">
        <f t="shared" si="18"/>
        <v>48.26651851</v>
      </c>
      <c r="EV133" s="11" t="str">
        <f t="shared" si="19"/>
        <v>C3a</v>
      </c>
      <c r="EW133" s="7">
        <v>131.3</v>
      </c>
      <c r="EX133" s="7">
        <v>4.35</v>
      </c>
      <c r="EY133" s="9">
        <f t="shared" si="20"/>
        <v>-0.002223671054</v>
      </c>
      <c r="EZ133" s="9">
        <f t="shared" si="21"/>
        <v>0.5005559175</v>
      </c>
      <c r="FA133" s="9" t="str">
        <f t="shared" si="22"/>
        <v>Благоприятный</v>
      </c>
      <c r="FB133" s="1" t="s">
        <v>150</v>
      </c>
      <c r="FC133" s="1" t="s">
        <v>148</v>
      </c>
    </row>
    <row r="134">
      <c r="A134" s="7">
        <v>133.0</v>
      </c>
      <c r="B134" s="21">
        <v>93.0</v>
      </c>
      <c r="C134" s="25">
        <v>5831.0</v>
      </c>
      <c r="D134" s="1" t="s">
        <v>148</v>
      </c>
      <c r="E134" s="7">
        <v>61.0</v>
      </c>
      <c r="F134" s="1" t="s">
        <v>161</v>
      </c>
      <c r="G134" s="7"/>
      <c r="H134" s="7">
        <v>69.0</v>
      </c>
      <c r="I134" s="1" t="s">
        <v>150</v>
      </c>
      <c r="J134" s="1" t="s">
        <v>150</v>
      </c>
      <c r="K134" s="9"/>
      <c r="L134" s="1" t="s">
        <v>150</v>
      </c>
      <c r="M134" s="1" t="s">
        <v>150</v>
      </c>
      <c r="N134" s="9"/>
      <c r="O134" s="1" t="str">
        <f t="shared" si="1"/>
        <v>нет</v>
      </c>
      <c r="P134" s="1" t="s">
        <v>150</v>
      </c>
      <c r="Q134" s="1" t="s">
        <v>154</v>
      </c>
      <c r="R134" s="7">
        <v>2.0</v>
      </c>
      <c r="S134" s="1" t="s">
        <v>150</v>
      </c>
      <c r="T134" s="9"/>
      <c r="U134" s="9"/>
      <c r="V134" s="9"/>
      <c r="W134" s="9"/>
      <c r="X134" s="9"/>
      <c r="Y134" s="1" t="s">
        <v>150</v>
      </c>
      <c r="Z134" s="9"/>
      <c r="AA134" s="9"/>
      <c r="AB134" s="9"/>
      <c r="AC134" s="9"/>
      <c r="AD134" s="26" t="s">
        <v>422</v>
      </c>
      <c r="AE134" s="1" t="s">
        <v>150</v>
      </c>
      <c r="AF134" s="7">
        <v>0.0</v>
      </c>
      <c r="AG134" s="27" t="s">
        <v>162</v>
      </c>
      <c r="AH134" s="27" t="s">
        <v>152</v>
      </c>
      <c r="AI134" s="1" t="s">
        <v>168</v>
      </c>
      <c r="AJ134" s="7">
        <v>3.0</v>
      </c>
      <c r="AK134" s="1" t="s">
        <v>5</v>
      </c>
      <c r="AL134" s="1" t="s">
        <v>150</v>
      </c>
      <c r="AM134" s="9"/>
      <c r="AN134" s="1">
        <v>15.0</v>
      </c>
      <c r="AO134" s="1" t="str">
        <f t="shared" si="2"/>
        <v>нет</v>
      </c>
      <c r="AP134" s="7">
        <v>162.0</v>
      </c>
      <c r="AQ134" s="7">
        <v>70.0</v>
      </c>
      <c r="AR134" s="9">
        <f t="shared" si="3"/>
        <v>26.6727633</v>
      </c>
      <c r="AS134" s="7" t="str">
        <f t="shared" si="4"/>
        <v>Избыточный вес (предожирение)</v>
      </c>
      <c r="AT134" s="7">
        <v>160.0</v>
      </c>
      <c r="AU134" s="7">
        <v>90.0</v>
      </c>
      <c r="AV134" s="3">
        <v>113.0</v>
      </c>
      <c r="AW134" s="7">
        <v>102.0</v>
      </c>
      <c r="AX134" s="7">
        <v>37.5</v>
      </c>
      <c r="AY134" s="7">
        <v>24.0</v>
      </c>
      <c r="AZ134" s="7">
        <v>65.0</v>
      </c>
      <c r="BA134" s="10" t="str">
        <f t="shared" si="5"/>
        <v>да</v>
      </c>
      <c r="BB134" s="7">
        <v>74.0</v>
      </c>
      <c r="BC134" s="11"/>
      <c r="BD134" s="12" t="str">
        <f t="shared" si="6"/>
        <v>#DIV/0!</v>
      </c>
      <c r="BE134" s="12">
        <f t="shared" si="7"/>
        <v>1</v>
      </c>
      <c r="BF134" s="12">
        <f t="shared" si="8"/>
        <v>6</v>
      </c>
      <c r="BG134" s="15" t="s">
        <v>154</v>
      </c>
      <c r="BH134" s="15" t="s">
        <v>163</v>
      </c>
      <c r="BI134" s="15" t="s">
        <v>154</v>
      </c>
      <c r="BJ134" s="15" t="s">
        <v>423</v>
      </c>
      <c r="BK134" s="15" t="s">
        <v>154</v>
      </c>
      <c r="BL134" s="15" t="s">
        <v>424</v>
      </c>
      <c r="BM134" s="15" t="s">
        <v>154</v>
      </c>
      <c r="BN134" s="15" t="s">
        <v>155</v>
      </c>
      <c r="BO134" s="15" t="s">
        <v>154</v>
      </c>
      <c r="BP134" s="15" t="s">
        <v>157</v>
      </c>
      <c r="BQ134" s="9"/>
      <c r="BR134" s="15" t="s">
        <v>154</v>
      </c>
      <c r="BS134" s="15" t="s">
        <v>408</v>
      </c>
      <c r="BT134" s="30"/>
      <c r="BU134" s="15" t="s">
        <v>157</v>
      </c>
      <c r="BV134" s="7">
        <v>14.0</v>
      </c>
      <c r="BW134" s="15" t="s">
        <v>154</v>
      </c>
      <c r="BX134" s="10" t="s">
        <v>154</v>
      </c>
      <c r="BY134" s="1" t="s">
        <v>269</v>
      </c>
      <c r="BZ134" s="29" t="s">
        <v>158</v>
      </c>
      <c r="CA134" s="9"/>
      <c r="CB134" s="1" t="s">
        <v>150</v>
      </c>
      <c r="CC134" s="1" t="s">
        <v>150</v>
      </c>
      <c r="CD134" s="9"/>
      <c r="CE134" s="1" t="s">
        <v>177</v>
      </c>
      <c r="CF134" s="1" t="s">
        <v>240</v>
      </c>
      <c r="CG134" s="1" t="s">
        <v>154</v>
      </c>
      <c r="CH134" s="1" t="s">
        <v>150</v>
      </c>
      <c r="CI134" s="1" t="s">
        <v>150</v>
      </c>
      <c r="CJ134" s="1" t="s">
        <v>150</v>
      </c>
      <c r="CK134" s="1" t="s">
        <v>150</v>
      </c>
      <c r="CL134" s="1" t="s">
        <v>425</v>
      </c>
      <c r="CM134" s="7">
        <v>11.1</v>
      </c>
      <c r="CN134" s="7">
        <v>93.9</v>
      </c>
      <c r="CO134" s="7">
        <f t="shared" si="23"/>
        <v>10.4229</v>
      </c>
      <c r="CP134" s="7">
        <v>3.7</v>
      </c>
      <c r="CQ134" s="7">
        <f t="shared" si="10"/>
        <v>0.3856473</v>
      </c>
      <c r="CR134" s="7">
        <v>2.4</v>
      </c>
      <c r="CS134" s="7">
        <f t="shared" si="11"/>
        <v>0.0092555352</v>
      </c>
      <c r="CT134" s="7">
        <v>0.0</v>
      </c>
      <c r="CU134" s="7">
        <f t="shared" si="12"/>
        <v>0</v>
      </c>
      <c r="CV134" s="7">
        <f t="shared" si="13"/>
        <v>27.02702703</v>
      </c>
      <c r="CW134" s="7">
        <v>4.27</v>
      </c>
      <c r="CX134" s="7">
        <v>120.0</v>
      </c>
      <c r="CY134" s="7" t="str">
        <f t="shared" si="14"/>
        <v>Легкая степень</v>
      </c>
      <c r="CZ134" s="9"/>
      <c r="DA134" s="7">
        <v>189.0</v>
      </c>
      <c r="DB134" s="7">
        <v>81.8</v>
      </c>
      <c r="DC134" s="7">
        <v>19.0</v>
      </c>
      <c r="DD134" s="7">
        <v>75.4</v>
      </c>
      <c r="DE134" s="7"/>
      <c r="DF134" s="7">
        <v>18.0</v>
      </c>
      <c r="DG134" s="7"/>
      <c r="DH134" s="7">
        <v>5.7</v>
      </c>
      <c r="DI134" s="7"/>
      <c r="DJ134" s="7">
        <v>0.0</v>
      </c>
      <c r="DK134" s="7"/>
      <c r="DL134" s="7"/>
      <c r="DM134" s="7">
        <v>4.26</v>
      </c>
      <c r="DN134" s="7">
        <v>131.0</v>
      </c>
      <c r="DO134" s="7" t="str">
        <f t="shared" si="15"/>
        <v>Норма</v>
      </c>
      <c r="DP134" s="9"/>
      <c r="DQ134" s="7">
        <v>265.0</v>
      </c>
      <c r="DR134" s="7">
        <v>0.0</v>
      </c>
      <c r="DS134" s="13">
        <v>476.0</v>
      </c>
      <c r="DT134" s="7">
        <v>31.2</v>
      </c>
      <c r="DU134" s="7">
        <v>11.8</v>
      </c>
      <c r="DV134" s="7">
        <v>1.01</v>
      </c>
      <c r="DW134" s="1" t="s">
        <v>320</v>
      </c>
      <c r="DX134" s="9"/>
      <c r="DY134" s="7">
        <v>24.8</v>
      </c>
      <c r="DZ134" s="7">
        <v>13.4</v>
      </c>
      <c r="EA134" s="7">
        <v>1.14</v>
      </c>
      <c r="EB134" s="7"/>
      <c r="EC134" s="7">
        <v>9.99</v>
      </c>
      <c r="ED134" s="7">
        <v>7.82</v>
      </c>
      <c r="EE134" s="7">
        <v>68.2</v>
      </c>
      <c r="EF134" s="7">
        <v>106.0</v>
      </c>
      <c r="EG134" s="7">
        <v>56.9</v>
      </c>
      <c r="EH134" s="7">
        <v>4.6</v>
      </c>
      <c r="EI134" s="7">
        <v>2.9</v>
      </c>
      <c r="EJ134" s="7">
        <v>79.0</v>
      </c>
      <c r="EK134" s="14">
        <f t="shared" si="16"/>
        <v>69.85371237</v>
      </c>
      <c r="EL134" s="11" t="str">
        <f t="shared" si="17"/>
        <v>C2</v>
      </c>
      <c r="EM134" s="7">
        <v>133.0</v>
      </c>
      <c r="EN134" s="7">
        <v>4.78</v>
      </c>
      <c r="EO134" s="7">
        <v>64.9</v>
      </c>
      <c r="EP134" s="7">
        <v>21.5</v>
      </c>
      <c r="EQ134" s="7">
        <v>68.3</v>
      </c>
      <c r="ER134" s="7">
        <v>8.6</v>
      </c>
      <c r="ES134" s="7">
        <v>2.9</v>
      </c>
      <c r="ET134" s="7">
        <v>86.0</v>
      </c>
      <c r="EU134" s="11">
        <f t="shared" si="18"/>
        <v>63.03939223</v>
      </c>
      <c r="EV134" s="11" t="str">
        <f t="shared" si="19"/>
        <v>C2</v>
      </c>
      <c r="EW134" s="7">
        <v>131.8</v>
      </c>
      <c r="EX134" s="7">
        <v>5.27</v>
      </c>
      <c r="EY134" s="9">
        <f t="shared" si="20"/>
        <v>-0.9423696875</v>
      </c>
      <c r="EZ134" s="9">
        <f t="shared" si="21"/>
        <v>0.7195780746</v>
      </c>
      <c r="FA134" s="9" t="str">
        <f t="shared" si="22"/>
        <v>Неблагоприятный</v>
      </c>
      <c r="FB134" s="1" t="s">
        <v>256</v>
      </c>
      <c r="FC134" s="1" t="s">
        <v>148</v>
      </c>
    </row>
    <row r="135">
      <c r="A135" s="7">
        <v>134.0</v>
      </c>
      <c r="B135" s="21">
        <v>94.0</v>
      </c>
      <c r="C135" s="25">
        <v>8258.0</v>
      </c>
      <c r="D135" s="1" t="s">
        <v>148</v>
      </c>
      <c r="E135" s="7">
        <v>51.0</v>
      </c>
      <c r="F135" s="1" t="s">
        <v>149</v>
      </c>
      <c r="G135" s="7"/>
      <c r="H135" s="7">
        <v>17.0</v>
      </c>
      <c r="I135" s="1" t="s">
        <v>150</v>
      </c>
      <c r="J135" s="1" t="s">
        <v>150</v>
      </c>
      <c r="K135" s="9"/>
      <c r="L135" s="1" t="s">
        <v>150</v>
      </c>
      <c r="M135" s="1" t="s">
        <v>150</v>
      </c>
      <c r="N135" s="9"/>
      <c r="O135" s="1" t="str">
        <f t="shared" si="1"/>
        <v>нет</v>
      </c>
      <c r="P135" s="1" t="s">
        <v>150</v>
      </c>
      <c r="Q135" s="1" t="s">
        <v>150</v>
      </c>
      <c r="R135" s="9"/>
      <c r="S135" s="1" t="s">
        <v>150</v>
      </c>
      <c r="T135" s="9"/>
      <c r="U135" s="9"/>
      <c r="V135" s="9"/>
      <c r="W135" s="9"/>
      <c r="X135" s="9"/>
      <c r="Y135" s="1" t="s">
        <v>150</v>
      </c>
      <c r="Z135" s="9"/>
      <c r="AA135" s="9"/>
      <c r="AB135" s="9"/>
      <c r="AC135" s="9"/>
      <c r="AD135" s="26"/>
      <c r="AE135" s="1" t="s">
        <v>150</v>
      </c>
      <c r="AF135" s="7">
        <v>0.0</v>
      </c>
      <c r="AG135" s="27" t="s">
        <v>162</v>
      </c>
      <c r="AH135" s="27" t="s">
        <v>152</v>
      </c>
      <c r="AI135" s="1" t="s">
        <v>168</v>
      </c>
      <c r="AJ135" s="7">
        <v>3.0</v>
      </c>
      <c r="AK135" s="1" t="s">
        <v>5</v>
      </c>
      <c r="AL135" s="1" t="s">
        <v>150</v>
      </c>
      <c r="AM135" s="9"/>
      <c r="AN135" s="1">
        <v>15.0</v>
      </c>
      <c r="AO135" s="1" t="str">
        <f t="shared" si="2"/>
        <v>нет</v>
      </c>
      <c r="AP135" s="7">
        <v>175.0</v>
      </c>
      <c r="AQ135" s="7">
        <v>82.0</v>
      </c>
      <c r="AR135" s="9">
        <f t="shared" si="3"/>
        <v>26.7755102</v>
      </c>
      <c r="AS135" s="7" t="str">
        <f t="shared" si="4"/>
        <v>Избыточный вес (предожирение)</v>
      </c>
      <c r="AT135" s="7">
        <v>118.0</v>
      </c>
      <c r="AU135" s="7">
        <v>81.0</v>
      </c>
      <c r="AV135" s="3">
        <v>93.0</v>
      </c>
      <c r="AW135" s="7">
        <v>134.0</v>
      </c>
      <c r="AX135" s="7">
        <v>39.6</v>
      </c>
      <c r="AY135" s="7">
        <v>20.0</v>
      </c>
      <c r="AZ135" s="7">
        <v>83.0</v>
      </c>
      <c r="BA135" s="10" t="str">
        <f t="shared" si="5"/>
        <v>да</v>
      </c>
      <c r="BB135" s="7">
        <v>92.0</v>
      </c>
      <c r="BC135" s="11"/>
      <c r="BD135" s="12" t="str">
        <f t="shared" si="6"/>
        <v>#DIV/0!</v>
      </c>
      <c r="BE135" s="12">
        <f t="shared" si="7"/>
        <v>0</v>
      </c>
      <c r="BF135" s="12">
        <f t="shared" si="8"/>
        <v>8</v>
      </c>
      <c r="BG135" s="15" t="s">
        <v>154</v>
      </c>
      <c r="BH135" s="9"/>
      <c r="BI135" s="1" t="s">
        <v>154</v>
      </c>
      <c r="BJ135" s="1" t="s">
        <v>175</v>
      </c>
      <c r="BK135" s="1" t="s">
        <v>150</v>
      </c>
      <c r="BL135" s="9"/>
      <c r="BM135" s="1" t="s">
        <v>154</v>
      </c>
      <c r="BN135" s="1" t="s">
        <v>155</v>
      </c>
      <c r="BO135" s="1" t="s">
        <v>154</v>
      </c>
      <c r="BP135" s="1" t="s">
        <v>157</v>
      </c>
      <c r="BQ135" s="9"/>
      <c r="BR135" s="1" t="s">
        <v>154</v>
      </c>
      <c r="BS135" s="1" t="s">
        <v>170</v>
      </c>
      <c r="BT135" s="28">
        <v>12.0</v>
      </c>
      <c r="BU135" s="1" t="s">
        <v>157</v>
      </c>
      <c r="BV135" s="7">
        <v>16.0</v>
      </c>
      <c r="BW135" s="1" t="s">
        <v>150</v>
      </c>
      <c r="BX135" s="10" t="s">
        <v>154</v>
      </c>
      <c r="BY135" s="1" t="s">
        <v>173</v>
      </c>
      <c r="BZ135" s="29" t="s">
        <v>158</v>
      </c>
      <c r="CA135" s="9"/>
      <c r="CB135" s="1" t="s">
        <v>150</v>
      </c>
      <c r="CC135" s="1" t="s">
        <v>150</v>
      </c>
      <c r="CD135" s="9"/>
      <c r="CE135" s="1" t="s">
        <v>150</v>
      </c>
      <c r="CF135" s="1" t="s">
        <v>240</v>
      </c>
      <c r="CG135" s="1" t="s">
        <v>154</v>
      </c>
      <c r="CH135" s="1" t="s">
        <v>150</v>
      </c>
      <c r="CI135" s="1" t="s">
        <v>150</v>
      </c>
      <c r="CJ135" s="1" t="s">
        <v>150</v>
      </c>
      <c r="CK135" s="1" t="s">
        <v>150</v>
      </c>
      <c r="CL135" s="1" t="s">
        <v>426</v>
      </c>
      <c r="CM135" s="7">
        <v>7.4</v>
      </c>
      <c r="CN135" s="7">
        <v>86.6</v>
      </c>
      <c r="CO135" s="7">
        <f t="shared" si="23"/>
        <v>6.4084</v>
      </c>
      <c r="CP135" s="7">
        <v>9.6</v>
      </c>
      <c r="CQ135" s="7">
        <f t="shared" si="10"/>
        <v>0.6152064</v>
      </c>
      <c r="CR135" s="7">
        <v>3.6</v>
      </c>
      <c r="CS135" s="7">
        <f t="shared" si="11"/>
        <v>0.0221474304</v>
      </c>
      <c r="CT135" s="7">
        <v>0.0</v>
      </c>
      <c r="CU135" s="7">
        <f t="shared" si="12"/>
        <v>0</v>
      </c>
      <c r="CV135" s="7">
        <f t="shared" si="13"/>
        <v>10.41666667</v>
      </c>
      <c r="CW135" s="7">
        <v>10.2</v>
      </c>
      <c r="CX135" s="7">
        <v>152.0</v>
      </c>
      <c r="CY135" s="7" t="str">
        <f t="shared" si="14"/>
        <v>Норма</v>
      </c>
      <c r="CZ135" s="9"/>
      <c r="DA135" s="7">
        <v>218.0</v>
      </c>
      <c r="DB135" s="7">
        <v>137.5</v>
      </c>
      <c r="DC135" s="7">
        <v>10.2</v>
      </c>
      <c r="DD135" s="7">
        <v>85.0</v>
      </c>
      <c r="DE135" s="7"/>
      <c r="DF135" s="7">
        <v>9.1</v>
      </c>
      <c r="DG135" s="7"/>
      <c r="DH135" s="7">
        <v>5.8</v>
      </c>
      <c r="DI135" s="7"/>
      <c r="DJ135" s="7">
        <v>0.0</v>
      </c>
      <c r="DK135" s="7"/>
      <c r="DL135" s="7"/>
      <c r="DM135" s="7">
        <v>4.29</v>
      </c>
      <c r="DN135" s="7">
        <v>136.0</v>
      </c>
      <c r="DO135" s="7" t="str">
        <f t="shared" si="15"/>
        <v>Норма</v>
      </c>
      <c r="DP135" s="9"/>
      <c r="DQ135" s="7">
        <v>317.0</v>
      </c>
      <c r="DR135" s="7">
        <v>6.4</v>
      </c>
      <c r="DS135" s="13">
        <v>690.0</v>
      </c>
      <c r="DT135" s="9"/>
      <c r="DU135" s="7">
        <v>15.3</v>
      </c>
      <c r="DV135" s="7">
        <v>1.3</v>
      </c>
      <c r="DW135" s="1" t="s">
        <v>320</v>
      </c>
      <c r="DX135" s="9"/>
      <c r="DY135" s="9"/>
      <c r="DZ135" s="7">
        <v>12.7</v>
      </c>
      <c r="EA135" s="7">
        <v>1.08</v>
      </c>
      <c r="EB135" s="7"/>
      <c r="EC135" s="7">
        <v>8.04</v>
      </c>
      <c r="ED135" s="7">
        <v>6.48</v>
      </c>
      <c r="EE135" s="7">
        <v>39.3</v>
      </c>
      <c r="EF135" s="7">
        <v>65.77</v>
      </c>
      <c r="EG135" s="7">
        <v>53.5</v>
      </c>
      <c r="EH135" s="7">
        <v>9.78</v>
      </c>
      <c r="EI135" s="7">
        <v>2.52</v>
      </c>
      <c r="EJ135" s="7">
        <v>103.91</v>
      </c>
      <c r="EK135" s="14">
        <f t="shared" si="16"/>
        <v>53.8008863</v>
      </c>
      <c r="EL135" s="11" t="str">
        <f t="shared" si="17"/>
        <v>C3a</v>
      </c>
      <c r="EM135" s="7">
        <v>134.1</v>
      </c>
      <c r="EN135" s="7">
        <v>5.25</v>
      </c>
      <c r="EO135" s="7">
        <v>92.68</v>
      </c>
      <c r="EP135" s="7">
        <v>77.25</v>
      </c>
      <c r="EQ135" s="7">
        <v>48.3</v>
      </c>
      <c r="ER135" s="7">
        <v>12.18</v>
      </c>
      <c r="ES135" s="7">
        <v>2.52</v>
      </c>
      <c r="ET135" s="7">
        <v>91.59</v>
      </c>
      <c r="EU135" s="11">
        <f t="shared" si="18"/>
        <v>62.66915756</v>
      </c>
      <c r="EV135" s="11" t="str">
        <f t="shared" si="19"/>
        <v>C2</v>
      </c>
      <c r="EW135" s="7">
        <v>128.5</v>
      </c>
      <c r="EX135" s="7">
        <v>4.2</v>
      </c>
      <c r="EY135" s="9">
        <f t="shared" si="20"/>
        <v>-0.372353449</v>
      </c>
      <c r="EZ135" s="9">
        <f t="shared" si="21"/>
        <v>0.592027532</v>
      </c>
      <c r="FA135" s="9" t="str">
        <f t="shared" si="22"/>
        <v>Неблагоприятный</v>
      </c>
      <c r="FB135" s="1" t="s">
        <v>256</v>
      </c>
      <c r="FC135" s="1" t="s">
        <v>148</v>
      </c>
    </row>
    <row r="136">
      <c r="A136" s="7">
        <v>135.0</v>
      </c>
      <c r="B136" s="21">
        <v>95.0</v>
      </c>
      <c r="C136" s="32">
        <v>9485.0</v>
      </c>
      <c r="D136" s="1" t="s">
        <v>148</v>
      </c>
      <c r="E136" s="1">
        <v>40.0</v>
      </c>
      <c r="F136" s="1" t="s">
        <v>161</v>
      </c>
      <c r="G136" s="7" t="s">
        <v>427</v>
      </c>
      <c r="H136" s="7">
        <v>16.0</v>
      </c>
      <c r="I136" s="1" t="s">
        <v>150</v>
      </c>
      <c r="J136" s="1" t="s">
        <v>150</v>
      </c>
      <c r="K136" s="9"/>
      <c r="L136" s="1" t="s">
        <v>150</v>
      </c>
      <c r="M136" s="1" t="s">
        <v>150</v>
      </c>
      <c r="N136" s="9"/>
      <c r="O136" s="1" t="str">
        <f t="shared" si="1"/>
        <v>нет</v>
      </c>
      <c r="P136" s="1" t="s">
        <v>150</v>
      </c>
      <c r="Q136" s="1" t="s">
        <v>150</v>
      </c>
      <c r="R136" s="9"/>
      <c r="S136" s="1" t="s">
        <v>150</v>
      </c>
      <c r="T136" s="9"/>
      <c r="U136" s="9"/>
      <c r="V136" s="9"/>
      <c r="W136" s="9"/>
      <c r="X136" s="9"/>
      <c r="Y136" s="1" t="s">
        <v>154</v>
      </c>
      <c r="Z136" s="7">
        <v>1.0</v>
      </c>
      <c r="AA136" s="9"/>
      <c r="AB136" s="9"/>
      <c r="AC136" s="9"/>
      <c r="AD136" s="26"/>
      <c r="AE136" s="1" t="s">
        <v>154</v>
      </c>
      <c r="AF136" s="7">
        <v>5.0</v>
      </c>
      <c r="AG136" s="27" t="s">
        <v>162</v>
      </c>
      <c r="AH136" s="27" t="s">
        <v>152</v>
      </c>
      <c r="AI136" s="1" t="s">
        <v>168</v>
      </c>
      <c r="AJ136" s="7">
        <v>2.0</v>
      </c>
      <c r="AK136" s="1" t="s">
        <v>5</v>
      </c>
      <c r="AL136" s="1" t="s">
        <v>150</v>
      </c>
      <c r="AM136" s="9"/>
      <c r="AN136" s="1">
        <v>15.0</v>
      </c>
      <c r="AO136" s="1" t="str">
        <f t="shared" si="2"/>
        <v>нет</v>
      </c>
      <c r="AP136" s="9"/>
      <c r="AQ136" s="9"/>
      <c r="AR136" s="9" t="str">
        <f t="shared" si="3"/>
        <v>#DIV/0!</v>
      </c>
      <c r="AS136" s="7" t="str">
        <f t="shared" si="4"/>
        <v>#DIV/0!</v>
      </c>
      <c r="AT136" s="7">
        <v>120.0</v>
      </c>
      <c r="AU136" s="7">
        <v>70.0</v>
      </c>
      <c r="AV136" s="3">
        <v>87.0</v>
      </c>
      <c r="AW136" s="7">
        <v>110.0</v>
      </c>
      <c r="AX136" s="7">
        <v>38.0</v>
      </c>
      <c r="AY136" s="7">
        <v>26.0</v>
      </c>
      <c r="AZ136" s="7">
        <v>98.0</v>
      </c>
      <c r="BA136" s="10" t="str">
        <f t="shared" si="5"/>
        <v>нет</v>
      </c>
      <c r="BB136" s="7">
        <v>100.0</v>
      </c>
      <c r="BC136" s="11"/>
      <c r="BD136" s="12" t="str">
        <f t="shared" si="6"/>
        <v>#DIV/0!</v>
      </c>
      <c r="BE136" s="12">
        <f t="shared" si="7"/>
        <v>1</v>
      </c>
      <c r="BF136" s="12">
        <f t="shared" si="8"/>
        <v>4</v>
      </c>
      <c r="BG136" s="15" t="s">
        <v>154</v>
      </c>
      <c r="BH136" s="15" t="s">
        <v>366</v>
      </c>
      <c r="BI136" s="15" t="s">
        <v>154</v>
      </c>
      <c r="BJ136" s="15" t="s">
        <v>163</v>
      </c>
      <c r="BK136" s="15" t="s">
        <v>150</v>
      </c>
      <c r="BL136" s="9"/>
      <c r="BM136" s="15" t="s">
        <v>154</v>
      </c>
      <c r="BN136" s="15" t="s">
        <v>155</v>
      </c>
      <c r="BO136" s="15" t="s">
        <v>150</v>
      </c>
      <c r="BP136" s="9"/>
      <c r="BQ136" s="9"/>
      <c r="BR136" s="15" t="s">
        <v>154</v>
      </c>
      <c r="BS136" s="15" t="s">
        <v>207</v>
      </c>
      <c r="BT136" s="28">
        <v>12.0</v>
      </c>
      <c r="BU136" s="1" t="s">
        <v>157</v>
      </c>
      <c r="BV136" s="7">
        <v>16.0</v>
      </c>
      <c r="BW136" s="15" t="s">
        <v>150</v>
      </c>
      <c r="BX136" s="10" t="s">
        <v>154</v>
      </c>
      <c r="BY136" s="1" t="s">
        <v>258</v>
      </c>
      <c r="BZ136" s="29" t="s">
        <v>158</v>
      </c>
      <c r="CA136" s="9"/>
      <c r="CB136" s="1" t="s">
        <v>150</v>
      </c>
      <c r="CC136" s="1" t="s">
        <v>150</v>
      </c>
      <c r="CD136" s="9"/>
      <c r="CE136" s="1" t="s">
        <v>150</v>
      </c>
      <c r="CF136" s="1" t="s">
        <v>150</v>
      </c>
      <c r="CG136" s="1" t="s">
        <v>150</v>
      </c>
      <c r="CH136" s="1" t="s">
        <v>150</v>
      </c>
      <c r="CI136" s="1" t="s">
        <v>150</v>
      </c>
      <c r="CJ136" s="1" t="s">
        <v>154</v>
      </c>
      <c r="CK136" s="1" t="s">
        <v>150</v>
      </c>
      <c r="CL136" s="1" t="s">
        <v>428</v>
      </c>
      <c r="CM136" s="1"/>
      <c r="CN136" s="1"/>
      <c r="CO136" s="7">
        <f t="shared" si="23"/>
        <v>0</v>
      </c>
      <c r="CP136" s="1"/>
      <c r="CQ136" s="7">
        <f t="shared" si="10"/>
        <v>0</v>
      </c>
      <c r="CR136" s="1"/>
      <c r="CS136" s="7">
        <f t="shared" si="11"/>
        <v>0</v>
      </c>
      <c r="CT136" s="1"/>
      <c r="CU136" s="7">
        <f t="shared" si="12"/>
        <v>0</v>
      </c>
      <c r="CV136" s="7" t="str">
        <f t="shared" si="13"/>
        <v>#DIV/0!</v>
      </c>
      <c r="CW136" s="1"/>
      <c r="CX136" s="1"/>
      <c r="CY136" s="7" t="str">
        <f t="shared" si="14"/>
        <v>Тяжелая степень</v>
      </c>
      <c r="CZ136" s="9"/>
      <c r="DA136" s="9"/>
      <c r="DB136" s="9"/>
      <c r="DC136" s="7">
        <v>13.3</v>
      </c>
      <c r="DD136" s="7"/>
      <c r="DE136" s="7"/>
      <c r="DF136" s="7"/>
      <c r="DG136" s="7"/>
      <c r="DH136" s="7"/>
      <c r="DI136" s="7"/>
      <c r="DJ136" s="7"/>
      <c r="DK136" s="7"/>
      <c r="DL136" s="7"/>
      <c r="DM136" s="7">
        <v>3.77</v>
      </c>
      <c r="DN136" s="7">
        <v>107.0</v>
      </c>
      <c r="DO136" s="7" t="str">
        <f t="shared" si="15"/>
        <v>Средняя степень</v>
      </c>
      <c r="DP136" s="9"/>
      <c r="DQ136" s="7">
        <v>394.0</v>
      </c>
      <c r="DR136" s="7">
        <v>13.2</v>
      </c>
      <c r="DS136" s="13">
        <v>113.0</v>
      </c>
      <c r="DT136" s="9"/>
      <c r="DU136" s="9"/>
      <c r="DV136" s="9"/>
      <c r="DW136" s="1" t="s">
        <v>320</v>
      </c>
      <c r="DX136" s="9"/>
      <c r="DY136" s="7">
        <v>28.0</v>
      </c>
      <c r="DZ136" s="7">
        <v>11.7</v>
      </c>
      <c r="EA136" s="7">
        <v>1.0</v>
      </c>
      <c r="EB136" s="9"/>
      <c r="EC136" s="9"/>
      <c r="ED136" s="7">
        <v>4.32</v>
      </c>
      <c r="EE136" s="9"/>
      <c r="EF136" s="9"/>
      <c r="EG136" s="9"/>
      <c r="EH136" s="9"/>
      <c r="EI136" s="9"/>
      <c r="EJ136" s="9"/>
      <c r="EK136" s="14" t="str">
        <f t="shared" si="16"/>
        <v>#NUM!</v>
      </c>
      <c r="EL136" s="11" t="str">
        <f t="shared" si="17"/>
        <v>#NUM!</v>
      </c>
      <c r="EM136" s="9"/>
      <c r="EN136" s="9"/>
      <c r="EO136" s="7">
        <v>49.1</v>
      </c>
      <c r="EP136" s="7">
        <v>14.9</v>
      </c>
      <c r="EQ136" s="7">
        <v>59.6</v>
      </c>
      <c r="ER136" s="7">
        <v>8.6</v>
      </c>
      <c r="ES136" s="7">
        <v>3.8</v>
      </c>
      <c r="ET136" s="7">
        <v>57.0</v>
      </c>
      <c r="EU136" s="11">
        <f t="shared" si="18"/>
        <v>111.7161159</v>
      </c>
      <c r="EV136" s="11" t="str">
        <f t="shared" si="19"/>
        <v>C1</v>
      </c>
      <c r="EW136" s="7">
        <v>136.1</v>
      </c>
      <c r="EX136" s="7">
        <v>3.61</v>
      </c>
      <c r="EY136" s="9" t="str">
        <f t="shared" si="20"/>
        <v>#DIV/0!</v>
      </c>
      <c r="EZ136" s="9" t="str">
        <f t="shared" si="21"/>
        <v>#DIV/0!</v>
      </c>
      <c r="FA136" s="9" t="str">
        <f t="shared" si="22"/>
        <v>#DIV/0!</v>
      </c>
      <c r="FB136" s="9"/>
      <c r="FC136" s="1" t="s">
        <v>148</v>
      </c>
    </row>
    <row r="137">
      <c r="A137" s="7">
        <v>136.0</v>
      </c>
      <c r="B137" s="21">
        <v>96.0</v>
      </c>
      <c r="C137" s="25">
        <v>9175.0</v>
      </c>
      <c r="D137" s="1" t="s">
        <v>148</v>
      </c>
      <c r="E137" s="7">
        <v>37.0</v>
      </c>
      <c r="F137" s="1" t="s">
        <v>161</v>
      </c>
      <c r="G137" s="7"/>
      <c r="H137" s="7">
        <v>32.0</v>
      </c>
      <c r="I137" s="1" t="s">
        <v>150</v>
      </c>
      <c r="J137" s="1" t="s">
        <v>150</v>
      </c>
      <c r="K137" s="9"/>
      <c r="L137" s="1" t="s">
        <v>150</v>
      </c>
      <c r="M137" s="1" t="s">
        <v>150</v>
      </c>
      <c r="N137" s="9"/>
      <c r="O137" s="1" t="str">
        <f t="shared" si="1"/>
        <v>нет</v>
      </c>
      <c r="P137" s="1" t="s">
        <v>150</v>
      </c>
      <c r="Q137" s="1" t="s">
        <v>150</v>
      </c>
      <c r="R137" s="9"/>
      <c r="S137" s="1" t="s">
        <v>150</v>
      </c>
      <c r="T137" s="9"/>
      <c r="U137" s="9"/>
      <c r="V137" s="9"/>
      <c r="W137" s="9"/>
      <c r="X137" s="9"/>
      <c r="Y137" s="1" t="s">
        <v>150</v>
      </c>
      <c r="Z137" s="9"/>
      <c r="AA137" s="9"/>
      <c r="AB137" s="9"/>
      <c r="AC137" s="9"/>
      <c r="AD137" s="26" t="s">
        <v>429</v>
      </c>
      <c r="AE137" s="1" t="s">
        <v>150</v>
      </c>
      <c r="AF137" s="7">
        <v>0.0</v>
      </c>
      <c r="AG137" s="27" t="s">
        <v>162</v>
      </c>
      <c r="AH137" s="27" t="s">
        <v>152</v>
      </c>
      <c r="AI137" s="1" t="s">
        <v>168</v>
      </c>
      <c r="AJ137" s="7">
        <v>2.0</v>
      </c>
      <c r="AK137" s="1" t="s">
        <v>5</v>
      </c>
      <c r="AL137" s="1" t="s">
        <v>150</v>
      </c>
      <c r="AM137" s="9"/>
      <c r="AN137" s="1">
        <v>15.0</v>
      </c>
      <c r="AO137" s="1" t="str">
        <f t="shared" si="2"/>
        <v>нет</v>
      </c>
      <c r="AP137" s="7">
        <v>165.0</v>
      </c>
      <c r="AQ137" s="7">
        <v>100.0</v>
      </c>
      <c r="AR137" s="9">
        <f t="shared" si="3"/>
        <v>36.73094582</v>
      </c>
      <c r="AS137" s="7" t="str">
        <f t="shared" si="4"/>
        <v>Ожирение II степени</v>
      </c>
      <c r="AT137" s="7">
        <v>115.0</v>
      </c>
      <c r="AU137" s="7">
        <v>80.0</v>
      </c>
      <c r="AV137" s="3">
        <v>92.0</v>
      </c>
      <c r="AW137" s="7">
        <v>96.0</v>
      </c>
      <c r="AX137" s="7">
        <v>37.8</v>
      </c>
      <c r="AY137" s="7">
        <v>22.0</v>
      </c>
      <c r="AZ137" s="7">
        <v>86.0</v>
      </c>
      <c r="BA137" s="10" t="str">
        <f t="shared" si="5"/>
        <v>да</v>
      </c>
      <c r="BB137" s="7">
        <v>92.0</v>
      </c>
      <c r="BC137" s="11"/>
      <c r="BD137" s="12" t="str">
        <f t="shared" si="6"/>
        <v>#DIV/0!</v>
      </c>
      <c r="BE137" s="12">
        <f t="shared" si="7"/>
        <v>1</v>
      </c>
      <c r="BF137" s="12">
        <f t="shared" si="8"/>
        <v>6</v>
      </c>
      <c r="BG137" s="15" t="s">
        <v>154</v>
      </c>
      <c r="BH137" s="15" t="s">
        <v>198</v>
      </c>
      <c r="BI137" s="1" t="s">
        <v>154</v>
      </c>
      <c r="BJ137" s="1" t="s">
        <v>430</v>
      </c>
      <c r="BK137" s="1" t="s">
        <v>154</v>
      </c>
      <c r="BL137" s="1" t="s">
        <v>424</v>
      </c>
      <c r="BM137" s="1" t="s">
        <v>154</v>
      </c>
      <c r="BN137" s="1" t="s">
        <v>155</v>
      </c>
      <c r="BO137" s="1" t="s">
        <v>154</v>
      </c>
      <c r="BP137" s="1" t="s">
        <v>157</v>
      </c>
      <c r="BQ137" s="9"/>
      <c r="BR137" s="1" t="s">
        <v>154</v>
      </c>
      <c r="BS137" s="1" t="s">
        <v>170</v>
      </c>
      <c r="BT137" s="28">
        <v>12.0</v>
      </c>
      <c r="BU137" s="1" t="s">
        <v>157</v>
      </c>
      <c r="BV137" s="7">
        <v>16.0</v>
      </c>
      <c r="BW137" s="1" t="s">
        <v>150</v>
      </c>
      <c r="BX137" s="10" t="s">
        <v>154</v>
      </c>
      <c r="BY137" s="1" t="s">
        <v>245</v>
      </c>
      <c r="BZ137" s="29" t="s">
        <v>158</v>
      </c>
      <c r="CA137" s="9"/>
      <c r="CB137" s="1" t="s">
        <v>150</v>
      </c>
      <c r="CC137" s="1" t="s">
        <v>150</v>
      </c>
      <c r="CD137" s="9"/>
      <c r="CE137" s="1" t="s">
        <v>150</v>
      </c>
      <c r="CF137" s="1" t="s">
        <v>150</v>
      </c>
      <c r="CG137" s="1" t="s">
        <v>150</v>
      </c>
      <c r="CH137" s="1" t="s">
        <v>150</v>
      </c>
      <c r="CI137" s="1" t="s">
        <v>150</v>
      </c>
      <c r="CJ137" s="1" t="s">
        <v>150</v>
      </c>
      <c r="CK137" s="1" t="s">
        <v>150</v>
      </c>
      <c r="CL137" s="1" t="s">
        <v>431</v>
      </c>
      <c r="CM137" s="7">
        <v>6.5</v>
      </c>
      <c r="CN137" s="7">
        <v>89.2</v>
      </c>
      <c r="CO137" s="7">
        <f t="shared" si="23"/>
        <v>5.798</v>
      </c>
      <c r="CP137" s="7">
        <v>7.8</v>
      </c>
      <c r="CQ137" s="7">
        <f t="shared" si="10"/>
        <v>0.452244</v>
      </c>
      <c r="CR137" s="7">
        <v>2.8</v>
      </c>
      <c r="CS137" s="7">
        <f t="shared" si="11"/>
        <v>0.012662832</v>
      </c>
      <c r="CT137" s="7">
        <v>0.0</v>
      </c>
      <c r="CU137" s="7">
        <f t="shared" si="12"/>
        <v>0</v>
      </c>
      <c r="CV137" s="7">
        <f t="shared" si="13"/>
        <v>12.82051282</v>
      </c>
      <c r="CW137" s="7">
        <v>4.8</v>
      </c>
      <c r="CX137" s="7">
        <v>117.0</v>
      </c>
      <c r="CY137" s="7" t="str">
        <f t="shared" si="14"/>
        <v>Легкая степень</v>
      </c>
      <c r="CZ137" s="9"/>
      <c r="DA137" s="7">
        <v>240.0</v>
      </c>
      <c r="DB137" s="7">
        <v>198.0</v>
      </c>
      <c r="DC137" s="7">
        <v>6.9</v>
      </c>
      <c r="DD137" s="7">
        <v>60.5</v>
      </c>
      <c r="DE137" s="7"/>
      <c r="DF137" s="7">
        <v>25.3</v>
      </c>
      <c r="DG137" s="7"/>
      <c r="DH137" s="7">
        <v>9.1</v>
      </c>
      <c r="DI137" s="7"/>
      <c r="DJ137" s="7">
        <v>4.3</v>
      </c>
      <c r="DK137" s="7"/>
      <c r="DL137" s="7"/>
      <c r="DM137" s="7">
        <v>4.81</v>
      </c>
      <c r="DN137" s="7">
        <v>130.0</v>
      </c>
      <c r="DO137" s="7" t="str">
        <f t="shared" si="15"/>
        <v>Норма</v>
      </c>
      <c r="DP137" s="9"/>
      <c r="DQ137" s="7">
        <v>216.0</v>
      </c>
      <c r="DR137" s="7">
        <v>34.6</v>
      </c>
      <c r="DS137" s="13">
        <v>552.0</v>
      </c>
      <c r="DT137" s="9"/>
      <c r="DU137" s="7">
        <v>14.0</v>
      </c>
      <c r="DV137" s="7">
        <v>1.19</v>
      </c>
      <c r="DW137" s="1" t="s">
        <v>320</v>
      </c>
      <c r="DX137" s="9"/>
      <c r="DY137" s="9"/>
      <c r="DZ137" s="7">
        <v>11.9</v>
      </c>
      <c r="EA137" s="7">
        <v>1.1</v>
      </c>
      <c r="EB137" s="7"/>
      <c r="EC137" s="7">
        <v>10.14</v>
      </c>
      <c r="ED137" s="7">
        <v>6.76</v>
      </c>
      <c r="EE137" s="7">
        <v>18.4</v>
      </c>
      <c r="EF137" s="7">
        <v>25.95</v>
      </c>
      <c r="EG137" s="7">
        <v>66.7</v>
      </c>
      <c r="EH137" s="7">
        <v>6.03</v>
      </c>
      <c r="EI137" s="7">
        <v>1.45</v>
      </c>
      <c r="EJ137" s="7">
        <v>63.75</v>
      </c>
      <c r="EK137" s="14">
        <f t="shared" si="16"/>
        <v>107.1573913</v>
      </c>
      <c r="EL137" s="11" t="str">
        <f t="shared" si="17"/>
        <v>C1</v>
      </c>
      <c r="EM137" s="7">
        <v>130.8</v>
      </c>
      <c r="EN137" s="7">
        <v>3.82</v>
      </c>
      <c r="EO137" s="7">
        <v>34.0</v>
      </c>
      <c r="EP137" s="7">
        <v>18.2</v>
      </c>
      <c r="EQ137" s="7">
        <v>58.2</v>
      </c>
      <c r="ER137" s="7">
        <v>7.5</v>
      </c>
      <c r="ES137" s="7">
        <v>3.2</v>
      </c>
      <c r="ET137" s="7">
        <v>49.0</v>
      </c>
      <c r="EU137" s="11">
        <f t="shared" si="18"/>
        <v>119.9157974</v>
      </c>
      <c r="EV137" s="11" t="str">
        <f t="shared" si="19"/>
        <v>C1</v>
      </c>
      <c r="EW137" s="7">
        <v>135.0</v>
      </c>
      <c r="EX137" s="7">
        <v>4.0</v>
      </c>
      <c r="EY137" s="9">
        <f t="shared" si="20"/>
        <v>1.015488866</v>
      </c>
      <c r="EZ137" s="9">
        <f t="shared" si="21"/>
        <v>0.2659070457</v>
      </c>
      <c r="FA137" s="9" t="str">
        <f t="shared" si="22"/>
        <v>Благоприятный</v>
      </c>
      <c r="FB137" s="1" t="s">
        <v>150</v>
      </c>
      <c r="FC137" s="1" t="s">
        <v>148</v>
      </c>
    </row>
    <row r="138">
      <c r="A138" s="7">
        <v>137.0</v>
      </c>
      <c r="B138" s="21">
        <v>97.0</v>
      </c>
      <c r="C138" s="25">
        <v>9433.0</v>
      </c>
      <c r="D138" s="1" t="s">
        <v>148</v>
      </c>
      <c r="E138" s="7">
        <v>56.0</v>
      </c>
      <c r="F138" s="1" t="s">
        <v>161</v>
      </c>
      <c r="G138" s="7"/>
      <c r="H138" s="7">
        <v>43.0</v>
      </c>
      <c r="I138" s="1" t="s">
        <v>150</v>
      </c>
      <c r="J138" s="1" t="s">
        <v>150</v>
      </c>
      <c r="K138" s="9"/>
      <c r="L138" s="1" t="s">
        <v>150</v>
      </c>
      <c r="M138" s="1" t="s">
        <v>150</v>
      </c>
      <c r="N138" s="9"/>
      <c r="O138" s="1" t="str">
        <f t="shared" si="1"/>
        <v>нет</v>
      </c>
      <c r="P138" s="1" t="s">
        <v>150</v>
      </c>
      <c r="Q138" s="1" t="s">
        <v>150</v>
      </c>
      <c r="R138" s="9"/>
      <c r="S138" s="1" t="s">
        <v>150</v>
      </c>
      <c r="T138" s="9"/>
      <c r="U138" s="9"/>
      <c r="V138" s="9"/>
      <c r="W138" s="9"/>
      <c r="X138" s="9"/>
      <c r="Y138" s="1" t="s">
        <v>150</v>
      </c>
      <c r="Z138" s="9"/>
      <c r="AA138" s="9"/>
      <c r="AB138" s="9"/>
      <c r="AC138" s="9"/>
      <c r="AD138" s="26"/>
      <c r="AE138" s="1" t="s">
        <v>150</v>
      </c>
      <c r="AF138" s="7">
        <v>0.0</v>
      </c>
      <c r="AG138" s="27" t="s">
        <v>162</v>
      </c>
      <c r="AH138" s="27" t="s">
        <v>152</v>
      </c>
      <c r="AI138" s="1" t="s">
        <v>168</v>
      </c>
      <c r="AJ138" s="7">
        <v>4.0</v>
      </c>
      <c r="AK138" s="1" t="s">
        <v>5</v>
      </c>
      <c r="AL138" s="1" t="s">
        <v>150</v>
      </c>
      <c r="AM138" s="9"/>
      <c r="AN138" s="1">
        <v>15.0</v>
      </c>
      <c r="AO138" s="1" t="str">
        <f t="shared" si="2"/>
        <v>нет</v>
      </c>
      <c r="AP138" s="7">
        <v>165.0</v>
      </c>
      <c r="AQ138" s="7">
        <v>65.0</v>
      </c>
      <c r="AR138" s="9">
        <f t="shared" si="3"/>
        <v>23.87511478</v>
      </c>
      <c r="AS138" s="7" t="str">
        <f t="shared" si="4"/>
        <v>Нормальный вес</v>
      </c>
      <c r="AT138" s="7">
        <v>135.0</v>
      </c>
      <c r="AU138" s="7">
        <v>75.0</v>
      </c>
      <c r="AV138" s="3">
        <v>95.0</v>
      </c>
      <c r="AW138" s="7">
        <v>100.0</v>
      </c>
      <c r="AX138" s="7">
        <v>37.8</v>
      </c>
      <c r="AY138" s="7">
        <v>19.0</v>
      </c>
      <c r="AZ138" s="7">
        <v>90.0</v>
      </c>
      <c r="BA138" s="10" t="str">
        <f t="shared" si="5"/>
        <v>да</v>
      </c>
      <c r="BB138" s="7">
        <v>96.0</v>
      </c>
      <c r="BC138" s="11"/>
      <c r="BD138" s="12" t="str">
        <f t="shared" si="6"/>
        <v>#DIV/0!</v>
      </c>
      <c r="BE138" s="12">
        <f t="shared" si="7"/>
        <v>0</v>
      </c>
      <c r="BF138" s="12">
        <f t="shared" si="8"/>
        <v>4</v>
      </c>
      <c r="BG138" s="15" t="s">
        <v>150</v>
      </c>
      <c r="BH138" s="9"/>
      <c r="BI138" s="15" t="s">
        <v>154</v>
      </c>
      <c r="BJ138" s="15" t="s">
        <v>362</v>
      </c>
      <c r="BK138" s="15" t="s">
        <v>150</v>
      </c>
      <c r="BL138" s="9"/>
      <c r="BM138" s="15" t="s">
        <v>154</v>
      </c>
      <c r="BN138" s="15" t="s">
        <v>155</v>
      </c>
      <c r="BO138" s="15" t="s">
        <v>150</v>
      </c>
      <c r="BP138" s="9"/>
      <c r="BQ138" s="9"/>
      <c r="BR138" s="15" t="s">
        <v>154</v>
      </c>
      <c r="BS138" s="15" t="s">
        <v>306</v>
      </c>
      <c r="BT138" s="28">
        <v>12.0</v>
      </c>
      <c r="BU138" s="1" t="s">
        <v>157</v>
      </c>
      <c r="BV138" s="7">
        <v>16.0</v>
      </c>
      <c r="BW138" s="15" t="s">
        <v>150</v>
      </c>
      <c r="BX138" s="10" t="s">
        <v>154</v>
      </c>
      <c r="BY138" s="1" t="s">
        <v>275</v>
      </c>
      <c r="BZ138" s="29" t="s">
        <v>158</v>
      </c>
      <c r="CA138" s="9"/>
      <c r="CB138" s="1" t="s">
        <v>150</v>
      </c>
      <c r="CC138" s="1" t="s">
        <v>150</v>
      </c>
      <c r="CD138" s="9"/>
      <c r="CE138" s="1" t="s">
        <v>150</v>
      </c>
      <c r="CF138" s="1" t="s">
        <v>150</v>
      </c>
      <c r="CG138" s="1" t="s">
        <v>150</v>
      </c>
      <c r="CH138" s="1" t="s">
        <v>150</v>
      </c>
      <c r="CI138" s="1" t="s">
        <v>150</v>
      </c>
      <c r="CJ138" s="1" t="s">
        <v>150</v>
      </c>
      <c r="CK138" s="1" t="s">
        <v>150</v>
      </c>
      <c r="CL138" s="1" t="s">
        <v>432</v>
      </c>
      <c r="CM138" s="7">
        <v>3.19</v>
      </c>
      <c r="CN138" s="7">
        <v>57.1</v>
      </c>
      <c r="CO138" s="7">
        <f t="shared" si="23"/>
        <v>1.82149</v>
      </c>
      <c r="CP138" s="7">
        <v>33.2</v>
      </c>
      <c r="CQ138" s="7">
        <f t="shared" si="10"/>
        <v>0.60473468</v>
      </c>
      <c r="CR138" s="7">
        <v>9.7</v>
      </c>
      <c r="CS138" s="7">
        <f t="shared" si="11"/>
        <v>0.05865926396</v>
      </c>
      <c r="CT138" s="7">
        <v>0.0</v>
      </c>
      <c r="CU138" s="7">
        <f t="shared" si="12"/>
        <v>0</v>
      </c>
      <c r="CV138" s="7">
        <f t="shared" si="13"/>
        <v>3.012048193</v>
      </c>
      <c r="CW138" s="7">
        <v>5.15</v>
      </c>
      <c r="CX138" s="7">
        <v>151.0</v>
      </c>
      <c r="CY138" s="7" t="str">
        <f t="shared" si="14"/>
        <v>Норма</v>
      </c>
      <c r="CZ138" s="9"/>
      <c r="DA138" s="7">
        <v>161.0</v>
      </c>
      <c r="DB138" s="7">
        <v>9.5</v>
      </c>
      <c r="DC138" s="7">
        <v>10.3</v>
      </c>
      <c r="DD138" s="7">
        <v>85.0</v>
      </c>
      <c r="DE138" s="7"/>
      <c r="DF138" s="7">
        <v>11.4</v>
      </c>
      <c r="DG138" s="7"/>
      <c r="DH138" s="7">
        <v>2.5</v>
      </c>
      <c r="DI138" s="7"/>
      <c r="DJ138" s="7">
        <v>0.6</v>
      </c>
      <c r="DK138" s="7"/>
      <c r="DL138" s="7"/>
      <c r="DM138" s="7">
        <v>5.23</v>
      </c>
      <c r="DN138" s="7">
        <v>153.0</v>
      </c>
      <c r="DO138" s="7" t="str">
        <f t="shared" si="15"/>
        <v>Норма</v>
      </c>
      <c r="DP138" s="9"/>
      <c r="DQ138" s="7">
        <v>136.0</v>
      </c>
      <c r="DR138" s="7">
        <v>5.6</v>
      </c>
      <c r="DS138" s="13">
        <v>498.7</v>
      </c>
      <c r="DT138" s="7">
        <v>34.4</v>
      </c>
      <c r="DU138" s="7">
        <v>11.3</v>
      </c>
      <c r="DV138" s="7">
        <v>1.14</v>
      </c>
      <c r="DW138" s="1" t="s">
        <v>320</v>
      </c>
      <c r="DX138" s="9"/>
      <c r="DY138" s="7">
        <v>36.8</v>
      </c>
      <c r="DZ138" s="7">
        <v>10.4</v>
      </c>
      <c r="EA138" s="7">
        <v>0.89</v>
      </c>
      <c r="EB138" s="7"/>
      <c r="EC138" s="7">
        <v>5.92</v>
      </c>
      <c r="ED138" s="7">
        <v>5.89</v>
      </c>
      <c r="EE138" s="7">
        <v>163.79</v>
      </c>
      <c r="EF138" s="7">
        <v>72.04</v>
      </c>
      <c r="EG138" s="7">
        <v>68.4</v>
      </c>
      <c r="EH138" s="7">
        <v>10.43</v>
      </c>
      <c r="EI138" s="7">
        <v>2.34</v>
      </c>
      <c r="EJ138" s="7">
        <v>92.06</v>
      </c>
      <c r="EK138" s="14">
        <f t="shared" si="16"/>
        <v>60.13296234</v>
      </c>
      <c r="EL138" s="11" t="str">
        <f t="shared" si="17"/>
        <v>C2</v>
      </c>
      <c r="EM138" s="7">
        <v>141.4</v>
      </c>
      <c r="EN138" s="7">
        <v>4.52</v>
      </c>
      <c r="EO138" s="7">
        <v>165.0</v>
      </c>
      <c r="EP138" s="7">
        <v>20.0</v>
      </c>
      <c r="EQ138" s="7">
        <v>54.7</v>
      </c>
      <c r="ER138" s="7">
        <v>10.7</v>
      </c>
      <c r="ES138" s="7">
        <v>3.6</v>
      </c>
      <c r="ET138" s="7">
        <v>81.0</v>
      </c>
      <c r="EU138" s="11">
        <f t="shared" si="18"/>
        <v>70.19658986</v>
      </c>
      <c r="EV138" s="11" t="str">
        <f t="shared" si="19"/>
        <v>C2</v>
      </c>
      <c r="EW138" s="7">
        <v>136.2</v>
      </c>
      <c r="EX138" s="7">
        <v>3.79</v>
      </c>
      <c r="EY138" s="9">
        <f t="shared" si="20"/>
        <v>3.932408013</v>
      </c>
      <c r="EZ138" s="9">
        <f t="shared" si="21"/>
        <v>0.01921978807</v>
      </c>
      <c r="FA138" s="9" t="str">
        <f t="shared" si="22"/>
        <v>Благоприятный</v>
      </c>
      <c r="FB138" s="1" t="s">
        <v>150</v>
      </c>
      <c r="FC138" s="1" t="s">
        <v>148</v>
      </c>
    </row>
    <row r="139">
      <c r="A139" s="7">
        <v>138.0</v>
      </c>
      <c r="B139" s="21">
        <v>98.0</v>
      </c>
      <c r="C139" s="25">
        <v>4451.0</v>
      </c>
      <c r="D139" s="1" t="s">
        <v>148</v>
      </c>
      <c r="E139" s="7">
        <v>63.0</v>
      </c>
      <c r="F139" s="1" t="s">
        <v>161</v>
      </c>
      <c r="G139" s="7"/>
      <c r="H139" s="7">
        <v>17.0</v>
      </c>
      <c r="I139" s="1" t="s">
        <v>150</v>
      </c>
      <c r="J139" s="1" t="s">
        <v>150</v>
      </c>
      <c r="K139" s="9"/>
      <c r="L139" s="1" t="s">
        <v>150</v>
      </c>
      <c r="M139" s="1" t="s">
        <v>154</v>
      </c>
      <c r="N139" s="1" t="s">
        <v>192</v>
      </c>
      <c r="O139" s="1" t="str">
        <f t="shared" si="1"/>
        <v>да</v>
      </c>
      <c r="P139" s="1" t="s">
        <v>150</v>
      </c>
      <c r="Q139" s="1" t="s">
        <v>154</v>
      </c>
      <c r="R139" s="7">
        <v>2.0</v>
      </c>
      <c r="S139" s="1" t="s">
        <v>150</v>
      </c>
      <c r="T139" s="9"/>
      <c r="U139" s="9"/>
      <c r="V139" s="9"/>
      <c r="W139" s="9"/>
      <c r="X139" s="9"/>
      <c r="Y139" s="1" t="s">
        <v>150</v>
      </c>
      <c r="Z139" s="9"/>
      <c r="AA139" s="9"/>
      <c r="AB139" s="9"/>
      <c r="AC139" s="9"/>
      <c r="AD139" s="26"/>
      <c r="AE139" s="1" t="s">
        <v>154</v>
      </c>
      <c r="AF139" s="7">
        <v>3.0</v>
      </c>
      <c r="AG139" s="27" t="s">
        <v>162</v>
      </c>
      <c r="AH139" s="27" t="s">
        <v>152</v>
      </c>
      <c r="AI139" s="1" t="s">
        <v>168</v>
      </c>
      <c r="AJ139" s="7">
        <v>3.0</v>
      </c>
      <c r="AK139" s="1" t="s">
        <v>5</v>
      </c>
      <c r="AL139" s="1" t="s">
        <v>150</v>
      </c>
      <c r="AM139" s="9"/>
      <c r="AN139" s="1">
        <v>15.0</v>
      </c>
      <c r="AO139" s="1" t="str">
        <f t="shared" si="2"/>
        <v>нет</v>
      </c>
      <c r="AP139" s="7">
        <v>175.0</v>
      </c>
      <c r="AQ139" s="7">
        <v>80.0</v>
      </c>
      <c r="AR139" s="9">
        <f t="shared" si="3"/>
        <v>26.12244898</v>
      </c>
      <c r="AS139" s="7" t="str">
        <f t="shared" si="4"/>
        <v>Избыточный вес (предожирение)</v>
      </c>
      <c r="AT139" s="7">
        <v>190.0</v>
      </c>
      <c r="AU139" s="7">
        <v>90.0</v>
      </c>
      <c r="AV139" s="3">
        <v>123.0</v>
      </c>
      <c r="AW139" s="7">
        <v>93.0</v>
      </c>
      <c r="AX139" s="7">
        <v>37.7</v>
      </c>
      <c r="AY139" s="7">
        <v>24.0</v>
      </c>
      <c r="AZ139" s="7">
        <v>61.0</v>
      </c>
      <c r="BA139" s="10" t="str">
        <f t="shared" si="5"/>
        <v>да</v>
      </c>
      <c r="BB139" s="7">
        <v>89.0</v>
      </c>
      <c r="BC139" s="11"/>
      <c r="BD139" s="12" t="str">
        <f t="shared" si="6"/>
        <v>#DIV/0!</v>
      </c>
      <c r="BE139" s="12">
        <f t="shared" si="7"/>
        <v>1</v>
      </c>
      <c r="BF139" s="12">
        <f t="shared" si="8"/>
        <v>6</v>
      </c>
      <c r="BG139" s="15" t="s">
        <v>154</v>
      </c>
      <c r="BH139" s="15" t="s">
        <v>175</v>
      </c>
      <c r="BI139" s="1" t="s">
        <v>154</v>
      </c>
      <c r="BJ139" s="1" t="s">
        <v>433</v>
      </c>
      <c r="BK139" s="1" t="s">
        <v>150</v>
      </c>
      <c r="BL139" s="9"/>
      <c r="BM139" s="1" t="s">
        <v>154</v>
      </c>
      <c r="BN139" s="1" t="s">
        <v>155</v>
      </c>
      <c r="BO139" s="1" t="s">
        <v>150</v>
      </c>
      <c r="BP139" s="9"/>
      <c r="BQ139" s="9"/>
      <c r="BR139" s="1" t="s">
        <v>154</v>
      </c>
      <c r="BS139" s="1" t="s">
        <v>306</v>
      </c>
      <c r="BT139" s="30"/>
      <c r="BU139" s="1" t="s">
        <v>157</v>
      </c>
      <c r="BV139" s="7">
        <v>20.0</v>
      </c>
      <c r="BW139" s="1" t="s">
        <v>150</v>
      </c>
      <c r="BX139" s="10" t="s">
        <v>154</v>
      </c>
      <c r="BY139" s="1" t="s">
        <v>239</v>
      </c>
      <c r="BZ139" s="29" t="s">
        <v>158</v>
      </c>
      <c r="CA139" s="9"/>
      <c r="CB139" s="1" t="s">
        <v>150</v>
      </c>
      <c r="CC139" s="1" t="s">
        <v>150</v>
      </c>
      <c r="CD139" s="9"/>
      <c r="CE139" s="1" t="s">
        <v>150</v>
      </c>
      <c r="CF139" s="1" t="s">
        <v>150</v>
      </c>
      <c r="CG139" s="1" t="s">
        <v>150</v>
      </c>
      <c r="CH139" s="1" t="s">
        <v>150</v>
      </c>
      <c r="CI139" s="1" t="s">
        <v>150</v>
      </c>
      <c r="CJ139" s="1" t="s">
        <v>150</v>
      </c>
      <c r="CK139" s="1" t="s">
        <v>150</v>
      </c>
      <c r="CL139" s="9"/>
      <c r="CM139" s="7">
        <v>11.6</v>
      </c>
      <c r="CN139" s="7">
        <v>88.7</v>
      </c>
      <c r="CO139" s="7">
        <f t="shared" si="23"/>
        <v>10.2892</v>
      </c>
      <c r="CP139" s="7">
        <v>6.5</v>
      </c>
      <c r="CQ139" s="7">
        <f t="shared" si="10"/>
        <v>0.668798</v>
      </c>
      <c r="CR139" s="7">
        <v>4.7</v>
      </c>
      <c r="CS139" s="7">
        <f t="shared" si="11"/>
        <v>0.031433506</v>
      </c>
      <c r="CT139" s="7">
        <v>0.0</v>
      </c>
      <c r="CU139" s="7">
        <f t="shared" si="12"/>
        <v>0</v>
      </c>
      <c r="CV139" s="7">
        <f t="shared" si="13"/>
        <v>15.38461538</v>
      </c>
      <c r="CW139" s="7">
        <v>4.95</v>
      </c>
      <c r="CX139" s="7">
        <v>146.0</v>
      </c>
      <c r="CY139" s="7" t="str">
        <f t="shared" si="14"/>
        <v>Норма</v>
      </c>
      <c r="CZ139" s="9"/>
      <c r="DA139" s="7">
        <v>219.0</v>
      </c>
      <c r="DB139" s="7">
        <v>56.4</v>
      </c>
      <c r="DC139" s="7">
        <v>4.9</v>
      </c>
      <c r="DD139" s="7">
        <v>63.9</v>
      </c>
      <c r="DE139" s="7"/>
      <c r="DF139" s="7">
        <v>21.9</v>
      </c>
      <c r="DG139" s="7"/>
      <c r="DH139" s="7">
        <v>9.7</v>
      </c>
      <c r="DI139" s="7"/>
      <c r="DJ139" s="7">
        <v>0.1</v>
      </c>
      <c r="DK139" s="7"/>
      <c r="DL139" s="7"/>
      <c r="DM139" s="7">
        <v>4.67</v>
      </c>
      <c r="DN139" s="7">
        <v>130.0</v>
      </c>
      <c r="DO139" s="7" t="str">
        <f t="shared" si="15"/>
        <v>Норма</v>
      </c>
      <c r="DP139" s="9"/>
      <c r="DQ139" s="7">
        <v>272.0</v>
      </c>
      <c r="DR139" s="7">
        <v>2.2</v>
      </c>
      <c r="DS139" s="13">
        <v>540.0</v>
      </c>
      <c r="DT139" s="9"/>
      <c r="DU139" s="7">
        <v>12.0</v>
      </c>
      <c r="DV139" s="7">
        <v>1.03</v>
      </c>
      <c r="DW139" s="1" t="s">
        <v>320</v>
      </c>
      <c r="DX139" s="9"/>
      <c r="DY139" s="9"/>
      <c r="DZ139" s="7">
        <v>12.0</v>
      </c>
      <c r="EA139" s="7">
        <v>1.03</v>
      </c>
      <c r="EB139" s="7"/>
      <c r="EC139" s="7">
        <v>6.57</v>
      </c>
      <c r="ED139" s="7">
        <v>4.85</v>
      </c>
      <c r="EE139" s="7">
        <v>51.15</v>
      </c>
      <c r="EF139" s="7">
        <v>78.9</v>
      </c>
      <c r="EG139" s="7">
        <v>63.0</v>
      </c>
      <c r="EH139" s="7">
        <v>6.1</v>
      </c>
      <c r="EI139" s="7">
        <v>1.54</v>
      </c>
      <c r="EJ139" s="7">
        <v>95.4</v>
      </c>
      <c r="EK139" s="14">
        <f t="shared" si="16"/>
        <v>54.83339765</v>
      </c>
      <c r="EL139" s="11" t="str">
        <f t="shared" si="17"/>
        <v>C3a</v>
      </c>
      <c r="EM139" s="7">
        <v>135.3</v>
      </c>
      <c r="EN139" s="7">
        <v>3.83</v>
      </c>
      <c r="EO139" s="7">
        <v>55.9</v>
      </c>
      <c r="EP139" s="7">
        <v>16.6</v>
      </c>
      <c r="EQ139" s="7">
        <v>56.9</v>
      </c>
      <c r="ER139" s="7">
        <v>11.9</v>
      </c>
      <c r="ES139" s="7">
        <v>3.1</v>
      </c>
      <c r="ET139" s="7">
        <v>61.0</v>
      </c>
      <c r="EU139" s="11">
        <f t="shared" si="18"/>
        <v>92.95181089</v>
      </c>
      <c r="EV139" s="11" t="str">
        <f t="shared" si="19"/>
        <v>C1</v>
      </c>
      <c r="EW139" s="7">
        <v>137.5</v>
      </c>
      <c r="EX139" s="7">
        <v>4.54</v>
      </c>
      <c r="EY139" s="9">
        <f t="shared" si="20"/>
        <v>-0.4095477551</v>
      </c>
      <c r="EZ139" s="9">
        <f t="shared" si="21"/>
        <v>0.600979434</v>
      </c>
      <c r="FA139" s="9" t="str">
        <f t="shared" si="22"/>
        <v>Неблагоприятный</v>
      </c>
      <c r="FB139" s="1" t="s">
        <v>256</v>
      </c>
      <c r="FC139" s="1" t="s">
        <v>148</v>
      </c>
    </row>
    <row r="140">
      <c r="A140" s="7">
        <v>139.0</v>
      </c>
      <c r="B140" s="21">
        <v>99.0</v>
      </c>
      <c r="C140" s="25">
        <v>6126.0</v>
      </c>
      <c r="D140" s="1" t="s">
        <v>148</v>
      </c>
      <c r="E140" s="7">
        <v>43.0</v>
      </c>
      <c r="F140" s="1" t="s">
        <v>161</v>
      </c>
      <c r="G140" s="7"/>
      <c r="H140" s="7">
        <v>26.0</v>
      </c>
      <c r="I140" s="1" t="s">
        <v>150</v>
      </c>
      <c r="J140" s="1" t="s">
        <v>150</v>
      </c>
      <c r="K140" s="9"/>
      <c r="L140" s="1" t="s">
        <v>150</v>
      </c>
      <c r="M140" s="1" t="s">
        <v>154</v>
      </c>
      <c r="N140" s="1" t="s">
        <v>192</v>
      </c>
      <c r="O140" s="1" t="str">
        <f t="shared" si="1"/>
        <v>нет</v>
      </c>
      <c r="P140" s="1" t="s">
        <v>154</v>
      </c>
      <c r="Q140" s="1" t="s">
        <v>154</v>
      </c>
      <c r="R140" s="7">
        <v>2.0</v>
      </c>
      <c r="S140" s="1" t="s">
        <v>150</v>
      </c>
      <c r="T140" s="9"/>
      <c r="U140" s="9"/>
      <c r="V140" s="9"/>
      <c r="W140" s="9"/>
      <c r="X140" s="9"/>
      <c r="Y140" s="1" t="s">
        <v>150</v>
      </c>
      <c r="Z140" s="9"/>
      <c r="AA140" s="9"/>
      <c r="AB140" s="9"/>
      <c r="AC140" s="9"/>
      <c r="AD140" s="26" t="s">
        <v>434</v>
      </c>
      <c r="AE140" s="1" t="s">
        <v>154</v>
      </c>
      <c r="AF140" s="7">
        <v>10.0</v>
      </c>
      <c r="AG140" s="27" t="s">
        <v>162</v>
      </c>
      <c r="AH140" s="27" t="s">
        <v>152</v>
      </c>
      <c r="AI140" s="1" t="s">
        <v>168</v>
      </c>
      <c r="AJ140" s="9"/>
      <c r="AK140" s="1" t="s">
        <v>5</v>
      </c>
      <c r="AL140" s="1" t="s">
        <v>150</v>
      </c>
      <c r="AM140" s="9"/>
      <c r="AN140" s="1">
        <v>15.0</v>
      </c>
      <c r="AO140" s="1" t="str">
        <f t="shared" si="2"/>
        <v>нет</v>
      </c>
      <c r="AP140" s="7">
        <v>156.0</v>
      </c>
      <c r="AQ140" s="7">
        <v>125.0</v>
      </c>
      <c r="AR140" s="9">
        <f t="shared" si="3"/>
        <v>51.36423406</v>
      </c>
      <c r="AS140" s="7" t="str">
        <f t="shared" si="4"/>
        <v>Ожирение III степени (морбидное)</v>
      </c>
      <c r="AT140" s="7">
        <v>147.0</v>
      </c>
      <c r="AU140" s="7">
        <v>84.0</v>
      </c>
      <c r="AV140" s="3">
        <v>105.0</v>
      </c>
      <c r="AW140" s="7">
        <v>87.0</v>
      </c>
      <c r="AX140" s="7">
        <v>37.5</v>
      </c>
      <c r="AY140" s="7">
        <v>20.0</v>
      </c>
      <c r="AZ140" s="7">
        <v>84.0</v>
      </c>
      <c r="BA140" s="10" t="str">
        <f t="shared" si="5"/>
        <v>да</v>
      </c>
      <c r="BB140" s="7">
        <v>90.0</v>
      </c>
      <c r="BC140" s="11"/>
      <c r="BD140" s="12" t="str">
        <f t="shared" si="6"/>
        <v>#DIV/0!</v>
      </c>
      <c r="BE140" s="12">
        <f t="shared" si="7"/>
        <v>0</v>
      </c>
      <c r="BF140" s="12">
        <f t="shared" si="8"/>
        <v>3</v>
      </c>
      <c r="BG140" s="15" t="s">
        <v>154</v>
      </c>
      <c r="BH140" s="15" t="s">
        <v>435</v>
      </c>
      <c r="BI140" s="15" t="s">
        <v>154</v>
      </c>
      <c r="BJ140" s="15" t="s">
        <v>341</v>
      </c>
      <c r="BK140" s="15" t="s">
        <v>150</v>
      </c>
      <c r="BL140" s="9"/>
      <c r="BM140" s="15" t="s">
        <v>154</v>
      </c>
      <c r="BN140" s="15" t="s">
        <v>155</v>
      </c>
      <c r="BO140" s="15" t="s">
        <v>150</v>
      </c>
      <c r="BP140" s="9"/>
      <c r="BQ140" s="9"/>
      <c r="BR140" s="15" t="s">
        <v>154</v>
      </c>
      <c r="BS140" s="15" t="s">
        <v>170</v>
      </c>
      <c r="BT140" s="30"/>
      <c r="BU140" s="1" t="s">
        <v>157</v>
      </c>
      <c r="BV140" s="7">
        <v>16.0</v>
      </c>
      <c r="BW140" s="15" t="s">
        <v>154</v>
      </c>
      <c r="BX140" s="10" t="s">
        <v>154</v>
      </c>
      <c r="BY140" s="1" t="s">
        <v>173</v>
      </c>
      <c r="BZ140" s="29" t="s">
        <v>158</v>
      </c>
      <c r="CA140" s="1" t="s">
        <v>176</v>
      </c>
      <c r="CB140" s="1" t="s">
        <v>150</v>
      </c>
      <c r="CC140" s="1" t="s">
        <v>150</v>
      </c>
      <c r="CD140" s="1" t="s">
        <v>436</v>
      </c>
      <c r="CE140" s="1" t="s">
        <v>177</v>
      </c>
      <c r="CF140" s="1" t="s">
        <v>437</v>
      </c>
      <c r="CG140" s="1" t="s">
        <v>150</v>
      </c>
      <c r="CH140" s="1" t="s">
        <v>150</v>
      </c>
      <c r="CI140" s="1" t="s">
        <v>150</v>
      </c>
      <c r="CJ140" s="1" t="s">
        <v>150</v>
      </c>
      <c r="CK140" s="1" t="s">
        <v>150</v>
      </c>
      <c r="CL140" s="1" t="s">
        <v>438</v>
      </c>
      <c r="CM140" s="7">
        <v>5.0</v>
      </c>
      <c r="CN140" s="7">
        <v>77.8</v>
      </c>
      <c r="CO140" s="7">
        <f t="shared" si="23"/>
        <v>3.89</v>
      </c>
      <c r="CP140" s="7">
        <v>17.5</v>
      </c>
      <c r="CQ140" s="7">
        <f t="shared" si="10"/>
        <v>0.68075</v>
      </c>
      <c r="CR140" s="7">
        <v>3.9</v>
      </c>
      <c r="CS140" s="7">
        <f t="shared" si="11"/>
        <v>0.02654925</v>
      </c>
      <c r="CT140" s="7">
        <v>0.5</v>
      </c>
      <c r="CU140" s="7">
        <f t="shared" si="12"/>
        <v>0.00013274625</v>
      </c>
      <c r="CV140" s="7">
        <f t="shared" si="13"/>
        <v>5.714285714</v>
      </c>
      <c r="CW140" s="7">
        <v>4.81</v>
      </c>
      <c r="CX140" s="7">
        <v>131.0</v>
      </c>
      <c r="CY140" s="7" t="str">
        <f t="shared" si="14"/>
        <v>Норма</v>
      </c>
      <c r="CZ140" s="7">
        <v>35.0</v>
      </c>
      <c r="DA140" s="7">
        <v>187.0</v>
      </c>
      <c r="DB140" s="7">
        <v>105.9</v>
      </c>
      <c r="DC140" s="7">
        <v>11.3</v>
      </c>
      <c r="DD140" s="7">
        <v>75.7</v>
      </c>
      <c r="DE140" s="7"/>
      <c r="DF140" s="7">
        <v>15.8</v>
      </c>
      <c r="DG140" s="7"/>
      <c r="DH140" s="7">
        <v>8.0</v>
      </c>
      <c r="DI140" s="7"/>
      <c r="DJ140" s="7">
        <v>0.1</v>
      </c>
      <c r="DK140" s="7"/>
      <c r="DL140" s="7"/>
      <c r="DM140" s="7">
        <v>4.81</v>
      </c>
      <c r="DN140" s="7">
        <v>133.0</v>
      </c>
      <c r="DO140" s="7" t="str">
        <f t="shared" si="15"/>
        <v>Норма</v>
      </c>
      <c r="DP140" s="7">
        <v>11.0</v>
      </c>
      <c r="DQ140" s="7">
        <v>272.0</v>
      </c>
      <c r="DR140" s="7">
        <v>16.5</v>
      </c>
      <c r="DS140" s="13">
        <v>638.0</v>
      </c>
      <c r="DT140" s="7">
        <v>17.0</v>
      </c>
      <c r="DU140" s="7">
        <v>12.3</v>
      </c>
      <c r="DV140" s="7">
        <v>1.05</v>
      </c>
      <c r="DW140" s="1" t="s">
        <v>320</v>
      </c>
      <c r="DX140" s="9"/>
      <c r="DY140" s="7">
        <v>31.8</v>
      </c>
      <c r="DZ140" s="7">
        <v>10.2</v>
      </c>
      <c r="EA140" s="7">
        <v>0.87</v>
      </c>
      <c r="EB140" s="7"/>
      <c r="EC140" s="7">
        <v>8.4</v>
      </c>
      <c r="ED140" s="7">
        <v>22.64</v>
      </c>
      <c r="EE140" s="7">
        <v>47.6</v>
      </c>
      <c r="EF140" s="7">
        <v>49.9</v>
      </c>
      <c r="EG140" s="7">
        <v>70.2</v>
      </c>
      <c r="EH140" s="7">
        <v>7.3</v>
      </c>
      <c r="EI140" s="7">
        <v>4.0</v>
      </c>
      <c r="EJ140" s="7">
        <v>106.0</v>
      </c>
      <c r="EK140" s="14">
        <f t="shared" si="16"/>
        <v>55.55707606</v>
      </c>
      <c r="EL140" s="11" t="str">
        <f t="shared" si="17"/>
        <v>C3a</v>
      </c>
      <c r="EM140" s="7">
        <v>133.9</v>
      </c>
      <c r="EN140" s="7">
        <v>4.43</v>
      </c>
      <c r="EO140" s="7">
        <v>55.2</v>
      </c>
      <c r="EP140" s="7">
        <v>12.0</v>
      </c>
      <c r="EQ140" s="7">
        <v>69.6</v>
      </c>
      <c r="ER140" s="7">
        <v>10.1</v>
      </c>
      <c r="ES140" s="7">
        <v>3.3</v>
      </c>
      <c r="ET140" s="7">
        <v>87.0</v>
      </c>
      <c r="EU140" s="11">
        <f t="shared" si="18"/>
        <v>70.54323887</v>
      </c>
      <c r="EV140" s="11" t="str">
        <f t="shared" si="19"/>
        <v>C2</v>
      </c>
      <c r="EW140" s="7">
        <v>129.8</v>
      </c>
      <c r="EX140" s="7">
        <v>4.17</v>
      </c>
      <c r="EY140" s="9">
        <f t="shared" si="20"/>
        <v>-0.06232750164</v>
      </c>
      <c r="EZ140" s="9">
        <f t="shared" si="21"/>
        <v>0.5155768331</v>
      </c>
      <c r="FA140" s="9" t="str">
        <f t="shared" si="22"/>
        <v>Благоприятный</v>
      </c>
      <c r="FB140" s="1" t="s">
        <v>150</v>
      </c>
      <c r="FC140" s="1" t="s">
        <v>148</v>
      </c>
    </row>
    <row r="141">
      <c r="A141" s="7">
        <v>140.0</v>
      </c>
      <c r="B141" s="21">
        <v>100.0</v>
      </c>
      <c r="C141" s="16">
        <v>6610.0</v>
      </c>
      <c r="D141" s="1" t="s">
        <v>148</v>
      </c>
      <c r="E141" s="1">
        <v>34.0</v>
      </c>
      <c r="F141" s="1" t="s">
        <v>161</v>
      </c>
      <c r="G141" s="7" t="s">
        <v>154</v>
      </c>
      <c r="H141" s="7">
        <v>19.0</v>
      </c>
      <c r="I141" s="1" t="s">
        <v>150</v>
      </c>
      <c r="J141" s="1" t="s">
        <v>150</v>
      </c>
      <c r="K141" s="9"/>
      <c r="L141" s="1" t="s">
        <v>150</v>
      </c>
      <c r="M141" s="1" t="s">
        <v>154</v>
      </c>
      <c r="N141" s="1" t="s">
        <v>439</v>
      </c>
      <c r="O141" s="1" t="str">
        <f t="shared" si="1"/>
        <v>нет</v>
      </c>
      <c r="P141" s="1" t="s">
        <v>150</v>
      </c>
      <c r="Q141" s="1" t="s">
        <v>150</v>
      </c>
      <c r="R141" s="9"/>
      <c r="S141" s="1" t="s">
        <v>150</v>
      </c>
      <c r="T141" s="9"/>
      <c r="U141" s="9"/>
      <c r="V141" s="9"/>
      <c r="W141" s="9"/>
      <c r="X141" s="1" t="s">
        <v>154</v>
      </c>
      <c r="Y141" s="1" t="s">
        <v>154</v>
      </c>
      <c r="Z141" s="9"/>
      <c r="AA141" s="9"/>
      <c r="AB141" s="9"/>
      <c r="AC141" s="9"/>
      <c r="AD141" s="26" t="s">
        <v>440</v>
      </c>
      <c r="AE141" s="1" t="s">
        <v>154</v>
      </c>
      <c r="AF141" s="9"/>
      <c r="AG141" s="27" t="s">
        <v>162</v>
      </c>
      <c r="AH141" s="27" t="s">
        <v>152</v>
      </c>
      <c r="AI141" s="1" t="s">
        <v>168</v>
      </c>
      <c r="AJ141" s="7">
        <v>1.0</v>
      </c>
      <c r="AK141" s="1" t="s">
        <v>5</v>
      </c>
      <c r="AL141" s="1" t="s">
        <v>150</v>
      </c>
      <c r="AM141" s="9"/>
      <c r="AN141" s="1">
        <v>15.0</v>
      </c>
      <c r="AO141" s="1" t="str">
        <f t="shared" si="2"/>
        <v>нет</v>
      </c>
      <c r="AP141" s="9"/>
      <c r="AQ141" s="9"/>
      <c r="AR141" s="9" t="str">
        <f t="shared" si="3"/>
        <v>#DIV/0!</v>
      </c>
      <c r="AS141" s="7" t="str">
        <f t="shared" si="4"/>
        <v>#DIV/0!</v>
      </c>
      <c r="AT141" s="7">
        <v>120.0</v>
      </c>
      <c r="AU141" s="7">
        <v>80.0</v>
      </c>
      <c r="AV141" s="3">
        <v>93.0</v>
      </c>
      <c r="AW141" s="7">
        <v>132.0</v>
      </c>
      <c r="AX141" s="7">
        <v>37.2</v>
      </c>
      <c r="AY141" s="7">
        <v>21.0</v>
      </c>
      <c r="AZ141" s="7">
        <v>96.0</v>
      </c>
      <c r="BA141" s="10" t="str">
        <f t="shared" si="5"/>
        <v>нет</v>
      </c>
      <c r="BB141" s="9"/>
      <c r="BC141" s="11"/>
      <c r="BD141" s="12" t="str">
        <f t="shared" si="6"/>
        <v>#DIV/0!</v>
      </c>
      <c r="BE141" s="12">
        <f t="shared" si="7"/>
        <v>0</v>
      </c>
      <c r="BF141" s="12">
        <f t="shared" si="8"/>
        <v>5</v>
      </c>
      <c r="BG141" s="15" t="s">
        <v>154</v>
      </c>
      <c r="BH141" s="15" t="s">
        <v>441</v>
      </c>
      <c r="BI141" s="1" t="s">
        <v>154</v>
      </c>
      <c r="BJ141" s="1" t="s">
        <v>442</v>
      </c>
      <c r="BK141" s="1" t="s">
        <v>150</v>
      </c>
      <c r="BL141" s="9"/>
      <c r="BM141" s="1" t="s">
        <v>154</v>
      </c>
      <c r="BN141" s="1" t="s">
        <v>155</v>
      </c>
      <c r="BO141" s="1" t="s">
        <v>150</v>
      </c>
      <c r="BP141" s="9"/>
      <c r="BQ141" s="9"/>
      <c r="BR141" s="1" t="s">
        <v>154</v>
      </c>
      <c r="BS141" s="1" t="s">
        <v>443</v>
      </c>
      <c r="BT141" s="28">
        <v>12.0</v>
      </c>
      <c r="BU141" s="1" t="s">
        <v>157</v>
      </c>
      <c r="BV141" s="7">
        <v>16.0</v>
      </c>
      <c r="BW141" s="1" t="s">
        <v>150</v>
      </c>
      <c r="BX141" s="10" t="s">
        <v>154</v>
      </c>
      <c r="BY141" s="1" t="s">
        <v>258</v>
      </c>
      <c r="BZ141" s="29" t="s">
        <v>158</v>
      </c>
      <c r="CA141" s="9"/>
      <c r="CB141" s="1" t="s">
        <v>150</v>
      </c>
      <c r="CC141" s="1" t="s">
        <v>150</v>
      </c>
      <c r="CD141" s="9"/>
      <c r="CE141" s="1" t="s">
        <v>150</v>
      </c>
      <c r="CF141" s="1" t="s">
        <v>150</v>
      </c>
      <c r="CG141" s="1" t="s">
        <v>150</v>
      </c>
      <c r="CH141" s="1" t="s">
        <v>150</v>
      </c>
      <c r="CI141" s="1" t="s">
        <v>150</v>
      </c>
      <c r="CJ141" s="1" t="s">
        <v>150</v>
      </c>
      <c r="CK141" s="1" t="s">
        <v>150</v>
      </c>
      <c r="CL141" s="1" t="s">
        <v>444</v>
      </c>
      <c r="CM141" s="1"/>
      <c r="CN141" s="1"/>
      <c r="CO141" s="7">
        <f t="shared" si="23"/>
        <v>0</v>
      </c>
      <c r="CP141" s="1"/>
      <c r="CQ141" s="7">
        <f t="shared" si="10"/>
        <v>0</v>
      </c>
      <c r="CR141" s="1"/>
      <c r="CS141" s="7">
        <f t="shared" si="11"/>
        <v>0</v>
      </c>
      <c r="CT141" s="1"/>
      <c r="CU141" s="7">
        <f t="shared" si="12"/>
        <v>0</v>
      </c>
      <c r="CV141" s="7" t="str">
        <f t="shared" si="13"/>
        <v>#DIV/0!</v>
      </c>
      <c r="CW141" s="1"/>
      <c r="CX141" s="9"/>
      <c r="CY141" s="7" t="str">
        <f t="shared" si="14"/>
        <v>Тяжелая степень</v>
      </c>
      <c r="CZ141" s="9"/>
      <c r="DA141" s="9"/>
      <c r="DB141" s="9"/>
      <c r="DC141" s="7">
        <v>11.1</v>
      </c>
      <c r="DD141" s="7"/>
      <c r="DE141" s="7"/>
      <c r="DF141" s="7"/>
      <c r="DG141" s="7"/>
      <c r="DH141" s="7"/>
      <c r="DI141" s="7"/>
      <c r="DJ141" s="7"/>
      <c r="DK141" s="7"/>
      <c r="DL141" s="7"/>
      <c r="DM141" s="7">
        <v>4.09</v>
      </c>
      <c r="DN141" s="7">
        <v>120.0</v>
      </c>
      <c r="DO141" s="7" t="str">
        <f t="shared" si="15"/>
        <v>Легкая степень</v>
      </c>
      <c r="DP141" s="9"/>
      <c r="DQ141" s="7">
        <v>249.0</v>
      </c>
      <c r="DR141" s="9"/>
      <c r="DS141" s="13">
        <v>191.0</v>
      </c>
      <c r="DT141" s="9"/>
      <c r="DU141" s="9"/>
      <c r="DV141" s="9"/>
      <c r="DW141" s="1" t="s">
        <v>320</v>
      </c>
      <c r="DX141" s="9"/>
      <c r="DY141" s="9"/>
      <c r="DZ141" s="9"/>
      <c r="EA141" s="7">
        <v>0.906</v>
      </c>
      <c r="EB141" s="9"/>
      <c r="EC141" s="9"/>
      <c r="ED141" s="7">
        <v>4.29</v>
      </c>
      <c r="EE141" s="9"/>
      <c r="EF141" s="9"/>
      <c r="EG141" s="9"/>
      <c r="EH141" s="9"/>
      <c r="EI141" s="9"/>
      <c r="EJ141" s="9"/>
      <c r="EK141" s="14" t="str">
        <f t="shared" si="16"/>
        <v>#NUM!</v>
      </c>
      <c r="EL141" s="11" t="str">
        <f t="shared" si="17"/>
        <v>#NUM!</v>
      </c>
      <c r="EM141" s="9"/>
      <c r="EN141" s="9"/>
      <c r="EO141" s="7">
        <v>52.6</v>
      </c>
      <c r="EP141" s="7">
        <v>13.0</v>
      </c>
      <c r="EQ141" s="7">
        <v>55.3</v>
      </c>
      <c r="ER141" s="7">
        <v>10.0</v>
      </c>
      <c r="ES141" s="7">
        <v>4.0</v>
      </c>
      <c r="ET141" s="7">
        <v>54.0</v>
      </c>
      <c r="EU141" s="11">
        <f t="shared" si="18"/>
        <v>118.6166399</v>
      </c>
      <c r="EV141" s="11" t="str">
        <f t="shared" si="19"/>
        <v>C1</v>
      </c>
      <c r="EW141" s="7">
        <v>134.1</v>
      </c>
      <c r="EX141" s="7">
        <v>3.71</v>
      </c>
      <c r="EY141" s="9" t="str">
        <f t="shared" si="20"/>
        <v>#DIV/0!</v>
      </c>
      <c r="EZ141" s="9" t="str">
        <f t="shared" si="21"/>
        <v>#DIV/0!</v>
      </c>
      <c r="FA141" s="9" t="str">
        <f t="shared" si="22"/>
        <v>#DIV/0!</v>
      </c>
      <c r="FB141" s="9"/>
      <c r="FC141" s="1" t="s">
        <v>148</v>
      </c>
    </row>
    <row r="142">
      <c r="A142" s="33">
        <v>141.0</v>
      </c>
      <c r="B142" s="7">
        <v>1.0</v>
      </c>
      <c r="C142" s="7">
        <v>10815.0</v>
      </c>
      <c r="D142" s="1" t="s">
        <v>445</v>
      </c>
      <c r="E142" s="7">
        <v>58.0</v>
      </c>
      <c r="F142" s="1" t="s">
        <v>149</v>
      </c>
      <c r="G142" s="7"/>
      <c r="H142" s="7">
        <v>15.0</v>
      </c>
      <c r="I142" s="1" t="s">
        <v>150</v>
      </c>
      <c r="J142" s="1" t="s">
        <v>150</v>
      </c>
      <c r="K142" s="9"/>
      <c r="L142" s="1" t="s">
        <v>150</v>
      </c>
      <c r="M142" s="1" t="s">
        <v>150</v>
      </c>
      <c r="N142" s="1"/>
      <c r="O142" s="1" t="str">
        <f t="shared" si="1"/>
        <v>да</v>
      </c>
      <c r="P142" s="1" t="s">
        <v>150</v>
      </c>
      <c r="Q142" s="1" t="s">
        <v>150</v>
      </c>
      <c r="R142" s="1"/>
      <c r="S142" s="1" t="s">
        <v>150</v>
      </c>
      <c r="T142" s="9"/>
      <c r="U142" s="9"/>
      <c r="V142" s="9"/>
      <c r="W142" s="9"/>
      <c r="X142" s="1"/>
      <c r="Y142" s="1" t="s">
        <v>150</v>
      </c>
      <c r="Z142" s="9"/>
      <c r="AA142" s="9"/>
      <c r="AB142" s="9"/>
      <c r="AC142" s="9"/>
      <c r="AD142" s="1"/>
      <c r="AE142" s="1" t="s">
        <v>154</v>
      </c>
      <c r="AF142" s="1">
        <v>4.0</v>
      </c>
      <c r="AG142" s="1" t="s">
        <v>446</v>
      </c>
      <c r="AH142" s="1" t="s">
        <v>154</v>
      </c>
      <c r="AI142" s="1" t="s">
        <v>168</v>
      </c>
      <c r="AJ142" s="18"/>
      <c r="AK142" s="1" t="s">
        <v>5</v>
      </c>
      <c r="AL142" s="1" t="s">
        <v>150</v>
      </c>
      <c r="AM142" s="9"/>
      <c r="AN142" s="1">
        <v>15.0</v>
      </c>
      <c r="AO142" s="1" t="str">
        <f t="shared" si="2"/>
        <v>нет</v>
      </c>
      <c r="AP142" s="7">
        <v>173.0</v>
      </c>
      <c r="AQ142" s="7">
        <v>75.0</v>
      </c>
      <c r="AR142" s="9">
        <f t="shared" si="3"/>
        <v>25.05930703</v>
      </c>
      <c r="AS142" s="7" t="str">
        <f t="shared" si="4"/>
        <v>Избыточный вес (предожирение)</v>
      </c>
      <c r="AT142" s="7">
        <v>124.0</v>
      </c>
      <c r="AU142" s="7">
        <v>73.0</v>
      </c>
      <c r="AV142" s="9"/>
      <c r="AW142" s="7">
        <v>108.0</v>
      </c>
      <c r="AX142" s="7">
        <v>37.9</v>
      </c>
      <c r="AY142" s="7">
        <v>23.0</v>
      </c>
      <c r="AZ142" s="7">
        <v>75.0</v>
      </c>
      <c r="BA142" s="10" t="str">
        <f t="shared" si="5"/>
        <v>да</v>
      </c>
      <c r="BB142" s="7">
        <v>95.0</v>
      </c>
      <c r="BC142" s="7">
        <v>60.0</v>
      </c>
      <c r="BD142" s="12">
        <f t="shared" si="6"/>
        <v>0.05434782609</v>
      </c>
      <c r="BE142" s="12">
        <f t="shared" si="7"/>
        <v>1</v>
      </c>
      <c r="BF142" s="12">
        <f t="shared" si="8"/>
        <v>6</v>
      </c>
      <c r="BG142" s="1" t="s">
        <v>154</v>
      </c>
      <c r="BH142" s="1" t="s">
        <v>163</v>
      </c>
      <c r="BI142" s="1" t="s">
        <v>154</v>
      </c>
      <c r="BJ142" s="1" t="s">
        <v>447</v>
      </c>
      <c r="BK142" s="1" t="s">
        <v>154</v>
      </c>
      <c r="BL142" s="1" t="s">
        <v>189</v>
      </c>
      <c r="BM142" s="1" t="s">
        <v>154</v>
      </c>
      <c r="BN142" s="1" t="s">
        <v>448</v>
      </c>
      <c r="BO142" s="1" t="s">
        <v>154</v>
      </c>
      <c r="BP142" s="1" t="s">
        <v>157</v>
      </c>
      <c r="BQ142" s="9"/>
      <c r="BR142" s="1" t="s">
        <v>154</v>
      </c>
      <c r="BS142" s="1" t="s">
        <v>449</v>
      </c>
      <c r="BT142" s="1">
        <v>24.0</v>
      </c>
      <c r="BU142" s="1" t="s">
        <v>450</v>
      </c>
      <c r="BV142" s="1" t="s">
        <v>451</v>
      </c>
      <c r="BW142" s="1" t="s">
        <v>154</v>
      </c>
      <c r="BX142" s="1" t="s">
        <v>154</v>
      </c>
      <c r="BY142" s="1" t="s">
        <v>245</v>
      </c>
      <c r="BZ142" s="1" t="s">
        <v>154</v>
      </c>
      <c r="CA142" s="1" t="s">
        <v>150</v>
      </c>
      <c r="CB142" s="1" t="s">
        <v>150</v>
      </c>
      <c r="CC142" s="1" t="s">
        <v>150</v>
      </c>
      <c r="CD142" s="1" t="s">
        <v>154</v>
      </c>
      <c r="CE142" s="1" t="s">
        <v>150</v>
      </c>
      <c r="CF142" s="1" t="s">
        <v>240</v>
      </c>
      <c r="CG142" s="1" t="s">
        <v>150</v>
      </c>
      <c r="CH142" s="1" t="s">
        <v>150</v>
      </c>
      <c r="CI142" s="1" t="s">
        <v>150</v>
      </c>
      <c r="CJ142" s="1" t="s">
        <v>150</v>
      </c>
      <c r="CK142" s="1" t="s">
        <v>150</v>
      </c>
      <c r="CL142" s="1" t="s">
        <v>452</v>
      </c>
      <c r="CM142" s="7">
        <v>9.3</v>
      </c>
      <c r="CN142" s="7">
        <v>77.9</v>
      </c>
      <c r="CO142" s="7">
        <f t="shared" si="23"/>
        <v>7.2447</v>
      </c>
      <c r="CP142" s="7">
        <v>10.0</v>
      </c>
      <c r="CQ142" s="7">
        <f t="shared" si="10"/>
        <v>0.72447</v>
      </c>
      <c r="CR142" s="7">
        <v>12.1</v>
      </c>
      <c r="CS142" s="7">
        <f t="shared" si="11"/>
        <v>0.08766087</v>
      </c>
      <c r="CT142" s="7">
        <v>0.0</v>
      </c>
      <c r="CU142" s="7">
        <f t="shared" si="12"/>
        <v>0</v>
      </c>
      <c r="CV142" s="7">
        <f t="shared" si="13"/>
        <v>10</v>
      </c>
      <c r="CW142" s="7">
        <v>4.67</v>
      </c>
      <c r="CX142" s="7">
        <v>142.0</v>
      </c>
      <c r="CY142" s="7" t="str">
        <f t="shared" si="14"/>
        <v>Норма</v>
      </c>
      <c r="CZ142" s="7">
        <v>24.0</v>
      </c>
      <c r="DA142" s="7">
        <v>267.0</v>
      </c>
      <c r="DB142" s="7">
        <v>105.3</v>
      </c>
      <c r="DC142" s="7">
        <v>11.4</v>
      </c>
      <c r="DD142" s="7">
        <v>78.8</v>
      </c>
      <c r="DE142" s="7"/>
      <c r="DF142" s="7">
        <v>11.9</v>
      </c>
      <c r="DG142" s="7"/>
      <c r="DH142" s="7">
        <v>8.7</v>
      </c>
      <c r="DI142" s="7"/>
      <c r="DJ142" s="7">
        <v>0.0</v>
      </c>
      <c r="DK142" s="7"/>
      <c r="DL142" s="7"/>
      <c r="DM142" s="7">
        <v>6.19</v>
      </c>
      <c r="DN142" s="7">
        <v>184.0</v>
      </c>
      <c r="DO142" s="7" t="str">
        <f t="shared" si="15"/>
        <v>Норма</v>
      </c>
      <c r="DP142" s="7">
        <v>15.0</v>
      </c>
      <c r="DQ142" s="7">
        <v>402.0</v>
      </c>
      <c r="DR142" s="7">
        <v>7.1</v>
      </c>
      <c r="DS142" s="7">
        <v>528.0</v>
      </c>
      <c r="DT142" s="7">
        <v>31.6</v>
      </c>
      <c r="DU142" s="7">
        <v>11.2</v>
      </c>
      <c r="DV142" s="7">
        <v>0.96</v>
      </c>
      <c r="DW142" s="18"/>
      <c r="DX142" s="1">
        <v>628.0</v>
      </c>
      <c r="DY142" s="1">
        <v>25.6</v>
      </c>
      <c r="DZ142" s="7">
        <v>12.1</v>
      </c>
      <c r="EA142" s="7">
        <v>1.034</v>
      </c>
      <c r="EB142" s="7"/>
      <c r="EC142" s="7">
        <v>6.47</v>
      </c>
      <c r="ED142" s="7">
        <v>5.63</v>
      </c>
      <c r="EE142" s="7">
        <v>58.64</v>
      </c>
      <c r="EF142" s="7">
        <v>66.3</v>
      </c>
      <c r="EG142" s="7">
        <v>65.6</v>
      </c>
      <c r="EH142" s="7">
        <v>10.39</v>
      </c>
      <c r="EI142" s="7">
        <v>2.71</v>
      </c>
      <c r="EJ142" s="7">
        <v>128.38</v>
      </c>
      <c r="EK142" s="34">
        <f t="shared" si="16"/>
        <v>39.66428021</v>
      </c>
      <c r="EL142" s="11" t="str">
        <f t="shared" si="17"/>
        <v>C3b</v>
      </c>
      <c r="EM142" s="7">
        <v>139.8</v>
      </c>
      <c r="EN142" s="7">
        <v>4.27</v>
      </c>
      <c r="EO142" s="7">
        <v>28.1</v>
      </c>
      <c r="EP142" s="7">
        <v>25.1</v>
      </c>
      <c r="EQ142" s="7">
        <v>56.7</v>
      </c>
      <c r="ER142" s="7">
        <v>14.4</v>
      </c>
      <c r="ES142" s="7">
        <v>4.5</v>
      </c>
      <c r="ET142" s="7">
        <v>122.0</v>
      </c>
      <c r="EU142" s="11">
        <f t="shared" si="18"/>
        <v>42.18556443</v>
      </c>
      <c r="EV142" s="11" t="str">
        <f t="shared" si="19"/>
        <v>C3b</v>
      </c>
      <c r="EW142" s="7">
        <v>141.9</v>
      </c>
      <c r="EX142" s="7">
        <v>5.4</v>
      </c>
      <c r="EY142" s="9">
        <f t="shared" si="20"/>
        <v>0.6395174244</v>
      </c>
      <c r="EZ142" s="9">
        <f t="shared" si="21"/>
        <v>0.3453556344</v>
      </c>
      <c r="FA142" s="9" t="str">
        <f t="shared" si="22"/>
        <v>Благоприятный</v>
      </c>
      <c r="FB142" s="1" t="s">
        <v>256</v>
      </c>
      <c r="FC142" s="1" t="s">
        <v>445</v>
      </c>
    </row>
    <row r="143">
      <c r="A143" s="33">
        <v>142.0</v>
      </c>
      <c r="B143" s="7">
        <v>2.0</v>
      </c>
      <c r="C143" s="7">
        <v>10597.0</v>
      </c>
      <c r="D143" s="1" t="s">
        <v>445</v>
      </c>
      <c r="E143" s="7">
        <v>65.0</v>
      </c>
      <c r="F143" s="1" t="s">
        <v>149</v>
      </c>
      <c r="G143" s="7"/>
      <c r="H143" s="7">
        <v>3.0</v>
      </c>
      <c r="I143" s="1" t="s">
        <v>150</v>
      </c>
      <c r="J143" s="1" t="s">
        <v>150</v>
      </c>
      <c r="K143" s="9"/>
      <c r="L143" s="1" t="s">
        <v>150</v>
      </c>
      <c r="M143" s="1" t="s">
        <v>154</v>
      </c>
      <c r="N143" s="1" t="s">
        <v>192</v>
      </c>
      <c r="O143" s="1" t="str">
        <f t="shared" si="1"/>
        <v>да</v>
      </c>
      <c r="P143" s="1" t="s">
        <v>154</v>
      </c>
      <c r="Q143" s="1" t="s">
        <v>154</v>
      </c>
      <c r="R143" s="7">
        <v>2.0</v>
      </c>
      <c r="S143" s="1" t="s">
        <v>150</v>
      </c>
      <c r="T143" s="9"/>
      <c r="U143" s="9"/>
      <c r="V143" s="9"/>
      <c r="W143" s="9"/>
      <c r="X143" s="1"/>
      <c r="Y143" s="1" t="s">
        <v>150</v>
      </c>
      <c r="Z143" s="9"/>
      <c r="AA143" s="1"/>
      <c r="AB143" s="1"/>
      <c r="AC143" s="1"/>
      <c r="AD143" s="1" t="s">
        <v>453</v>
      </c>
      <c r="AE143" s="1" t="s">
        <v>154</v>
      </c>
      <c r="AF143" s="7">
        <v>3.0</v>
      </c>
      <c r="AG143" s="1" t="s">
        <v>446</v>
      </c>
      <c r="AH143" s="1" t="s">
        <v>154</v>
      </c>
      <c r="AI143" s="1" t="s">
        <v>260</v>
      </c>
      <c r="AJ143" s="9"/>
      <c r="AK143" s="1" t="s">
        <v>5</v>
      </c>
      <c r="AL143" s="1" t="s">
        <v>150</v>
      </c>
      <c r="AM143" s="9"/>
      <c r="AN143" s="1">
        <v>15.0</v>
      </c>
      <c r="AO143" s="1" t="str">
        <f t="shared" si="2"/>
        <v>нет</v>
      </c>
      <c r="AP143" s="7">
        <v>176.0</v>
      </c>
      <c r="AQ143" s="7">
        <v>130.0</v>
      </c>
      <c r="AR143" s="9">
        <f t="shared" si="3"/>
        <v>41.96797521</v>
      </c>
      <c r="AS143" s="7" t="str">
        <f t="shared" si="4"/>
        <v>Ожирение III степени (морбидное)</v>
      </c>
      <c r="AT143" s="7">
        <v>164.0</v>
      </c>
      <c r="AU143" s="7">
        <v>94.0</v>
      </c>
      <c r="AV143" s="9"/>
      <c r="AW143" s="7">
        <v>99.0</v>
      </c>
      <c r="AX143" s="7">
        <v>38.0</v>
      </c>
      <c r="AY143" s="7">
        <v>27.0</v>
      </c>
      <c r="AZ143" s="7">
        <v>58.0</v>
      </c>
      <c r="BA143" s="10" t="str">
        <f t="shared" si="5"/>
        <v>да</v>
      </c>
      <c r="BB143" s="7">
        <v>85.0</v>
      </c>
      <c r="BC143" s="6">
        <v>60.0</v>
      </c>
      <c r="BD143" s="12">
        <f t="shared" si="6"/>
        <v>0.03580246914</v>
      </c>
      <c r="BE143" s="12">
        <f t="shared" si="7"/>
        <v>1</v>
      </c>
      <c r="BF143" s="12">
        <f t="shared" si="8"/>
        <v>7</v>
      </c>
      <c r="BG143" s="1" t="s">
        <v>154</v>
      </c>
      <c r="BH143" s="18"/>
      <c r="BI143" s="1" t="s">
        <v>154</v>
      </c>
      <c r="BJ143" s="1" t="s">
        <v>237</v>
      </c>
      <c r="BK143" s="1" t="s">
        <v>150</v>
      </c>
      <c r="BL143" s="1"/>
      <c r="BM143" s="1" t="s">
        <v>154</v>
      </c>
      <c r="BN143" s="1" t="s">
        <v>155</v>
      </c>
      <c r="BO143" s="1" t="s">
        <v>150</v>
      </c>
      <c r="BP143" s="9"/>
      <c r="BQ143" s="9"/>
      <c r="BR143" s="1" t="s">
        <v>154</v>
      </c>
      <c r="BS143" s="1" t="s">
        <v>454</v>
      </c>
      <c r="BT143" s="1">
        <v>24.0</v>
      </c>
      <c r="BU143" s="1" t="s">
        <v>170</v>
      </c>
      <c r="BV143" s="1">
        <v>12.0</v>
      </c>
      <c r="BW143" s="1" t="s">
        <v>150</v>
      </c>
      <c r="BX143" s="1" t="s">
        <v>154</v>
      </c>
      <c r="BY143" s="1" t="s">
        <v>239</v>
      </c>
      <c r="BZ143" s="1" t="s">
        <v>154</v>
      </c>
      <c r="CA143" s="1" t="s">
        <v>154</v>
      </c>
      <c r="CB143" s="1" t="s">
        <v>150</v>
      </c>
      <c r="CC143" s="1" t="s">
        <v>150</v>
      </c>
      <c r="CD143" s="1" t="s">
        <v>154</v>
      </c>
      <c r="CE143" s="1" t="s">
        <v>177</v>
      </c>
      <c r="CF143" s="1" t="s">
        <v>240</v>
      </c>
      <c r="CG143" s="1" t="s">
        <v>150</v>
      </c>
      <c r="CH143" s="1" t="s">
        <v>150</v>
      </c>
      <c r="CI143" s="1" t="s">
        <v>150</v>
      </c>
      <c r="CJ143" s="1" t="s">
        <v>150</v>
      </c>
      <c r="CK143" s="1" t="s">
        <v>150</v>
      </c>
      <c r="CL143" s="1" t="s">
        <v>455</v>
      </c>
      <c r="CM143" s="7">
        <v>5.9</v>
      </c>
      <c r="CN143" s="7">
        <v>77.9</v>
      </c>
      <c r="CO143" s="7">
        <f t="shared" si="23"/>
        <v>4.5961</v>
      </c>
      <c r="CP143" s="7">
        <v>13.2</v>
      </c>
      <c r="CQ143" s="7">
        <f t="shared" si="10"/>
        <v>0.6066852</v>
      </c>
      <c r="CR143" s="7">
        <v>7.8</v>
      </c>
      <c r="CS143" s="7">
        <f t="shared" si="11"/>
        <v>0.0473214456</v>
      </c>
      <c r="CT143" s="7">
        <v>0.0</v>
      </c>
      <c r="CU143" s="7">
        <f t="shared" si="12"/>
        <v>0</v>
      </c>
      <c r="CV143" s="7">
        <f t="shared" si="13"/>
        <v>7.575757576</v>
      </c>
      <c r="CW143" s="7">
        <v>4.73</v>
      </c>
      <c r="CX143" s="7">
        <v>137.0</v>
      </c>
      <c r="CY143" s="7" t="str">
        <f t="shared" si="14"/>
        <v>Норма</v>
      </c>
      <c r="CZ143" s="7" t="s">
        <v>456</v>
      </c>
      <c r="DA143" s="7">
        <v>324.0</v>
      </c>
      <c r="DB143" s="7">
        <v>191.1</v>
      </c>
      <c r="DC143" s="7">
        <v>10.5</v>
      </c>
      <c r="DD143" s="7">
        <v>83.8</v>
      </c>
      <c r="DE143" s="7"/>
      <c r="DF143" s="7">
        <v>8.1</v>
      </c>
      <c r="DG143" s="7"/>
      <c r="DH143" s="7">
        <v>7.8</v>
      </c>
      <c r="DI143" s="7"/>
      <c r="DJ143" s="7">
        <v>0.0</v>
      </c>
      <c r="DK143" s="7"/>
      <c r="DL143" s="7"/>
      <c r="DM143" s="7">
        <v>4.66</v>
      </c>
      <c r="DN143" s="7">
        <v>137.0</v>
      </c>
      <c r="DO143" s="7" t="str">
        <f t="shared" si="15"/>
        <v>Норма</v>
      </c>
      <c r="DP143" s="7">
        <v>55.0</v>
      </c>
      <c r="DQ143" s="7">
        <v>322.0</v>
      </c>
      <c r="DR143" s="7">
        <v>109.8</v>
      </c>
      <c r="DS143" s="1" t="s">
        <v>457</v>
      </c>
      <c r="DT143" s="1" t="s">
        <v>457</v>
      </c>
      <c r="DU143" s="1" t="s">
        <v>457</v>
      </c>
      <c r="DV143" s="1" t="s">
        <v>457</v>
      </c>
      <c r="DW143" s="1" t="s">
        <v>458</v>
      </c>
      <c r="DX143" s="7">
        <v>720.0</v>
      </c>
      <c r="DY143" s="7">
        <v>28.6</v>
      </c>
      <c r="DZ143" s="7">
        <v>12.8</v>
      </c>
      <c r="EA143" s="7">
        <v>1.0</v>
      </c>
      <c r="EB143" s="7"/>
      <c r="EC143" s="7">
        <v>6.65</v>
      </c>
      <c r="ED143" s="7">
        <v>6.36</v>
      </c>
      <c r="EE143" s="7">
        <v>23.3</v>
      </c>
      <c r="EF143" s="7">
        <v>57.7</v>
      </c>
      <c r="EG143" s="7">
        <v>66.8</v>
      </c>
      <c r="EH143" s="7">
        <v>9.8</v>
      </c>
      <c r="EI143" s="7">
        <v>3.4</v>
      </c>
      <c r="EJ143" s="7">
        <v>72.0</v>
      </c>
      <c r="EK143" s="34">
        <f t="shared" si="16"/>
        <v>75.98058811</v>
      </c>
      <c r="EL143" s="11" t="str">
        <f t="shared" si="17"/>
        <v>C2</v>
      </c>
      <c r="EM143" s="7">
        <v>129.9</v>
      </c>
      <c r="EN143" s="7">
        <v>3.37</v>
      </c>
      <c r="EO143" s="7">
        <v>79.6</v>
      </c>
      <c r="EP143" s="7">
        <v>129.0</v>
      </c>
      <c r="EQ143" s="7">
        <v>67.9</v>
      </c>
      <c r="ER143" s="7">
        <v>7.6</v>
      </c>
      <c r="ES143" s="7">
        <v>3.7</v>
      </c>
      <c r="ET143" s="7">
        <v>68.0</v>
      </c>
      <c r="EU143" s="11">
        <f t="shared" si="18"/>
        <v>81.41686273</v>
      </c>
      <c r="EV143" s="11" t="str">
        <f t="shared" si="19"/>
        <v>C2</v>
      </c>
      <c r="EW143" s="7">
        <v>138.9</v>
      </c>
      <c r="EX143" s="7">
        <v>3.86</v>
      </c>
      <c r="EY143" s="9">
        <f t="shared" si="20"/>
        <v>-2.662627087</v>
      </c>
      <c r="EZ143" s="9">
        <f t="shared" si="21"/>
        <v>0.9347850021</v>
      </c>
      <c r="FA143" s="9" t="str">
        <f t="shared" si="22"/>
        <v>Неблагоприятный</v>
      </c>
      <c r="FB143" s="1" t="s">
        <v>150</v>
      </c>
      <c r="FC143" s="1" t="s">
        <v>445</v>
      </c>
    </row>
    <row r="144">
      <c r="A144" s="33">
        <v>143.0</v>
      </c>
      <c r="B144" s="7">
        <v>3.0</v>
      </c>
      <c r="C144" s="7">
        <v>10864.0</v>
      </c>
      <c r="D144" s="1" t="s">
        <v>445</v>
      </c>
      <c r="E144" s="7">
        <v>73.0</v>
      </c>
      <c r="F144" s="1" t="s">
        <v>161</v>
      </c>
      <c r="G144" s="7"/>
      <c r="H144" s="7">
        <v>5.0</v>
      </c>
      <c r="I144" s="1" t="s">
        <v>150</v>
      </c>
      <c r="J144" s="1" t="s">
        <v>150</v>
      </c>
      <c r="K144" s="9"/>
      <c r="L144" s="1" t="s">
        <v>154</v>
      </c>
      <c r="M144" s="1" t="s">
        <v>154</v>
      </c>
      <c r="N144" s="1" t="s">
        <v>459</v>
      </c>
      <c r="O144" s="1" t="str">
        <f t="shared" si="1"/>
        <v>нет</v>
      </c>
      <c r="P144" s="1" t="s">
        <v>154</v>
      </c>
      <c r="Q144" s="1" t="s">
        <v>154</v>
      </c>
      <c r="R144" s="7">
        <v>3.0</v>
      </c>
      <c r="S144" s="1" t="s">
        <v>154</v>
      </c>
      <c r="T144" s="1" t="s">
        <v>460</v>
      </c>
      <c r="U144" s="1"/>
      <c r="V144" s="1" t="s">
        <v>461</v>
      </c>
      <c r="W144" s="9"/>
      <c r="X144" s="1"/>
      <c r="Y144" s="1" t="s">
        <v>150</v>
      </c>
      <c r="Z144" s="9"/>
      <c r="AA144" s="1"/>
      <c r="AB144" s="1"/>
      <c r="AC144" s="1"/>
      <c r="AD144" s="1" t="s">
        <v>462</v>
      </c>
      <c r="AE144" s="1" t="s">
        <v>154</v>
      </c>
      <c r="AF144" s="1">
        <v>5.0</v>
      </c>
      <c r="AG144" s="1" t="s">
        <v>446</v>
      </c>
      <c r="AH144" s="1" t="s">
        <v>154</v>
      </c>
      <c r="AI144" s="1" t="s">
        <v>260</v>
      </c>
      <c r="AJ144" s="6"/>
      <c r="AK144" s="1" t="s">
        <v>5</v>
      </c>
      <c r="AL144" s="1" t="s">
        <v>150</v>
      </c>
      <c r="AM144" s="9"/>
      <c r="AN144" s="1">
        <v>15.0</v>
      </c>
      <c r="AO144" s="1" t="str">
        <f t="shared" si="2"/>
        <v>нет</v>
      </c>
      <c r="AP144" s="7">
        <v>160.0</v>
      </c>
      <c r="AQ144" s="7">
        <v>95.0</v>
      </c>
      <c r="AR144" s="9">
        <f t="shared" si="3"/>
        <v>37.109375</v>
      </c>
      <c r="AS144" s="7" t="str">
        <f t="shared" si="4"/>
        <v>Ожирение II степени</v>
      </c>
      <c r="AT144" s="7">
        <v>134.0</v>
      </c>
      <c r="AU144" s="7">
        <v>82.0</v>
      </c>
      <c r="AV144" s="9"/>
      <c r="AW144" s="7">
        <v>96.0</v>
      </c>
      <c r="AX144" s="7">
        <v>37.3</v>
      </c>
      <c r="AY144" s="7">
        <v>26.0</v>
      </c>
      <c r="AZ144" s="7">
        <v>50.0</v>
      </c>
      <c r="BA144" s="10" t="str">
        <f t="shared" si="5"/>
        <v>да</v>
      </c>
      <c r="BB144" s="7">
        <v>77.0</v>
      </c>
      <c r="BC144" s="7">
        <v>95.0</v>
      </c>
      <c r="BD144" s="12">
        <f t="shared" si="6"/>
        <v>0.02024291498</v>
      </c>
      <c r="BE144" s="12">
        <f t="shared" si="7"/>
        <v>1</v>
      </c>
      <c r="BF144" s="12">
        <f t="shared" si="8"/>
        <v>7</v>
      </c>
      <c r="BG144" s="1" t="s">
        <v>154</v>
      </c>
      <c r="BH144" s="1" t="s">
        <v>175</v>
      </c>
      <c r="BI144" s="1" t="s">
        <v>154</v>
      </c>
      <c r="BJ144" s="1" t="s">
        <v>237</v>
      </c>
      <c r="BK144" s="1" t="s">
        <v>154</v>
      </c>
      <c r="BL144" s="1" t="s">
        <v>189</v>
      </c>
      <c r="BM144" s="1" t="s">
        <v>154</v>
      </c>
      <c r="BN144" s="1" t="s">
        <v>155</v>
      </c>
      <c r="BO144" s="1" t="s">
        <v>154</v>
      </c>
      <c r="BP144" s="1" t="s">
        <v>157</v>
      </c>
      <c r="BQ144" s="9"/>
      <c r="BR144" s="1" t="s">
        <v>154</v>
      </c>
      <c r="BS144" s="1" t="s">
        <v>191</v>
      </c>
      <c r="BT144" s="1">
        <v>24.0</v>
      </c>
      <c r="BU144" s="1" t="s">
        <v>170</v>
      </c>
      <c r="BV144" s="1">
        <v>16.0</v>
      </c>
      <c r="BW144" s="1" t="s">
        <v>154</v>
      </c>
      <c r="BX144" s="1" t="s">
        <v>154</v>
      </c>
      <c r="BY144" s="1" t="s">
        <v>269</v>
      </c>
      <c r="BZ144" s="1" t="s">
        <v>154</v>
      </c>
      <c r="CA144" s="1" t="s">
        <v>150</v>
      </c>
      <c r="CB144" s="1" t="s">
        <v>154</v>
      </c>
      <c r="CC144" s="1" t="s">
        <v>150</v>
      </c>
      <c r="CD144" s="1" t="s">
        <v>154</v>
      </c>
      <c r="CE144" s="1" t="s">
        <v>150</v>
      </c>
      <c r="CF144" s="1" t="s">
        <v>150</v>
      </c>
      <c r="CG144" s="1" t="s">
        <v>150</v>
      </c>
      <c r="CH144" s="1" t="s">
        <v>150</v>
      </c>
      <c r="CI144" s="1" t="s">
        <v>150</v>
      </c>
      <c r="CJ144" s="1" t="s">
        <v>154</v>
      </c>
      <c r="CK144" s="1" t="s">
        <v>150</v>
      </c>
      <c r="CL144" s="1" t="s">
        <v>463</v>
      </c>
      <c r="CM144" s="7">
        <v>9.59</v>
      </c>
      <c r="CN144" s="7">
        <v>89.7</v>
      </c>
      <c r="CO144" s="7">
        <f t="shared" si="23"/>
        <v>8.60223</v>
      </c>
      <c r="CP144" s="7">
        <v>4.4</v>
      </c>
      <c r="CQ144" s="7">
        <f t="shared" si="10"/>
        <v>0.37849812</v>
      </c>
      <c r="CR144" s="7" t="s">
        <v>456</v>
      </c>
      <c r="CS144" s="7" t="str">
        <f t="shared" si="11"/>
        <v>#VALUE!</v>
      </c>
      <c r="CT144" s="7">
        <v>0.0</v>
      </c>
      <c r="CU144" s="7" t="str">
        <f t="shared" si="12"/>
        <v>#VALUE!</v>
      </c>
      <c r="CV144" s="7">
        <f t="shared" si="13"/>
        <v>22.72727273</v>
      </c>
      <c r="CW144" s="7">
        <v>5.1</v>
      </c>
      <c r="CX144" s="7">
        <v>126.0</v>
      </c>
      <c r="CY144" s="7" t="str">
        <f t="shared" si="14"/>
        <v>Легкая степень</v>
      </c>
      <c r="CZ144" s="7" t="s">
        <v>456</v>
      </c>
      <c r="DA144" s="7">
        <v>372.0</v>
      </c>
      <c r="DB144" s="7">
        <v>89.65</v>
      </c>
      <c r="DC144" s="7">
        <v>51.1</v>
      </c>
      <c r="DD144" s="7">
        <v>96.2</v>
      </c>
      <c r="DE144" s="7"/>
      <c r="DF144" s="7">
        <v>0.9</v>
      </c>
      <c r="DG144" s="7"/>
      <c r="DH144" s="7">
        <v>1.0</v>
      </c>
      <c r="DI144" s="7"/>
      <c r="DJ144" s="7">
        <v>0.0</v>
      </c>
      <c r="DK144" s="7"/>
      <c r="DL144" s="7"/>
      <c r="DM144" s="7">
        <v>6.08</v>
      </c>
      <c r="DN144" s="7">
        <v>150.0</v>
      </c>
      <c r="DO144" s="7" t="str">
        <f t="shared" si="15"/>
        <v>Норма</v>
      </c>
      <c r="DP144" s="7">
        <v>6.0</v>
      </c>
      <c r="DQ144" s="7">
        <v>50.0</v>
      </c>
      <c r="DR144" s="7">
        <v>34.8</v>
      </c>
      <c r="DS144" s="7">
        <v>570.0</v>
      </c>
      <c r="DT144" s="7">
        <v>25.8</v>
      </c>
      <c r="DU144" s="7">
        <v>13.8</v>
      </c>
      <c r="DV144" s="7">
        <v>1.17</v>
      </c>
      <c r="DW144" s="1" t="s">
        <v>464</v>
      </c>
      <c r="DY144" s="7">
        <v>25.6</v>
      </c>
      <c r="DZ144" s="7">
        <v>11.2</v>
      </c>
      <c r="EA144" s="7">
        <v>0.95</v>
      </c>
      <c r="EB144" s="7"/>
      <c r="EC144" s="7">
        <v>12.61</v>
      </c>
      <c r="ED144" s="7">
        <v>11.74</v>
      </c>
      <c r="EE144" s="7">
        <v>9.46</v>
      </c>
      <c r="EF144" s="7">
        <v>30.94</v>
      </c>
      <c r="EG144" s="7">
        <v>65.0</v>
      </c>
      <c r="EH144" s="7">
        <v>7.92</v>
      </c>
      <c r="EI144" s="18"/>
      <c r="EJ144" s="7">
        <v>96.02</v>
      </c>
      <c r="EK144" s="34">
        <f t="shared" si="16"/>
        <v>50.7149883</v>
      </c>
      <c r="EL144" s="11" t="str">
        <f t="shared" si="17"/>
        <v>C3a</v>
      </c>
      <c r="EM144" s="7">
        <v>141.2</v>
      </c>
      <c r="EN144" s="7">
        <v>3.98</v>
      </c>
      <c r="EO144" s="7">
        <v>21.4</v>
      </c>
      <c r="EP144" s="7">
        <v>38.4</v>
      </c>
      <c r="EQ144" s="7">
        <v>58.7</v>
      </c>
      <c r="ER144" s="7">
        <v>22.8</v>
      </c>
      <c r="ES144" s="18"/>
      <c r="ET144" s="7">
        <v>411.0</v>
      </c>
      <c r="EU144" s="11">
        <f t="shared" si="18"/>
        <v>8.743329879</v>
      </c>
      <c r="EV144" s="11" t="str">
        <f t="shared" si="19"/>
        <v>C5</v>
      </c>
      <c r="EW144" s="7">
        <v>143.4</v>
      </c>
      <c r="EX144" s="7">
        <v>5.95</v>
      </c>
      <c r="EY144" s="9">
        <f t="shared" si="20"/>
        <v>-1.910609563</v>
      </c>
      <c r="EZ144" s="9">
        <f t="shared" si="21"/>
        <v>0.8710876135</v>
      </c>
      <c r="FA144" s="9" t="str">
        <f t="shared" si="22"/>
        <v>Неблагоприятный</v>
      </c>
      <c r="FB144" s="1" t="s">
        <v>150</v>
      </c>
      <c r="FC144" s="1" t="s">
        <v>445</v>
      </c>
    </row>
    <row r="145">
      <c r="A145" s="33">
        <v>144.0</v>
      </c>
      <c r="B145" s="7">
        <v>4.0</v>
      </c>
      <c r="C145" s="7">
        <v>10083.0</v>
      </c>
      <c r="D145" s="1" t="s">
        <v>445</v>
      </c>
      <c r="E145" s="7">
        <v>79.0</v>
      </c>
      <c r="F145" s="1" t="s">
        <v>149</v>
      </c>
      <c r="G145" s="7"/>
      <c r="H145" s="7">
        <v>34.0</v>
      </c>
      <c r="I145" s="1" t="s">
        <v>150</v>
      </c>
      <c r="J145" s="1" t="s">
        <v>150</v>
      </c>
      <c r="K145" s="9"/>
      <c r="L145" s="1" t="s">
        <v>150</v>
      </c>
      <c r="M145" s="1" t="s">
        <v>150</v>
      </c>
      <c r="N145" s="1" t="s">
        <v>150</v>
      </c>
      <c r="O145" s="1" t="str">
        <f t="shared" si="1"/>
        <v>нет</v>
      </c>
      <c r="P145" s="1" t="s">
        <v>150</v>
      </c>
      <c r="Q145" s="1" t="s">
        <v>154</v>
      </c>
      <c r="R145" s="7">
        <v>3.0</v>
      </c>
      <c r="S145" s="1" t="s">
        <v>154</v>
      </c>
      <c r="T145" s="1" t="s">
        <v>465</v>
      </c>
      <c r="U145" s="1"/>
      <c r="V145" s="1"/>
      <c r="W145" s="1"/>
      <c r="X145" s="1"/>
      <c r="Y145" s="1" t="s">
        <v>150</v>
      </c>
      <c r="Z145" s="9"/>
      <c r="AA145" s="9"/>
      <c r="AB145" s="9"/>
      <c r="AC145" s="9"/>
      <c r="AD145" s="1"/>
      <c r="AE145" s="1" t="s">
        <v>154</v>
      </c>
      <c r="AF145" s="1" t="s">
        <v>466</v>
      </c>
      <c r="AG145" s="1" t="s">
        <v>446</v>
      </c>
      <c r="AH145" s="1" t="s">
        <v>154</v>
      </c>
      <c r="AI145" s="1" t="s">
        <v>168</v>
      </c>
      <c r="AJ145" s="7">
        <v>2.0</v>
      </c>
      <c r="AK145" s="1" t="s">
        <v>5</v>
      </c>
      <c r="AL145" s="9"/>
      <c r="AM145" s="9"/>
      <c r="AN145" s="1">
        <v>15.0</v>
      </c>
      <c r="AO145" s="1" t="str">
        <f t="shared" si="2"/>
        <v>нет</v>
      </c>
      <c r="AP145" s="7">
        <v>173.0</v>
      </c>
      <c r="AQ145" s="7">
        <v>76.0</v>
      </c>
      <c r="AR145" s="9">
        <f t="shared" si="3"/>
        <v>25.39343112</v>
      </c>
      <c r="AS145" s="7" t="str">
        <f t="shared" si="4"/>
        <v>Избыточный вес (предожирение)</v>
      </c>
      <c r="AT145" s="7">
        <v>113.0</v>
      </c>
      <c r="AU145" s="7">
        <v>72.0</v>
      </c>
      <c r="AV145" s="9"/>
      <c r="AW145" s="7">
        <v>83.0</v>
      </c>
      <c r="AX145" s="7">
        <v>38.2</v>
      </c>
      <c r="AY145" s="7">
        <v>20.0</v>
      </c>
      <c r="AZ145" s="7">
        <v>90.0</v>
      </c>
      <c r="BA145" s="10" t="str">
        <f t="shared" si="5"/>
        <v>да</v>
      </c>
      <c r="BB145" s="7">
        <v>97.0</v>
      </c>
      <c r="BC145" s="7">
        <v>50.0</v>
      </c>
      <c r="BD145" s="12">
        <f t="shared" si="6"/>
        <v>0.09</v>
      </c>
      <c r="BE145" s="12">
        <f t="shared" si="7"/>
        <v>0</v>
      </c>
      <c r="BF145" s="12">
        <f t="shared" si="8"/>
        <v>4</v>
      </c>
      <c r="BG145" s="1" t="s">
        <v>154</v>
      </c>
      <c r="BH145" s="1" t="s">
        <v>169</v>
      </c>
      <c r="BI145" s="1" t="s">
        <v>154</v>
      </c>
      <c r="BJ145" s="1" t="s">
        <v>175</v>
      </c>
      <c r="BK145" s="1" t="s">
        <v>150</v>
      </c>
      <c r="BL145" s="9"/>
      <c r="BM145" s="1" t="s">
        <v>154</v>
      </c>
      <c r="BN145" s="1" t="s">
        <v>448</v>
      </c>
      <c r="BO145" s="1" t="s">
        <v>154</v>
      </c>
      <c r="BP145" s="1" t="s">
        <v>157</v>
      </c>
      <c r="BQ145" s="9"/>
      <c r="BR145" s="1" t="s">
        <v>154</v>
      </c>
      <c r="BS145" s="1" t="s">
        <v>467</v>
      </c>
      <c r="BT145" s="1">
        <v>24.0</v>
      </c>
      <c r="BU145" s="1" t="s">
        <v>170</v>
      </c>
      <c r="BV145" s="1">
        <v>12.0</v>
      </c>
      <c r="BW145" s="1" t="s">
        <v>154</v>
      </c>
      <c r="BX145" s="1" t="s">
        <v>154</v>
      </c>
      <c r="BY145" s="1" t="s">
        <v>239</v>
      </c>
      <c r="BZ145" s="1" t="s">
        <v>154</v>
      </c>
      <c r="CA145" s="1" t="s">
        <v>150</v>
      </c>
      <c r="CB145" s="1" t="s">
        <v>150</v>
      </c>
      <c r="CC145" s="1" t="s">
        <v>150</v>
      </c>
      <c r="CD145" s="1" t="s">
        <v>154</v>
      </c>
      <c r="CE145" s="1" t="s">
        <v>150</v>
      </c>
      <c r="CF145" s="1" t="s">
        <v>150</v>
      </c>
      <c r="CG145" s="1" t="s">
        <v>150</v>
      </c>
      <c r="CH145" s="1" t="s">
        <v>150</v>
      </c>
      <c r="CI145" s="1" t="s">
        <v>150</v>
      </c>
      <c r="CJ145" s="1" t="s">
        <v>154</v>
      </c>
      <c r="CK145" s="1" t="s">
        <v>150</v>
      </c>
      <c r="CL145" s="1" t="s">
        <v>468</v>
      </c>
      <c r="CM145" s="7">
        <v>2.9</v>
      </c>
      <c r="CN145" s="7">
        <v>87.5</v>
      </c>
      <c r="CO145" s="7">
        <f t="shared" si="23"/>
        <v>2.5375</v>
      </c>
      <c r="CP145" s="7">
        <v>9.0</v>
      </c>
      <c r="CQ145" s="7">
        <f t="shared" si="10"/>
        <v>0.228375</v>
      </c>
      <c r="CR145" s="7">
        <v>3.2</v>
      </c>
      <c r="CS145" s="7">
        <f t="shared" si="11"/>
        <v>0.007308</v>
      </c>
      <c r="CT145" s="7">
        <v>0.0</v>
      </c>
      <c r="CU145" s="7">
        <f t="shared" si="12"/>
        <v>0</v>
      </c>
      <c r="CV145" s="7">
        <f t="shared" si="13"/>
        <v>11.11111111</v>
      </c>
      <c r="CW145" s="7">
        <v>4.07</v>
      </c>
      <c r="CX145" s="7">
        <v>141.0</v>
      </c>
      <c r="CY145" s="7" t="str">
        <f t="shared" si="14"/>
        <v>Норма</v>
      </c>
      <c r="CZ145" s="7" t="s">
        <v>456</v>
      </c>
      <c r="DA145" s="7">
        <v>106.0</v>
      </c>
      <c r="DB145" s="7">
        <v>27.1</v>
      </c>
      <c r="DC145" s="7">
        <v>5.1</v>
      </c>
      <c r="DD145" s="7">
        <v>93.3</v>
      </c>
      <c r="DE145" s="7"/>
      <c r="DF145" s="7">
        <v>3.0</v>
      </c>
      <c r="DG145" s="7"/>
      <c r="DH145" s="7">
        <v>1.5</v>
      </c>
      <c r="DI145" s="7"/>
      <c r="DJ145" s="7">
        <v>1.3</v>
      </c>
      <c r="DK145" s="7"/>
      <c r="DL145" s="7"/>
      <c r="DM145" s="7">
        <v>3.75</v>
      </c>
      <c r="DN145" s="7">
        <v>128.0</v>
      </c>
      <c r="DO145" s="7" t="str">
        <f t="shared" si="15"/>
        <v>Легкая степень</v>
      </c>
      <c r="DP145" s="7">
        <v>3.0</v>
      </c>
      <c r="DQ145" s="7">
        <v>37.0</v>
      </c>
      <c r="DR145" s="7">
        <v>1.8</v>
      </c>
      <c r="DS145" s="7">
        <v>558.0</v>
      </c>
      <c r="DT145" s="7">
        <v>38.0</v>
      </c>
      <c r="DU145" s="7">
        <v>11.4</v>
      </c>
      <c r="DV145" s="7">
        <v>0.97</v>
      </c>
      <c r="DW145" s="1" t="s">
        <v>458</v>
      </c>
      <c r="DX145" s="7">
        <v>361.0</v>
      </c>
      <c r="DY145" s="7">
        <v>22.1</v>
      </c>
      <c r="DZ145" s="7">
        <v>11.6</v>
      </c>
      <c r="EA145" s="7">
        <v>0.99</v>
      </c>
      <c r="EB145" s="7"/>
      <c r="EC145" s="7">
        <v>4.05</v>
      </c>
      <c r="ED145" s="7">
        <v>6.46</v>
      </c>
      <c r="EE145" s="7">
        <v>1.7</v>
      </c>
      <c r="EF145" s="7">
        <v>62.2</v>
      </c>
      <c r="EG145" s="7">
        <v>63.1</v>
      </c>
      <c r="EH145" s="7">
        <v>9.8</v>
      </c>
      <c r="EI145" s="7">
        <v>1.5</v>
      </c>
      <c r="EJ145" s="7">
        <v>113.0</v>
      </c>
      <c r="EK145" s="34">
        <f t="shared" si="16"/>
        <v>39.93330726</v>
      </c>
      <c r="EL145" s="11" t="str">
        <f t="shared" si="17"/>
        <v>C3b</v>
      </c>
      <c r="EM145" s="7">
        <v>135.4</v>
      </c>
      <c r="EN145" s="7">
        <v>3.74</v>
      </c>
      <c r="EO145" s="7">
        <v>54.4</v>
      </c>
      <c r="EP145" s="7">
        <v>30.9</v>
      </c>
      <c r="EQ145" s="7">
        <v>47.4</v>
      </c>
      <c r="ER145" s="7">
        <v>11.3</v>
      </c>
      <c r="ES145" s="7">
        <v>4.6</v>
      </c>
      <c r="ET145" s="7">
        <v>67.0</v>
      </c>
      <c r="EU145" s="11">
        <f t="shared" si="18"/>
        <v>75.12468801</v>
      </c>
      <c r="EV145" s="11" t="str">
        <f t="shared" si="19"/>
        <v>C2</v>
      </c>
      <c r="EW145" s="7">
        <v>131.0</v>
      </c>
      <c r="EX145" s="7">
        <v>4.06</v>
      </c>
      <c r="EY145" s="9">
        <f t="shared" si="20"/>
        <v>-1.022608157</v>
      </c>
      <c r="EZ145" s="9">
        <f t="shared" si="21"/>
        <v>0.7354803253</v>
      </c>
      <c r="FA145" s="9" t="str">
        <f t="shared" si="22"/>
        <v>Неблагоприятный</v>
      </c>
      <c r="FB145" s="1" t="s">
        <v>150</v>
      </c>
      <c r="FC145" s="1" t="s">
        <v>445</v>
      </c>
    </row>
    <row r="146">
      <c r="A146" s="33">
        <v>145.0</v>
      </c>
      <c r="B146" s="7">
        <v>5.0</v>
      </c>
      <c r="C146" s="7">
        <v>10743.0</v>
      </c>
      <c r="D146" s="1" t="s">
        <v>445</v>
      </c>
      <c r="E146" s="7">
        <v>74.0</v>
      </c>
      <c r="F146" s="1" t="s">
        <v>161</v>
      </c>
      <c r="G146" s="7"/>
      <c r="H146" s="7">
        <v>14.0</v>
      </c>
      <c r="I146" s="1" t="s">
        <v>150</v>
      </c>
      <c r="J146" s="1" t="s">
        <v>150</v>
      </c>
      <c r="K146" s="9"/>
      <c r="L146" s="1" t="s">
        <v>154</v>
      </c>
      <c r="M146" s="1" t="s">
        <v>154</v>
      </c>
      <c r="N146" s="1" t="s">
        <v>459</v>
      </c>
      <c r="O146" s="1" t="s">
        <v>154</v>
      </c>
      <c r="P146" s="1" t="s">
        <v>154</v>
      </c>
      <c r="Q146" s="1" t="s">
        <v>154</v>
      </c>
      <c r="R146" s="7">
        <v>3.0</v>
      </c>
      <c r="S146" s="1" t="s">
        <v>150</v>
      </c>
      <c r="T146" s="9"/>
      <c r="U146" s="9"/>
      <c r="V146" s="9"/>
      <c r="W146" s="9"/>
      <c r="X146" s="1"/>
      <c r="Y146" s="1" t="s">
        <v>150</v>
      </c>
      <c r="Z146" s="9"/>
      <c r="AA146" s="9"/>
      <c r="AB146" s="9"/>
      <c r="AC146" s="9"/>
      <c r="AD146" s="1"/>
      <c r="AE146" s="1" t="s">
        <v>154</v>
      </c>
      <c r="AF146" s="7">
        <v>9.0</v>
      </c>
      <c r="AG146" s="1" t="s">
        <v>446</v>
      </c>
      <c r="AH146" s="1" t="s">
        <v>154</v>
      </c>
      <c r="AI146" s="1" t="s">
        <v>168</v>
      </c>
      <c r="AJ146" s="18"/>
      <c r="AK146" s="1" t="s">
        <v>5</v>
      </c>
      <c r="AL146" s="9"/>
      <c r="AM146" s="9"/>
      <c r="AN146" s="1">
        <v>15.0</v>
      </c>
      <c r="AO146" s="1" t="str">
        <f t="shared" si="2"/>
        <v>нет</v>
      </c>
      <c r="AP146" s="7">
        <v>150.0</v>
      </c>
      <c r="AQ146" s="7">
        <v>98.0</v>
      </c>
      <c r="AR146" s="9">
        <f t="shared" si="3"/>
        <v>43.55555556</v>
      </c>
      <c r="AS146" s="7" t="str">
        <f t="shared" si="4"/>
        <v>Ожирение III степени (морбидное)</v>
      </c>
      <c r="AT146" s="7">
        <v>155.0</v>
      </c>
      <c r="AU146" s="7">
        <v>80.0</v>
      </c>
      <c r="AV146" s="9"/>
      <c r="AW146" s="7">
        <v>95.0</v>
      </c>
      <c r="AX146" s="7">
        <v>37.0</v>
      </c>
      <c r="AY146" s="7">
        <v>22.0</v>
      </c>
      <c r="AZ146" s="7">
        <v>75.0</v>
      </c>
      <c r="BA146" s="10" t="str">
        <f t="shared" si="5"/>
        <v>да</v>
      </c>
      <c r="BB146" s="7">
        <v>95.0</v>
      </c>
      <c r="BC146" s="7">
        <v>60.0</v>
      </c>
      <c r="BD146" s="12">
        <f t="shared" si="6"/>
        <v>0.05681818182</v>
      </c>
      <c r="BE146" s="12">
        <f t="shared" si="7"/>
        <v>1</v>
      </c>
      <c r="BF146" s="12">
        <f t="shared" si="8"/>
        <v>6</v>
      </c>
      <c r="BG146" s="1" t="s">
        <v>154</v>
      </c>
      <c r="BH146" s="1" t="s">
        <v>175</v>
      </c>
      <c r="BI146" s="1" t="s">
        <v>154</v>
      </c>
      <c r="BJ146" s="1" t="s">
        <v>469</v>
      </c>
      <c r="BK146" s="1" t="s">
        <v>154</v>
      </c>
      <c r="BL146" s="1" t="s">
        <v>470</v>
      </c>
      <c r="BM146" s="1" t="s">
        <v>154</v>
      </c>
      <c r="BN146" s="1" t="s">
        <v>471</v>
      </c>
      <c r="BO146" s="1" t="s">
        <v>154</v>
      </c>
      <c r="BP146" s="1" t="s">
        <v>157</v>
      </c>
      <c r="BQ146" s="9"/>
      <c r="BR146" s="1" t="s">
        <v>154</v>
      </c>
      <c r="BS146" s="1" t="s">
        <v>472</v>
      </c>
      <c r="BT146" s="1">
        <v>24.0</v>
      </c>
      <c r="BU146" s="1" t="s">
        <v>170</v>
      </c>
      <c r="BV146" s="1">
        <v>16.0</v>
      </c>
      <c r="BW146" s="1" t="s">
        <v>154</v>
      </c>
      <c r="BX146" s="1" t="s">
        <v>154</v>
      </c>
      <c r="BY146" s="1" t="s">
        <v>245</v>
      </c>
      <c r="BZ146" s="1" t="s">
        <v>154</v>
      </c>
      <c r="CA146" s="1" t="s">
        <v>154</v>
      </c>
      <c r="CB146" s="1" t="s">
        <v>150</v>
      </c>
      <c r="CC146" s="1" t="s">
        <v>150</v>
      </c>
      <c r="CD146" s="1" t="s">
        <v>150</v>
      </c>
      <c r="CE146" s="1" t="s">
        <v>150</v>
      </c>
      <c r="CF146" s="1" t="s">
        <v>150</v>
      </c>
      <c r="CG146" s="1" t="s">
        <v>150</v>
      </c>
      <c r="CH146" s="1" t="s">
        <v>150</v>
      </c>
      <c r="CI146" s="1" t="s">
        <v>150</v>
      </c>
      <c r="CJ146" s="1" t="s">
        <v>154</v>
      </c>
      <c r="CK146" s="1" t="s">
        <v>150</v>
      </c>
      <c r="CL146" s="1" t="s">
        <v>273</v>
      </c>
      <c r="CM146" s="7">
        <v>5.4</v>
      </c>
      <c r="CN146" s="7">
        <v>78.8</v>
      </c>
      <c r="CO146" s="7">
        <f t="shared" si="23"/>
        <v>4.2552</v>
      </c>
      <c r="CP146" s="7">
        <v>12.0</v>
      </c>
      <c r="CQ146" s="7">
        <f t="shared" si="10"/>
        <v>0.510624</v>
      </c>
      <c r="CR146" s="7">
        <v>8.9</v>
      </c>
      <c r="CS146" s="7">
        <f t="shared" si="11"/>
        <v>0.045445536</v>
      </c>
      <c r="CT146" s="7">
        <v>0.0</v>
      </c>
      <c r="CU146" s="7">
        <f t="shared" si="12"/>
        <v>0</v>
      </c>
      <c r="CV146" s="7">
        <f t="shared" si="13"/>
        <v>8.333333333</v>
      </c>
      <c r="CW146" s="7">
        <v>4.98</v>
      </c>
      <c r="CX146" s="7">
        <v>143.0</v>
      </c>
      <c r="CY146" s="7" t="str">
        <f t="shared" si="14"/>
        <v>Норма</v>
      </c>
      <c r="CZ146" s="7" t="s">
        <v>456</v>
      </c>
      <c r="DA146" s="7">
        <v>293.0</v>
      </c>
      <c r="DB146" s="7">
        <v>176.5</v>
      </c>
      <c r="DC146" s="7">
        <v>44.58</v>
      </c>
      <c r="DD146" s="7">
        <v>96.0</v>
      </c>
      <c r="DE146" s="7"/>
      <c r="DF146" s="7">
        <v>1.0</v>
      </c>
      <c r="DG146" s="7"/>
      <c r="DH146" s="7">
        <v>2.0</v>
      </c>
      <c r="DI146" s="7"/>
      <c r="DJ146" s="7">
        <v>1.0</v>
      </c>
      <c r="DK146" s="7"/>
      <c r="DL146" s="7"/>
      <c r="DM146" s="7">
        <v>5.03</v>
      </c>
      <c r="DN146" s="7">
        <v>143.0</v>
      </c>
      <c r="DO146" s="7" t="str">
        <f t="shared" si="15"/>
        <v>Норма</v>
      </c>
      <c r="DP146" s="7">
        <v>22.0</v>
      </c>
      <c r="DQ146" s="7">
        <v>368.0</v>
      </c>
      <c r="DR146" s="1">
        <v>66.6</v>
      </c>
      <c r="DS146" s="7">
        <v>632.0</v>
      </c>
      <c r="DT146" s="7">
        <v>24.7</v>
      </c>
      <c r="DU146" s="7">
        <v>94.6</v>
      </c>
      <c r="DV146" s="7">
        <v>1.09</v>
      </c>
      <c r="DW146" s="1" t="s">
        <v>473</v>
      </c>
      <c r="DX146" s="7">
        <v>328.0</v>
      </c>
      <c r="DY146" s="7">
        <v>18.5</v>
      </c>
      <c r="DZ146" s="7">
        <v>10.8</v>
      </c>
      <c r="EA146" s="7">
        <v>0.92</v>
      </c>
      <c r="EB146" s="7"/>
      <c r="EC146" s="7">
        <v>19.28</v>
      </c>
      <c r="ED146" s="7">
        <v>10.47</v>
      </c>
      <c r="EE146" s="7">
        <v>25.0</v>
      </c>
      <c r="EF146" s="7">
        <v>44.3</v>
      </c>
      <c r="EG146" s="7">
        <v>74.2</v>
      </c>
      <c r="EH146" s="7">
        <v>11.1</v>
      </c>
      <c r="EI146" s="18"/>
      <c r="EJ146" s="7">
        <v>113.0</v>
      </c>
      <c r="EK146" s="34">
        <f t="shared" si="16"/>
        <v>41.36081019</v>
      </c>
      <c r="EL146" s="11" t="str">
        <f t="shared" si="17"/>
        <v>C3b</v>
      </c>
      <c r="EM146" s="18"/>
      <c r="EN146" s="18"/>
      <c r="EO146" s="7">
        <v>19.0</v>
      </c>
      <c r="EP146" s="7">
        <v>26.5</v>
      </c>
      <c r="EQ146" s="7">
        <v>53.0</v>
      </c>
      <c r="ER146" s="7">
        <v>7.1</v>
      </c>
      <c r="ES146" s="18"/>
      <c r="ET146" s="7">
        <v>377.0</v>
      </c>
      <c r="EU146" s="11">
        <f t="shared" si="18"/>
        <v>9.637495383</v>
      </c>
      <c r="EV146" s="11" t="str">
        <f t="shared" si="19"/>
        <v>C5</v>
      </c>
      <c r="EW146" s="7">
        <v>136.9</v>
      </c>
      <c r="EX146" s="7">
        <v>5.67</v>
      </c>
      <c r="EY146" s="9">
        <f t="shared" si="20"/>
        <v>-2.455167778</v>
      </c>
      <c r="EZ146" s="9">
        <f t="shared" si="21"/>
        <v>0.92093854</v>
      </c>
      <c r="FA146" s="9" t="str">
        <f t="shared" si="22"/>
        <v>Неблагоприятный</v>
      </c>
      <c r="FB146" s="1" t="s">
        <v>150</v>
      </c>
      <c r="FC146" s="1" t="s">
        <v>445</v>
      </c>
    </row>
    <row r="147">
      <c r="A147" s="33">
        <v>146.0</v>
      </c>
      <c r="B147" s="7">
        <v>6.0</v>
      </c>
      <c r="C147" s="7">
        <v>10530.0</v>
      </c>
      <c r="D147" s="1" t="s">
        <v>445</v>
      </c>
      <c r="E147" s="7">
        <v>27.0</v>
      </c>
      <c r="F147" s="1" t="s">
        <v>161</v>
      </c>
      <c r="G147" s="7"/>
      <c r="H147" s="7">
        <v>31.0</v>
      </c>
      <c r="I147" s="1" t="s">
        <v>466</v>
      </c>
      <c r="J147" s="1" t="s">
        <v>150</v>
      </c>
      <c r="K147" s="9"/>
      <c r="L147" s="1" t="s">
        <v>150</v>
      </c>
      <c r="M147" s="1" t="s">
        <v>150</v>
      </c>
      <c r="N147" s="9"/>
      <c r="O147" s="1" t="str">
        <f t="shared" ref="O147:O154" si="24">IF(EC147&gt;=6.1,IF(EC147&lt;7,"да","нет"),"нет")</f>
        <v>нет</v>
      </c>
      <c r="P147" s="1" t="s">
        <v>154</v>
      </c>
      <c r="Q147" s="1" t="s">
        <v>150</v>
      </c>
      <c r="R147" s="18"/>
      <c r="S147" s="1" t="s">
        <v>150</v>
      </c>
      <c r="T147" s="9"/>
      <c r="U147" s="9"/>
      <c r="V147" s="9"/>
      <c r="W147" s="9"/>
      <c r="X147" s="1"/>
      <c r="Y147" s="1" t="s">
        <v>150</v>
      </c>
      <c r="Z147" s="9"/>
      <c r="AA147" s="9"/>
      <c r="AB147" s="9"/>
      <c r="AC147" s="9"/>
      <c r="AD147" s="1" t="s">
        <v>474</v>
      </c>
      <c r="AE147" s="1" t="s">
        <v>154</v>
      </c>
      <c r="AF147" s="7">
        <v>28.0</v>
      </c>
      <c r="AG147" s="1" t="s">
        <v>446</v>
      </c>
      <c r="AH147" s="1" t="s">
        <v>154</v>
      </c>
      <c r="AI147" s="1" t="s">
        <v>260</v>
      </c>
      <c r="AJ147" s="7">
        <v>1.0</v>
      </c>
      <c r="AK147" s="1" t="s">
        <v>5</v>
      </c>
      <c r="AL147" s="9"/>
      <c r="AM147" s="9"/>
      <c r="AN147" s="1">
        <v>15.0</v>
      </c>
      <c r="AO147" s="1" t="str">
        <f t="shared" si="2"/>
        <v>нет</v>
      </c>
      <c r="AP147" s="7">
        <v>165.0</v>
      </c>
      <c r="AQ147" s="7">
        <v>90.0</v>
      </c>
      <c r="AR147" s="9">
        <f t="shared" si="3"/>
        <v>33.05785124</v>
      </c>
      <c r="AS147" s="7" t="str">
        <f t="shared" si="4"/>
        <v>Ожирение I степени</v>
      </c>
      <c r="AT147" s="7">
        <v>124.0</v>
      </c>
      <c r="AU147" s="7">
        <v>66.0</v>
      </c>
      <c r="AV147" s="9"/>
      <c r="AW147" s="7">
        <v>120.0</v>
      </c>
      <c r="AX147" s="7">
        <v>38.0</v>
      </c>
      <c r="AY147" s="7">
        <v>22.0</v>
      </c>
      <c r="AZ147" s="7">
        <v>78.0</v>
      </c>
      <c r="BA147" s="10" t="str">
        <f t="shared" si="5"/>
        <v>да</v>
      </c>
      <c r="BB147" s="7">
        <v>91.0</v>
      </c>
      <c r="BC147" s="7">
        <v>60.0</v>
      </c>
      <c r="BD147" s="12">
        <f t="shared" si="6"/>
        <v>0.05909090909</v>
      </c>
      <c r="BE147" s="12">
        <f t="shared" si="7"/>
        <v>1</v>
      </c>
      <c r="BF147" s="12">
        <f t="shared" si="8"/>
        <v>7</v>
      </c>
      <c r="BG147" s="1" t="s">
        <v>154</v>
      </c>
      <c r="BH147" s="1" t="s">
        <v>175</v>
      </c>
      <c r="BI147" s="1" t="s">
        <v>154</v>
      </c>
      <c r="BJ147" s="1" t="s">
        <v>475</v>
      </c>
      <c r="BK147" s="1" t="s">
        <v>150</v>
      </c>
      <c r="BL147" s="9"/>
      <c r="BM147" s="1" t="s">
        <v>154</v>
      </c>
      <c r="BN147" s="1" t="s">
        <v>476</v>
      </c>
      <c r="BO147" s="1" t="s">
        <v>154</v>
      </c>
      <c r="BP147" s="1" t="s">
        <v>170</v>
      </c>
      <c r="BQ147" s="7">
        <v>8.0</v>
      </c>
      <c r="BR147" s="1" t="s">
        <v>154</v>
      </c>
      <c r="BS147" s="1" t="s">
        <v>477</v>
      </c>
      <c r="BT147" s="1" t="s">
        <v>478</v>
      </c>
      <c r="BU147" s="1" t="s">
        <v>170</v>
      </c>
      <c r="BV147" s="1">
        <v>16.0</v>
      </c>
      <c r="BW147" s="1" t="s">
        <v>154</v>
      </c>
      <c r="BX147" s="1" t="s">
        <v>154</v>
      </c>
      <c r="BY147" s="1" t="s">
        <v>275</v>
      </c>
      <c r="BZ147" s="1" t="s">
        <v>154</v>
      </c>
      <c r="CA147" s="1" t="s">
        <v>150</v>
      </c>
      <c r="CB147" s="1" t="s">
        <v>150</v>
      </c>
      <c r="CC147" s="1" t="s">
        <v>150</v>
      </c>
      <c r="CD147" s="1" t="s">
        <v>154</v>
      </c>
      <c r="CE147" s="1" t="s">
        <v>150</v>
      </c>
      <c r="CF147" s="1" t="s">
        <v>150</v>
      </c>
      <c r="CG147" s="1" t="s">
        <v>154</v>
      </c>
      <c r="CH147" s="1" t="s">
        <v>150</v>
      </c>
      <c r="CI147" s="1" t="s">
        <v>150</v>
      </c>
      <c r="CJ147" s="1" t="s">
        <v>154</v>
      </c>
      <c r="CK147" s="1" t="s">
        <v>150</v>
      </c>
      <c r="CL147" s="1" t="s">
        <v>479</v>
      </c>
      <c r="CM147" s="7">
        <v>5.6</v>
      </c>
      <c r="CN147" s="7">
        <v>83.9</v>
      </c>
      <c r="CO147" s="7">
        <f t="shared" si="23"/>
        <v>4.6984</v>
      </c>
      <c r="CP147" s="7">
        <v>11.3</v>
      </c>
      <c r="CQ147" s="7">
        <f t="shared" si="10"/>
        <v>0.5309192</v>
      </c>
      <c r="CR147" s="7">
        <v>4.8</v>
      </c>
      <c r="CS147" s="7">
        <f t="shared" si="11"/>
        <v>0.0254841216</v>
      </c>
      <c r="CT147" s="7">
        <v>0.0</v>
      </c>
      <c r="CU147" s="7">
        <f t="shared" si="12"/>
        <v>0</v>
      </c>
      <c r="CV147" s="7">
        <f t="shared" si="13"/>
        <v>8.849557522</v>
      </c>
      <c r="CW147" s="7">
        <v>5.53</v>
      </c>
      <c r="CX147" s="7">
        <v>106.0</v>
      </c>
      <c r="CY147" s="7" t="str">
        <f t="shared" si="14"/>
        <v>Средняя степень</v>
      </c>
      <c r="CZ147" s="7">
        <v>46.0</v>
      </c>
      <c r="DA147" s="7">
        <v>212.0</v>
      </c>
      <c r="DB147" s="7">
        <v>73.1</v>
      </c>
      <c r="DC147" s="7">
        <v>5.57</v>
      </c>
      <c r="DD147" s="7">
        <v>81.8</v>
      </c>
      <c r="DE147" s="7"/>
      <c r="DF147" s="7">
        <v>15.3</v>
      </c>
      <c r="DG147" s="7"/>
      <c r="DH147" s="7">
        <v>1.1</v>
      </c>
      <c r="DI147" s="7"/>
      <c r="DJ147" s="7">
        <v>1.3</v>
      </c>
      <c r="DK147" s="7"/>
      <c r="DL147" s="7"/>
      <c r="DM147" s="7">
        <v>5.39</v>
      </c>
      <c r="DN147" s="7">
        <v>117.0</v>
      </c>
      <c r="DO147" s="7" t="str">
        <f t="shared" si="15"/>
        <v>Легкая степень</v>
      </c>
      <c r="DP147" s="7">
        <v>19.0</v>
      </c>
      <c r="DQ147" s="7">
        <v>271.0</v>
      </c>
      <c r="DR147" s="7">
        <v>2.7</v>
      </c>
      <c r="DS147" s="7">
        <v>635.0</v>
      </c>
      <c r="DT147" s="18"/>
      <c r="DU147" s="6">
        <v>12.5</v>
      </c>
      <c r="DV147" s="7">
        <v>1.07</v>
      </c>
      <c r="DW147" s="1" t="s">
        <v>458</v>
      </c>
      <c r="DX147" s="6">
        <v>162.0</v>
      </c>
      <c r="DY147" s="7" t="s">
        <v>456</v>
      </c>
      <c r="DZ147" s="6">
        <v>21.0</v>
      </c>
      <c r="EA147" s="6">
        <v>1.79</v>
      </c>
      <c r="EB147" s="7"/>
      <c r="EC147" s="7">
        <v>5.68</v>
      </c>
      <c r="ED147" s="7">
        <v>6.19</v>
      </c>
      <c r="EE147" s="7">
        <v>96.9</v>
      </c>
      <c r="EF147" s="7">
        <v>80.0</v>
      </c>
      <c r="EG147" s="7">
        <v>75.8</v>
      </c>
      <c r="EH147" s="7">
        <v>5.7</v>
      </c>
      <c r="EI147" s="7">
        <v>3.0</v>
      </c>
      <c r="EJ147" s="7">
        <v>88.0</v>
      </c>
      <c r="EK147" s="34">
        <f t="shared" si="16"/>
        <v>77.85143919</v>
      </c>
      <c r="EL147" s="11" t="str">
        <f t="shared" si="17"/>
        <v>C2</v>
      </c>
      <c r="EM147" s="7">
        <v>138.4</v>
      </c>
      <c r="EN147" s="7">
        <v>3.84</v>
      </c>
      <c r="EO147" s="7">
        <v>104.1</v>
      </c>
      <c r="EP147" s="7">
        <v>45.0</v>
      </c>
      <c r="EQ147" s="7">
        <v>66.0</v>
      </c>
      <c r="ER147" s="7">
        <v>13.1</v>
      </c>
      <c r="ES147" s="7">
        <v>5.8</v>
      </c>
      <c r="ET147" s="7">
        <v>74.0</v>
      </c>
      <c r="EU147" s="11">
        <f t="shared" si="18"/>
        <v>95.99421179</v>
      </c>
      <c r="EV147" s="11" t="str">
        <f t="shared" si="19"/>
        <v>C1</v>
      </c>
      <c r="EW147" s="7">
        <v>138.4</v>
      </c>
      <c r="EX147" s="7">
        <v>4.14</v>
      </c>
      <c r="EY147" s="9">
        <f t="shared" si="20"/>
        <v>1.512462479</v>
      </c>
      <c r="EZ147" s="9">
        <f t="shared" si="21"/>
        <v>0.1805741405</v>
      </c>
      <c r="FA147" s="9" t="str">
        <f t="shared" si="22"/>
        <v>Благоприятный</v>
      </c>
      <c r="FB147" s="1" t="s">
        <v>256</v>
      </c>
      <c r="FC147" s="1" t="s">
        <v>445</v>
      </c>
    </row>
    <row r="148">
      <c r="A148" s="33">
        <v>147.0</v>
      </c>
      <c r="B148" s="7">
        <v>7.0</v>
      </c>
      <c r="C148" s="7">
        <v>10552.0</v>
      </c>
      <c r="D148" s="1" t="s">
        <v>445</v>
      </c>
      <c r="E148" s="7">
        <v>58.0</v>
      </c>
      <c r="F148" s="1" t="s">
        <v>161</v>
      </c>
      <c r="G148" s="7"/>
      <c r="H148" s="7">
        <v>23.0</v>
      </c>
      <c r="I148" s="1" t="s">
        <v>150</v>
      </c>
      <c r="J148" s="1" t="s">
        <v>150</v>
      </c>
      <c r="K148" s="9"/>
      <c r="L148" s="1" t="s">
        <v>150</v>
      </c>
      <c r="M148" s="1" t="s">
        <v>154</v>
      </c>
      <c r="N148" s="1" t="s">
        <v>192</v>
      </c>
      <c r="O148" s="1" t="str">
        <f t="shared" si="24"/>
        <v>нет</v>
      </c>
      <c r="P148" s="1" t="s">
        <v>154</v>
      </c>
      <c r="Q148" s="1" t="s">
        <v>154</v>
      </c>
      <c r="R148" s="7">
        <v>3.0</v>
      </c>
      <c r="S148" s="1" t="s">
        <v>150</v>
      </c>
      <c r="T148" s="9"/>
      <c r="U148" s="9"/>
      <c r="V148" s="9"/>
      <c r="W148" s="9"/>
      <c r="X148" s="1"/>
      <c r="Y148" s="1" t="s">
        <v>150</v>
      </c>
      <c r="Z148" s="9"/>
      <c r="AA148" s="9"/>
      <c r="AB148" s="9"/>
      <c r="AC148" s="9"/>
      <c r="AD148" s="1" t="s">
        <v>480</v>
      </c>
      <c r="AE148" s="1" t="s">
        <v>154</v>
      </c>
      <c r="AF148" s="7">
        <v>22.0</v>
      </c>
      <c r="AG148" s="1" t="s">
        <v>446</v>
      </c>
      <c r="AH148" s="1" t="s">
        <v>154</v>
      </c>
      <c r="AI148" s="1" t="s">
        <v>260</v>
      </c>
      <c r="AJ148" s="7">
        <v>1.0</v>
      </c>
      <c r="AK148" s="1" t="s">
        <v>5</v>
      </c>
      <c r="AL148" s="9"/>
      <c r="AM148" s="9"/>
      <c r="AN148" s="1">
        <v>15.0</v>
      </c>
      <c r="AO148" s="1" t="str">
        <f t="shared" si="2"/>
        <v>нет</v>
      </c>
      <c r="AP148" s="7">
        <v>163.0</v>
      </c>
      <c r="AQ148" s="7">
        <v>86.0</v>
      </c>
      <c r="AR148" s="9">
        <f t="shared" si="3"/>
        <v>32.36854981</v>
      </c>
      <c r="AS148" s="7" t="str">
        <f t="shared" si="4"/>
        <v>Ожирение I степени</v>
      </c>
      <c r="AT148" s="7">
        <v>133.0</v>
      </c>
      <c r="AU148" s="7">
        <v>85.0</v>
      </c>
      <c r="AV148" s="9"/>
      <c r="AW148" s="7">
        <v>86.0</v>
      </c>
      <c r="AX148" s="7">
        <v>37.9</v>
      </c>
      <c r="AY148" s="7">
        <v>23.0</v>
      </c>
      <c r="AZ148" s="7">
        <v>70.0</v>
      </c>
      <c r="BA148" s="10" t="str">
        <f t="shared" si="5"/>
        <v>да</v>
      </c>
      <c r="BB148" s="7">
        <v>91.0</v>
      </c>
      <c r="BC148" s="7">
        <v>60.0</v>
      </c>
      <c r="BD148" s="12">
        <f t="shared" si="6"/>
        <v>0.05072463768</v>
      </c>
      <c r="BE148" s="12">
        <f t="shared" si="7"/>
        <v>1</v>
      </c>
      <c r="BF148" s="12">
        <f t="shared" si="8"/>
        <v>5</v>
      </c>
      <c r="BG148" s="1" t="s">
        <v>150</v>
      </c>
      <c r="BH148" s="9"/>
      <c r="BI148" s="1" t="s">
        <v>154</v>
      </c>
      <c r="BJ148" s="1" t="s">
        <v>475</v>
      </c>
      <c r="BK148" s="1" t="s">
        <v>154</v>
      </c>
      <c r="BL148" s="1" t="s">
        <v>189</v>
      </c>
      <c r="BM148" s="1" t="s">
        <v>154</v>
      </c>
      <c r="BN148" s="1" t="s">
        <v>155</v>
      </c>
      <c r="BO148" s="1" t="s">
        <v>154</v>
      </c>
      <c r="BP148" s="1" t="s">
        <v>157</v>
      </c>
      <c r="BQ148" s="9"/>
      <c r="BR148" s="1" t="s">
        <v>154</v>
      </c>
      <c r="BS148" s="1" t="s">
        <v>207</v>
      </c>
      <c r="BT148" s="7">
        <v>250.0</v>
      </c>
      <c r="BU148" s="1" t="s">
        <v>207</v>
      </c>
      <c r="BV148" s="1">
        <v>250.0</v>
      </c>
      <c r="BW148" s="1" t="s">
        <v>154</v>
      </c>
      <c r="BX148" s="1" t="s">
        <v>154</v>
      </c>
      <c r="BY148" s="1" t="s">
        <v>269</v>
      </c>
      <c r="BZ148" s="1" t="s">
        <v>154</v>
      </c>
      <c r="CA148" s="1" t="s">
        <v>154</v>
      </c>
      <c r="CB148" s="1" t="s">
        <v>150</v>
      </c>
      <c r="CC148" s="1" t="s">
        <v>150</v>
      </c>
      <c r="CD148" s="1" t="s">
        <v>154</v>
      </c>
      <c r="CE148" s="1" t="s">
        <v>150</v>
      </c>
      <c r="CF148" s="1" t="s">
        <v>150</v>
      </c>
      <c r="CG148" s="1" t="s">
        <v>150</v>
      </c>
      <c r="CH148" s="1" t="s">
        <v>150</v>
      </c>
      <c r="CI148" s="1" t="s">
        <v>150</v>
      </c>
      <c r="CJ148" s="1" t="s">
        <v>154</v>
      </c>
      <c r="CK148" s="1" t="s">
        <v>150</v>
      </c>
      <c r="CL148" s="1" t="s">
        <v>481</v>
      </c>
      <c r="CM148" s="7">
        <v>10.36</v>
      </c>
      <c r="CN148" s="7">
        <v>91.4</v>
      </c>
      <c r="CO148" s="7">
        <f t="shared" si="23"/>
        <v>9.46904</v>
      </c>
      <c r="CP148" s="7">
        <v>4.1</v>
      </c>
      <c r="CQ148" s="7">
        <f t="shared" si="10"/>
        <v>0.38823064</v>
      </c>
      <c r="CR148" s="7">
        <v>3.4</v>
      </c>
      <c r="CS148" s="7">
        <f t="shared" si="11"/>
        <v>0.01319984176</v>
      </c>
      <c r="CT148" s="7">
        <v>1.0</v>
      </c>
      <c r="CU148" s="7">
        <f t="shared" si="12"/>
        <v>0.0001319984176</v>
      </c>
      <c r="CV148" s="7">
        <f t="shared" si="13"/>
        <v>24.3902439</v>
      </c>
      <c r="CW148" s="7">
        <v>4.31</v>
      </c>
      <c r="CX148" s="7">
        <v>125.0</v>
      </c>
      <c r="CY148" s="7" t="str">
        <f t="shared" si="14"/>
        <v>Легкая степень</v>
      </c>
      <c r="CZ148" s="7" t="s">
        <v>456</v>
      </c>
      <c r="DA148" s="7">
        <v>140.0</v>
      </c>
      <c r="DB148" s="7">
        <v>68.0</v>
      </c>
      <c r="DC148" s="7">
        <v>17.18</v>
      </c>
      <c r="DD148" s="7">
        <v>94.0</v>
      </c>
      <c r="DE148" s="7"/>
      <c r="DF148" s="7">
        <v>2.0</v>
      </c>
      <c r="DG148" s="7"/>
      <c r="DH148" s="7">
        <v>3.6</v>
      </c>
      <c r="DI148" s="7"/>
      <c r="DJ148" s="7">
        <v>0.1</v>
      </c>
      <c r="DK148" s="7"/>
      <c r="DL148" s="7"/>
      <c r="DM148" s="7">
        <v>3.31</v>
      </c>
      <c r="DN148" s="7">
        <v>96.0</v>
      </c>
      <c r="DO148" s="7" t="str">
        <f t="shared" si="15"/>
        <v>Средняя степень</v>
      </c>
      <c r="DP148" s="7">
        <v>5.0</v>
      </c>
      <c r="DQ148" s="7">
        <v>95.0</v>
      </c>
      <c r="DR148" s="7">
        <v>9.0</v>
      </c>
      <c r="DS148" s="1">
        <v>600.3</v>
      </c>
      <c r="DT148" s="1">
        <v>20.7</v>
      </c>
      <c r="DU148" s="1">
        <v>11.5</v>
      </c>
      <c r="DV148" s="1">
        <v>0.98</v>
      </c>
      <c r="DW148" s="1" t="s">
        <v>458</v>
      </c>
      <c r="DX148" s="1">
        <v>346.0</v>
      </c>
      <c r="DY148" s="1">
        <v>29.0</v>
      </c>
      <c r="DZ148" s="1">
        <v>10.2</v>
      </c>
      <c r="EA148" s="1">
        <v>0.87</v>
      </c>
      <c r="EB148" s="7"/>
      <c r="EC148" s="7">
        <v>9.11</v>
      </c>
      <c r="ED148" s="7">
        <v>10.44</v>
      </c>
      <c r="EE148" s="7">
        <v>55.22</v>
      </c>
      <c r="EF148" s="7">
        <v>51.0</v>
      </c>
      <c r="EG148" s="7">
        <v>66.1</v>
      </c>
      <c r="EH148" s="7">
        <v>3.39</v>
      </c>
      <c r="EI148" s="18"/>
      <c r="EJ148" s="7">
        <v>57.94</v>
      </c>
      <c r="EK148" s="34">
        <f t="shared" si="16"/>
        <v>97.91860211</v>
      </c>
      <c r="EL148" s="11" t="str">
        <f t="shared" si="17"/>
        <v>C1</v>
      </c>
      <c r="EM148" s="7">
        <v>137.7</v>
      </c>
      <c r="EN148" s="7">
        <v>4.5</v>
      </c>
      <c r="EO148" s="7">
        <v>46.1</v>
      </c>
      <c r="EP148" s="7">
        <v>87.6</v>
      </c>
      <c r="EQ148" s="7">
        <v>40.5</v>
      </c>
      <c r="ER148" s="7">
        <v>9.3</v>
      </c>
      <c r="ES148" s="7">
        <v>5.4</v>
      </c>
      <c r="ET148" s="7">
        <v>316.0</v>
      </c>
      <c r="EU148" s="11">
        <f t="shared" si="18"/>
        <v>13.34907634</v>
      </c>
      <c r="EV148" s="11" t="str">
        <f t="shared" si="19"/>
        <v>C5</v>
      </c>
      <c r="EW148" s="7">
        <v>135.7</v>
      </c>
      <c r="EX148" s="7">
        <v>6.24</v>
      </c>
      <c r="EY148" s="9">
        <f t="shared" si="20"/>
        <v>0.6485433969</v>
      </c>
      <c r="EZ148" s="9">
        <f t="shared" si="21"/>
        <v>0.3433178545</v>
      </c>
      <c r="FA148" s="9" t="str">
        <f t="shared" si="22"/>
        <v>Благоприятный</v>
      </c>
      <c r="FB148" s="1" t="s">
        <v>256</v>
      </c>
      <c r="FC148" s="1" t="s">
        <v>445</v>
      </c>
    </row>
    <row r="149">
      <c r="A149" s="33">
        <v>148.0</v>
      </c>
      <c r="B149" s="7">
        <v>8.0</v>
      </c>
      <c r="C149" s="7">
        <v>10595.0</v>
      </c>
      <c r="D149" s="1" t="s">
        <v>445</v>
      </c>
      <c r="E149" s="7">
        <v>67.0</v>
      </c>
      <c r="F149" s="1" t="s">
        <v>149</v>
      </c>
      <c r="G149" s="7"/>
      <c r="H149" s="7">
        <v>22.0</v>
      </c>
      <c r="I149" s="1" t="s">
        <v>150</v>
      </c>
      <c r="J149" s="1" t="s">
        <v>150</v>
      </c>
      <c r="K149" s="9"/>
      <c r="L149" s="1" t="s">
        <v>150</v>
      </c>
      <c r="M149" s="1" t="s">
        <v>154</v>
      </c>
      <c r="N149" s="1" t="s">
        <v>192</v>
      </c>
      <c r="O149" s="1" t="str">
        <f t="shared" si="24"/>
        <v>нет</v>
      </c>
      <c r="P149" s="1" t="s">
        <v>154</v>
      </c>
      <c r="Q149" s="1" t="s">
        <v>154</v>
      </c>
      <c r="R149" s="7">
        <v>3.0</v>
      </c>
      <c r="S149" s="1" t="s">
        <v>150</v>
      </c>
      <c r="T149" s="9"/>
      <c r="U149" s="9"/>
      <c r="V149" s="9"/>
      <c r="W149" s="9"/>
      <c r="X149" s="1"/>
      <c r="Y149" s="1" t="s">
        <v>150</v>
      </c>
      <c r="Z149" s="9"/>
      <c r="AA149" s="9"/>
      <c r="AB149" s="9"/>
      <c r="AC149" s="9"/>
      <c r="AD149" s="1" t="s">
        <v>482</v>
      </c>
      <c r="AE149" s="1" t="s">
        <v>154</v>
      </c>
      <c r="AF149" s="1">
        <v>22.0</v>
      </c>
      <c r="AG149" s="1" t="s">
        <v>446</v>
      </c>
      <c r="AH149" s="1" t="s">
        <v>154</v>
      </c>
      <c r="AI149" s="1" t="s">
        <v>260</v>
      </c>
      <c r="AJ149" s="7">
        <v>1.0</v>
      </c>
      <c r="AK149" s="1" t="s">
        <v>5</v>
      </c>
      <c r="AL149" s="9"/>
      <c r="AM149" s="9"/>
      <c r="AN149" s="1">
        <v>15.0</v>
      </c>
      <c r="AO149" s="1" t="str">
        <f t="shared" si="2"/>
        <v>нет</v>
      </c>
      <c r="AP149" s="7">
        <v>177.0</v>
      </c>
      <c r="AQ149" s="7">
        <v>90.0</v>
      </c>
      <c r="AR149" s="9">
        <f t="shared" si="3"/>
        <v>28.72737719</v>
      </c>
      <c r="AS149" s="7" t="str">
        <f t="shared" si="4"/>
        <v>Избыточный вес (предожирение)</v>
      </c>
      <c r="AT149" s="7">
        <v>160.0</v>
      </c>
      <c r="AU149" s="7">
        <v>88.0</v>
      </c>
      <c r="AV149" s="9"/>
      <c r="AW149" s="7">
        <v>86.0</v>
      </c>
      <c r="AX149" s="7">
        <v>38.5</v>
      </c>
      <c r="AY149" s="7">
        <v>25.0</v>
      </c>
      <c r="AZ149" s="7">
        <v>75.0</v>
      </c>
      <c r="BA149" s="10" t="str">
        <f t="shared" si="5"/>
        <v>да</v>
      </c>
      <c r="BB149" s="7">
        <v>93.0</v>
      </c>
      <c r="BC149" s="7">
        <v>60.0</v>
      </c>
      <c r="BD149" s="12">
        <f t="shared" si="6"/>
        <v>0.05</v>
      </c>
      <c r="BE149" s="12">
        <f t="shared" si="7"/>
        <v>1</v>
      </c>
      <c r="BF149" s="12">
        <f t="shared" si="8"/>
        <v>7</v>
      </c>
      <c r="BG149" s="1" t="s">
        <v>154</v>
      </c>
      <c r="BH149" s="1" t="s">
        <v>175</v>
      </c>
      <c r="BI149" s="1" t="s">
        <v>154</v>
      </c>
      <c r="BJ149" s="1" t="s">
        <v>175</v>
      </c>
      <c r="BK149" s="1" t="s">
        <v>154</v>
      </c>
      <c r="BL149" s="1" t="s">
        <v>189</v>
      </c>
      <c r="BM149" s="1" t="s">
        <v>154</v>
      </c>
      <c r="BN149" s="1" t="s">
        <v>155</v>
      </c>
      <c r="BO149" s="1" t="s">
        <v>150</v>
      </c>
      <c r="BP149" s="9"/>
      <c r="BQ149" s="9"/>
      <c r="BR149" s="1" t="s">
        <v>154</v>
      </c>
      <c r="BS149" s="1" t="s">
        <v>483</v>
      </c>
      <c r="BT149" s="1" t="s">
        <v>484</v>
      </c>
      <c r="BU149" s="1" t="s">
        <v>170</v>
      </c>
      <c r="BV149" s="1">
        <v>16.0</v>
      </c>
      <c r="BW149" s="1" t="s">
        <v>154</v>
      </c>
      <c r="BX149" s="1" t="s">
        <v>154</v>
      </c>
      <c r="BY149" s="1" t="s">
        <v>239</v>
      </c>
      <c r="BZ149" s="1" t="s">
        <v>154</v>
      </c>
      <c r="CA149" s="1" t="s">
        <v>150</v>
      </c>
      <c r="CB149" s="1" t="s">
        <v>150</v>
      </c>
      <c r="CC149" s="1" t="s">
        <v>150</v>
      </c>
      <c r="CD149" s="1" t="s">
        <v>150</v>
      </c>
      <c r="CE149" s="1" t="s">
        <v>150</v>
      </c>
      <c r="CF149" s="1" t="s">
        <v>150</v>
      </c>
      <c r="CG149" s="1" t="s">
        <v>150</v>
      </c>
      <c r="CH149" s="1" t="s">
        <v>150</v>
      </c>
      <c r="CI149" s="1" t="s">
        <v>150</v>
      </c>
      <c r="CJ149" s="1" t="s">
        <v>150</v>
      </c>
      <c r="CK149" s="1" t="s">
        <v>150</v>
      </c>
      <c r="CL149" s="1" t="s">
        <v>273</v>
      </c>
      <c r="CM149" s="7">
        <v>6.4</v>
      </c>
      <c r="CN149" s="7">
        <v>88.1</v>
      </c>
      <c r="CO149" s="7">
        <f t="shared" si="23"/>
        <v>5.6384</v>
      </c>
      <c r="CP149" s="7">
        <v>7.5</v>
      </c>
      <c r="CQ149" s="7">
        <f t="shared" si="10"/>
        <v>0.42288</v>
      </c>
      <c r="CR149" s="7">
        <v>4.1</v>
      </c>
      <c r="CS149" s="7">
        <f t="shared" si="11"/>
        <v>0.01733808</v>
      </c>
      <c r="CT149" s="7">
        <v>0.0</v>
      </c>
      <c r="CU149" s="7">
        <f t="shared" si="12"/>
        <v>0</v>
      </c>
      <c r="CV149" s="7">
        <f t="shared" si="13"/>
        <v>13.33333333</v>
      </c>
      <c r="CW149" s="7">
        <v>5.3</v>
      </c>
      <c r="CX149" s="7">
        <v>151.0</v>
      </c>
      <c r="CY149" s="7" t="str">
        <f t="shared" si="14"/>
        <v>Норма</v>
      </c>
      <c r="CZ149" s="7" t="s">
        <v>456</v>
      </c>
      <c r="DA149" s="7">
        <v>191.0</v>
      </c>
      <c r="DB149" s="7">
        <v>117.6</v>
      </c>
      <c r="DC149" s="7">
        <v>2.9</v>
      </c>
      <c r="DD149" s="7">
        <v>90.7</v>
      </c>
      <c r="DE149" s="7"/>
      <c r="DF149" s="7">
        <v>7.2</v>
      </c>
      <c r="DG149" s="7"/>
      <c r="DH149" s="7">
        <v>2.1</v>
      </c>
      <c r="DI149" s="7"/>
      <c r="DJ149" s="7">
        <v>0.0</v>
      </c>
      <c r="DK149" s="7"/>
      <c r="DL149" s="7"/>
      <c r="DM149" s="7">
        <v>3.67</v>
      </c>
      <c r="DN149" s="7">
        <v>102.0</v>
      </c>
      <c r="DO149" s="7" t="str">
        <f t="shared" si="15"/>
        <v>Средняя степень</v>
      </c>
      <c r="DP149" s="7" t="s">
        <v>456</v>
      </c>
      <c r="DQ149" s="7">
        <v>8.0</v>
      </c>
      <c r="DR149" s="7">
        <v>226.1</v>
      </c>
      <c r="DS149" s="7">
        <v>930.0</v>
      </c>
      <c r="DT149" s="7">
        <v>30.7</v>
      </c>
      <c r="DU149" s="7">
        <v>14.9</v>
      </c>
      <c r="DV149" s="7">
        <v>1.27</v>
      </c>
      <c r="DW149" s="1" t="s">
        <v>458</v>
      </c>
      <c r="DX149" s="7">
        <v>255.0</v>
      </c>
      <c r="DY149" s="7">
        <v>25.8</v>
      </c>
      <c r="DZ149" s="7">
        <v>10.7</v>
      </c>
      <c r="EA149" s="7">
        <v>0.91</v>
      </c>
      <c r="EB149" s="7"/>
      <c r="EC149" s="7">
        <v>9.13</v>
      </c>
      <c r="ED149" s="7">
        <v>9.38</v>
      </c>
      <c r="EE149" s="7">
        <v>31.7</v>
      </c>
      <c r="EF149" s="7">
        <v>36.7</v>
      </c>
      <c r="EG149" s="7">
        <v>68.2</v>
      </c>
      <c r="EH149" s="7">
        <v>14.4</v>
      </c>
      <c r="EI149" s="7">
        <v>5.5</v>
      </c>
      <c r="EJ149" s="7">
        <v>105.0</v>
      </c>
      <c r="EK149" s="34">
        <f t="shared" si="16"/>
        <v>47.47864033</v>
      </c>
      <c r="EL149" s="11" t="str">
        <f t="shared" si="17"/>
        <v>C3a</v>
      </c>
      <c r="EM149" s="7">
        <v>130.4</v>
      </c>
      <c r="EN149" s="7">
        <v>4.71</v>
      </c>
      <c r="EO149" s="7">
        <v>19.6</v>
      </c>
      <c r="EP149" s="7">
        <v>16.7</v>
      </c>
      <c r="EQ149" s="7">
        <v>47.4</v>
      </c>
      <c r="ER149" s="7">
        <v>12.4</v>
      </c>
      <c r="ES149" s="7">
        <v>9.6</v>
      </c>
      <c r="ET149" s="7">
        <v>272.0</v>
      </c>
      <c r="EU149" s="11">
        <f t="shared" si="18"/>
        <v>15.0218123</v>
      </c>
      <c r="EV149" s="11" t="str">
        <f t="shared" si="19"/>
        <v>C4</v>
      </c>
      <c r="EW149" s="7">
        <v>143.1</v>
      </c>
      <c r="EX149" s="7">
        <v>6.2</v>
      </c>
      <c r="EY149" s="9">
        <f t="shared" si="20"/>
        <v>-0.2645968199</v>
      </c>
      <c r="EZ149" s="9">
        <f t="shared" si="21"/>
        <v>0.5657659543</v>
      </c>
      <c r="FA149" s="9" t="str">
        <f t="shared" si="22"/>
        <v>Неблагоприятный</v>
      </c>
      <c r="FB149" s="1" t="s">
        <v>150</v>
      </c>
      <c r="FC149" s="1" t="s">
        <v>445</v>
      </c>
    </row>
    <row r="150">
      <c r="A150" s="33">
        <v>149.0</v>
      </c>
      <c r="B150" s="7">
        <v>9.0</v>
      </c>
      <c r="C150" s="7">
        <v>10586.0</v>
      </c>
      <c r="D150" s="1" t="s">
        <v>445</v>
      </c>
      <c r="E150" s="7">
        <v>68.0</v>
      </c>
      <c r="F150" s="1" t="s">
        <v>161</v>
      </c>
      <c r="G150" s="7"/>
      <c r="H150" s="7">
        <v>14.0</v>
      </c>
      <c r="I150" s="1" t="s">
        <v>154</v>
      </c>
      <c r="J150" s="1" t="s">
        <v>150</v>
      </c>
      <c r="K150" s="9"/>
      <c r="L150" s="1" t="s">
        <v>150</v>
      </c>
      <c r="M150" s="1" t="s">
        <v>150</v>
      </c>
      <c r="N150" s="9"/>
      <c r="O150" s="1" t="str">
        <f t="shared" si="24"/>
        <v>да</v>
      </c>
      <c r="P150" s="1" t="s">
        <v>150</v>
      </c>
      <c r="Q150" s="1" t="s">
        <v>154</v>
      </c>
      <c r="R150" s="7">
        <v>3.0</v>
      </c>
      <c r="S150" s="1" t="s">
        <v>154</v>
      </c>
      <c r="T150" s="1" t="s">
        <v>485</v>
      </c>
      <c r="U150" s="1"/>
      <c r="V150" s="1"/>
      <c r="W150" s="1"/>
      <c r="X150" s="1"/>
      <c r="Y150" s="1" t="s">
        <v>150</v>
      </c>
      <c r="Z150" s="9"/>
      <c r="AA150" s="9"/>
      <c r="AB150" s="9"/>
      <c r="AC150" s="9"/>
      <c r="AD150" s="1"/>
      <c r="AE150" s="1" t="s">
        <v>154</v>
      </c>
      <c r="AF150" s="7">
        <v>12.0</v>
      </c>
      <c r="AG150" s="1" t="s">
        <v>446</v>
      </c>
      <c r="AH150" s="1" t="s">
        <v>154</v>
      </c>
      <c r="AI150" s="1" t="s">
        <v>168</v>
      </c>
      <c r="AJ150" s="7">
        <v>1.0</v>
      </c>
      <c r="AK150" s="1" t="s">
        <v>5</v>
      </c>
      <c r="AL150" s="9"/>
      <c r="AM150" s="9"/>
      <c r="AN150" s="1">
        <v>15.0</v>
      </c>
      <c r="AO150" s="1" t="str">
        <f t="shared" si="2"/>
        <v>нет</v>
      </c>
      <c r="AP150" s="7">
        <v>150.0</v>
      </c>
      <c r="AQ150" s="7">
        <v>90.0</v>
      </c>
      <c r="AR150" s="9">
        <f t="shared" si="3"/>
        <v>40</v>
      </c>
      <c r="AS150" s="7" t="str">
        <f t="shared" si="4"/>
        <v>Ожирение III степени (морбидное)</v>
      </c>
      <c r="AT150" s="7">
        <v>180.0</v>
      </c>
      <c r="AU150" s="7">
        <v>100.0</v>
      </c>
      <c r="AV150" s="9"/>
      <c r="AW150" s="7">
        <v>65.0</v>
      </c>
      <c r="AX150" s="7">
        <v>38.0</v>
      </c>
      <c r="AY150" s="7">
        <v>26.0</v>
      </c>
      <c r="AZ150" s="7">
        <v>80.0</v>
      </c>
      <c r="BA150" s="10" t="str">
        <f t="shared" si="5"/>
        <v>да</v>
      </c>
      <c r="BB150" s="7">
        <v>94.0</v>
      </c>
      <c r="BC150" s="7">
        <v>60.0</v>
      </c>
      <c r="BD150" s="12">
        <f t="shared" si="6"/>
        <v>0.05128205128</v>
      </c>
      <c r="BE150" s="12">
        <f t="shared" si="7"/>
        <v>1</v>
      </c>
      <c r="BF150" s="12">
        <f t="shared" si="8"/>
        <v>6</v>
      </c>
      <c r="BG150" s="1" t="s">
        <v>154</v>
      </c>
      <c r="BH150" s="1" t="s">
        <v>175</v>
      </c>
      <c r="BI150" s="1" t="s">
        <v>154</v>
      </c>
      <c r="BJ150" s="1" t="s">
        <v>486</v>
      </c>
      <c r="BK150" s="1" t="s">
        <v>150</v>
      </c>
      <c r="BL150" s="9"/>
      <c r="BM150" s="1" t="s">
        <v>154</v>
      </c>
      <c r="BN150" s="1" t="s">
        <v>155</v>
      </c>
      <c r="BO150" s="1" t="s">
        <v>154</v>
      </c>
      <c r="BP150" s="1" t="s">
        <v>487</v>
      </c>
      <c r="BQ150" s="1" t="s">
        <v>488</v>
      </c>
      <c r="BR150" s="1" t="s">
        <v>154</v>
      </c>
      <c r="BS150" s="1" t="s">
        <v>191</v>
      </c>
      <c r="BT150" s="1" t="s">
        <v>489</v>
      </c>
      <c r="BU150" s="1" t="s">
        <v>207</v>
      </c>
      <c r="BV150" s="1">
        <v>250.0</v>
      </c>
      <c r="BW150" s="1" t="s">
        <v>154</v>
      </c>
      <c r="BX150" s="1" t="s">
        <v>154</v>
      </c>
      <c r="BY150" s="1" t="s">
        <v>490</v>
      </c>
      <c r="BZ150" s="1" t="s">
        <v>154</v>
      </c>
      <c r="CA150" s="1" t="s">
        <v>154</v>
      </c>
      <c r="CB150" s="1" t="s">
        <v>154</v>
      </c>
      <c r="CC150" s="1" t="s">
        <v>154</v>
      </c>
      <c r="CD150" s="1" t="s">
        <v>154</v>
      </c>
      <c r="CE150" s="1" t="s">
        <v>150</v>
      </c>
      <c r="CF150" s="1" t="s">
        <v>240</v>
      </c>
      <c r="CG150" s="1" t="s">
        <v>150</v>
      </c>
      <c r="CH150" s="1" t="s">
        <v>150</v>
      </c>
      <c r="CI150" s="1" t="s">
        <v>150</v>
      </c>
      <c r="CJ150" s="1" t="s">
        <v>154</v>
      </c>
      <c r="CK150" s="1" t="s">
        <v>150</v>
      </c>
      <c r="CL150" s="1" t="s">
        <v>491</v>
      </c>
      <c r="CM150" s="7">
        <v>7.9</v>
      </c>
      <c r="CN150" s="7">
        <v>89.6</v>
      </c>
      <c r="CO150" s="7">
        <f t="shared" si="23"/>
        <v>7.0784</v>
      </c>
      <c r="CP150" s="7">
        <v>5.1</v>
      </c>
      <c r="CQ150" s="7">
        <f t="shared" si="10"/>
        <v>0.3609984</v>
      </c>
      <c r="CR150" s="7">
        <v>5.1</v>
      </c>
      <c r="CS150" s="7">
        <f t="shared" si="11"/>
        <v>0.0184109184</v>
      </c>
      <c r="CT150" s="7">
        <v>0.0</v>
      </c>
      <c r="CU150" s="7">
        <f t="shared" si="12"/>
        <v>0</v>
      </c>
      <c r="CV150" s="7">
        <f t="shared" si="13"/>
        <v>19.60784314</v>
      </c>
      <c r="CW150" s="7">
        <v>4.87</v>
      </c>
      <c r="CX150" s="7">
        <v>133.0</v>
      </c>
      <c r="CY150" s="7" t="str">
        <f t="shared" si="14"/>
        <v>Норма</v>
      </c>
      <c r="CZ150" s="7">
        <v>36.0</v>
      </c>
      <c r="DA150" s="7">
        <v>202.0</v>
      </c>
      <c r="DB150" s="7">
        <v>35.8</v>
      </c>
      <c r="DC150" s="7">
        <v>10.5</v>
      </c>
      <c r="DD150" s="7">
        <v>94.0</v>
      </c>
      <c r="DE150" s="7"/>
      <c r="DF150" s="7">
        <v>3.5</v>
      </c>
      <c r="DG150" s="7"/>
      <c r="DH150" s="7">
        <v>1.9</v>
      </c>
      <c r="DI150" s="7"/>
      <c r="DJ150" s="7">
        <v>0.0</v>
      </c>
      <c r="DK150" s="7"/>
      <c r="DL150" s="7"/>
      <c r="DM150" s="7">
        <v>5.62</v>
      </c>
      <c r="DN150" s="7">
        <v>150.0</v>
      </c>
      <c r="DO150" s="7" t="str">
        <f t="shared" si="15"/>
        <v>Норма</v>
      </c>
      <c r="DP150" s="1">
        <v>6.0</v>
      </c>
      <c r="DQ150" s="7">
        <v>150.0</v>
      </c>
      <c r="DR150" s="7">
        <v>19.7</v>
      </c>
      <c r="DS150" s="7">
        <v>590.0</v>
      </c>
      <c r="DT150" s="18"/>
      <c r="DU150" s="7">
        <v>12.5</v>
      </c>
      <c r="DV150" s="7">
        <v>1.07</v>
      </c>
      <c r="DW150" s="1" t="s">
        <v>492</v>
      </c>
      <c r="DX150" s="7">
        <v>178.0</v>
      </c>
      <c r="DY150" s="7">
        <v>28.3</v>
      </c>
      <c r="DZ150" s="7">
        <v>12.5</v>
      </c>
      <c r="EA150" s="7">
        <v>1.07</v>
      </c>
      <c r="EB150" s="7"/>
      <c r="EC150" s="7">
        <v>6.82</v>
      </c>
      <c r="ED150" s="7">
        <v>7.61</v>
      </c>
      <c r="EE150" s="7">
        <v>30.7</v>
      </c>
      <c r="EF150" s="7">
        <v>34.7</v>
      </c>
      <c r="EG150" s="7">
        <v>70.3</v>
      </c>
      <c r="EH150" s="7">
        <v>10.0</v>
      </c>
      <c r="EI150" s="7">
        <v>4.4</v>
      </c>
      <c r="EJ150" s="7">
        <v>75.0</v>
      </c>
      <c r="EK150" s="34">
        <f t="shared" si="16"/>
        <v>70.81354188</v>
      </c>
      <c r="EL150" s="11" t="str">
        <f t="shared" si="17"/>
        <v>C2</v>
      </c>
      <c r="EM150" s="7">
        <v>142.3</v>
      </c>
      <c r="EN150" s="7">
        <v>3.67</v>
      </c>
      <c r="EO150" s="7">
        <v>540.0</v>
      </c>
      <c r="EP150" s="7">
        <v>482.1</v>
      </c>
      <c r="EQ150" s="7">
        <v>50.5</v>
      </c>
      <c r="ER150" s="7">
        <v>11.7</v>
      </c>
      <c r="ES150" s="7">
        <v>6.3</v>
      </c>
      <c r="ET150" s="7">
        <v>101.0</v>
      </c>
      <c r="EU150" s="11">
        <f t="shared" si="18"/>
        <v>49.41295695</v>
      </c>
      <c r="EV150" s="11" t="str">
        <f t="shared" si="19"/>
        <v>C3a</v>
      </c>
      <c r="EW150" s="7">
        <v>138.5</v>
      </c>
      <c r="EX150" s="7">
        <v>3.64</v>
      </c>
      <c r="EY150" s="9">
        <f t="shared" si="20"/>
        <v>-1.20573</v>
      </c>
      <c r="EZ150" s="9">
        <f t="shared" si="21"/>
        <v>0.7695425499</v>
      </c>
      <c r="FA150" s="9" t="str">
        <f t="shared" si="22"/>
        <v>Неблагоприятный</v>
      </c>
      <c r="FB150" s="1" t="s">
        <v>150</v>
      </c>
      <c r="FC150" s="1" t="s">
        <v>445</v>
      </c>
    </row>
    <row r="151">
      <c r="A151" s="33">
        <v>150.0</v>
      </c>
      <c r="B151" s="7">
        <v>10.0</v>
      </c>
      <c r="C151" s="7">
        <v>8528.0</v>
      </c>
      <c r="D151" s="1" t="s">
        <v>445</v>
      </c>
      <c r="E151" s="7">
        <v>73.0</v>
      </c>
      <c r="F151" s="1" t="s">
        <v>149</v>
      </c>
      <c r="G151" s="7"/>
      <c r="H151" s="7">
        <v>68.0</v>
      </c>
      <c r="I151" s="1" t="s">
        <v>154</v>
      </c>
      <c r="J151" s="1" t="s">
        <v>150</v>
      </c>
      <c r="K151" s="9"/>
      <c r="L151" s="1" t="s">
        <v>150</v>
      </c>
      <c r="M151" s="1" t="s">
        <v>150</v>
      </c>
      <c r="N151" s="9"/>
      <c r="O151" s="1" t="str">
        <f t="shared" si="24"/>
        <v>да</v>
      </c>
      <c r="P151" s="1" t="s">
        <v>150</v>
      </c>
      <c r="Q151" s="1" t="s">
        <v>154</v>
      </c>
      <c r="R151" s="7">
        <v>3.0</v>
      </c>
      <c r="S151" s="1" t="s">
        <v>150</v>
      </c>
      <c r="T151" s="9"/>
      <c r="U151" s="9"/>
      <c r="V151" s="9"/>
      <c r="W151" s="9"/>
      <c r="X151" s="1"/>
      <c r="Y151" s="1" t="s">
        <v>150</v>
      </c>
      <c r="Z151" s="9"/>
      <c r="AA151" s="9"/>
      <c r="AB151" s="9"/>
      <c r="AC151" s="9"/>
      <c r="AD151" s="1" t="s">
        <v>493</v>
      </c>
      <c r="AE151" s="1" t="s">
        <v>154</v>
      </c>
      <c r="AF151" s="7">
        <v>1.0</v>
      </c>
      <c r="AG151" s="1" t="s">
        <v>446</v>
      </c>
      <c r="AH151" s="1" t="s">
        <v>154</v>
      </c>
      <c r="AI151" s="1" t="s">
        <v>168</v>
      </c>
      <c r="AJ151" s="7">
        <v>1.0</v>
      </c>
      <c r="AK151" s="1" t="s">
        <v>5</v>
      </c>
      <c r="AL151" s="9"/>
      <c r="AM151" s="9"/>
      <c r="AN151" s="1">
        <v>15.0</v>
      </c>
      <c r="AO151" s="1" t="str">
        <f t="shared" si="2"/>
        <v>нет</v>
      </c>
      <c r="AP151" s="7">
        <v>182.0</v>
      </c>
      <c r="AQ151" s="7">
        <v>85.0</v>
      </c>
      <c r="AR151" s="9">
        <f t="shared" si="3"/>
        <v>25.66115203</v>
      </c>
      <c r="AS151" s="7" t="str">
        <f t="shared" si="4"/>
        <v>Избыточный вес (предожирение)</v>
      </c>
      <c r="AT151" s="7">
        <v>128.0</v>
      </c>
      <c r="AU151" s="7">
        <v>76.0</v>
      </c>
      <c r="AV151" s="9"/>
      <c r="AW151" s="7">
        <v>68.0</v>
      </c>
      <c r="AX151" s="7">
        <v>37.2</v>
      </c>
      <c r="AY151" s="7">
        <v>23.0</v>
      </c>
      <c r="AZ151" s="7">
        <v>82.0</v>
      </c>
      <c r="BA151" s="10" t="str">
        <f t="shared" si="5"/>
        <v>да</v>
      </c>
      <c r="BB151" s="7">
        <v>93.0</v>
      </c>
      <c r="BC151" s="7">
        <v>60.0</v>
      </c>
      <c r="BD151" s="12">
        <f t="shared" si="6"/>
        <v>0.05942028986</v>
      </c>
      <c r="BE151" s="12">
        <f t="shared" si="7"/>
        <v>1</v>
      </c>
      <c r="BF151" s="12">
        <f t="shared" si="8"/>
        <v>5</v>
      </c>
      <c r="BG151" s="1" t="s">
        <v>154</v>
      </c>
      <c r="BH151" s="1" t="s">
        <v>175</v>
      </c>
      <c r="BI151" s="1" t="s">
        <v>154</v>
      </c>
      <c r="BJ151" s="1" t="s">
        <v>494</v>
      </c>
      <c r="BK151" s="1" t="s">
        <v>150</v>
      </c>
      <c r="BL151" s="9"/>
      <c r="BM151" s="1" t="s">
        <v>154</v>
      </c>
      <c r="BN151" s="1" t="s">
        <v>495</v>
      </c>
      <c r="BO151" s="1" t="s">
        <v>154</v>
      </c>
      <c r="BP151" s="1" t="s">
        <v>157</v>
      </c>
      <c r="BQ151" s="7">
        <v>4.0</v>
      </c>
      <c r="BR151" s="1" t="s">
        <v>154</v>
      </c>
      <c r="BS151" s="1" t="s">
        <v>496</v>
      </c>
      <c r="BT151" s="1" t="s">
        <v>170</v>
      </c>
      <c r="BU151" s="1" t="s">
        <v>170</v>
      </c>
      <c r="BV151" s="1">
        <v>12.0</v>
      </c>
      <c r="BW151" s="1" t="s">
        <v>154</v>
      </c>
      <c r="BX151" s="1" t="s">
        <v>154</v>
      </c>
      <c r="BY151" s="1" t="s">
        <v>258</v>
      </c>
      <c r="BZ151" s="1" t="s">
        <v>154</v>
      </c>
      <c r="CA151" s="1" t="s">
        <v>154</v>
      </c>
      <c r="CB151" s="1" t="s">
        <v>150</v>
      </c>
      <c r="CC151" s="1" t="s">
        <v>150</v>
      </c>
      <c r="CD151" s="1" t="s">
        <v>150</v>
      </c>
      <c r="CE151" s="1" t="s">
        <v>154</v>
      </c>
      <c r="CF151" s="1" t="s">
        <v>150</v>
      </c>
      <c r="CG151" s="1" t="s">
        <v>154</v>
      </c>
      <c r="CH151" s="1" t="s">
        <v>150</v>
      </c>
      <c r="CI151" s="1" t="s">
        <v>150</v>
      </c>
      <c r="CJ151" s="1" t="s">
        <v>150</v>
      </c>
      <c r="CK151" s="1" t="s">
        <v>150</v>
      </c>
      <c r="CL151" s="9"/>
      <c r="CM151" s="7">
        <v>15.4</v>
      </c>
      <c r="CN151" s="7">
        <v>71.5</v>
      </c>
      <c r="CO151" s="7">
        <f t="shared" si="23"/>
        <v>11.011</v>
      </c>
      <c r="CP151" s="7">
        <v>18.2</v>
      </c>
      <c r="CQ151" s="7">
        <f t="shared" si="10"/>
        <v>2.004002</v>
      </c>
      <c r="CR151" s="7">
        <v>9.7</v>
      </c>
      <c r="CS151" s="7">
        <f t="shared" si="11"/>
        <v>0.194388194</v>
      </c>
      <c r="CT151" s="7">
        <v>0.0</v>
      </c>
      <c r="CU151" s="7">
        <f t="shared" si="12"/>
        <v>0</v>
      </c>
      <c r="CV151" s="7">
        <f t="shared" si="13"/>
        <v>5.494505495</v>
      </c>
      <c r="CW151" s="7">
        <v>4.78</v>
      </c>
      <c r="CX151" s="7">
        <v>137.0</v>
      </c>
      <c r="CY151" s="7" t="str">
        <f t="shared" si="14"/>
        <v>Норма</v>
      </c>
      <c r="CZ151" s="7">
        <v>14.0</v>
      </c>
      <c r="DA151" s="7">
        <v>316.0</v>
      </c>
      <c r="DB151" s="18"/>
      <c r="DC151" s="7">
        <v>8.59</v>
      </c>
      <c r="DD151" s="7">
        <v>66.2</v>
      </c>
      <c r="DE151" s="7"/>
      <c r="DF151" s="7">
        <v>30.3</v>
      </c>
      <c r="DG151" s="7"/>
      <c r="DH151" s="7">
        <v>3.4</v>
      </c>
      <c r="DI151" s="7"/>
      <c r="DJ151" s="7">
        <v>0.0</v>
      </c>
      <c r="DK151" s="7"/>
      <c r="DL151" s="7"/>
      <c r="DM151" s="7">
        <v>4.4</v>
      </c>
      <c r="DN151" s="7">
        <v>127.0</v>
      </c>
      <c r="DO151" s="7" t="str">
        <f t="shared" si="15"/>
        <v>Легкая степень</v>
      </c>
      <c r="DP151" s="7">
        <v>17.0</v>
      </c>
      <c r="DQ151" s="7">
        <v>153.0</v>
      </c>
      <c r="DR151" s="7">
        <v>200.7</v>
      </c>
      <c r="DS151" s="7">
        <v>472.0</v>
      </c>
      <c r="DT151" s="18"/>
      <c r="DU151" s="7">
        <v>12.7</v>
      </c>
      <c r="DV151" s="7">
        <v>1.08</v>
      </c>
      <c r="DW151" s="1" t="s">
        <v>492</v>
      </c>
      <c r="DX151" s="7">
        <v>810.0</v>
      </c>
      <c r="DY151" s="18"/>
      <c r="DZ151" s="7">
        <v>17.3</v>
      </c>
      <c r="EA151" s="7">
        <v>1.48</v>
      </c>
      <c r="EB151" s="7"/>
      <c r="EC151" s="7">
        <v>6.16</v>
      </c>
      <c r="ED151" s="7">
        <v>3.09</v>
      </c>
      <c r="EE151" s="7">
        <v>16.6</v>
      </c>
      <c r="EF151" s="7">
        <v>38.49</v>
      </c>
      <c r="EG151" s="7">
        <v>64.9</v>
      </c>
      <c r="EH151" s="7">
        <v>11.03</v>
      </c>
      <c r="EI151" s="7">
        <v>2.28</v>
      </c>
      <c r="EJ151" s="7">
        <v>121.79</v>
      </c>
      <c r="EK151" s="34">
        <f t="shared" si="16"/>
        <v>38.04583899</v>
      </c>
      <c r="EL151" s="11" t="str">
        <f t="shared" si="17"/>
        <v>C3b</v>
      </c>
      <c r="EM151" s="7">
        <v>139.9</v>
      </c>
      <c r="EN151" s="7">
        <v>4.12</v>
      </c>
      <c r="EO151" s="7">
        <v>54.6</v>
      </c>
      <c r="EP151" s="7">
        <v>27.4</v>
      </c>
      <c r="EQ151" s="7">
        <v>51.9</v>
      </c>
      <c r="ER151" s="7">
        <v>18.5</v>
      </c>
      <c r="ES151" s="7">
        <v>7.7</v>
      </c>
      <c r="ET151" s="7">
        <v>136.0</v>
      </c>
      <c r="EU151" s="11">
        <f t="shared" si="18"/>
        <v>33.29377856</v>
      </c>
      <c r="EV151" s="11" t="str">
        <f t="shared" si="19"/>
        <v>C3b</v>
      </c>
      <c r="EW151" s="7">
        <v>134.5</v>
      </c>
      <c r="EX151" s="7">
        <v>4.3</v>
      </c>
      <c r="EY151" s="9">
        <f t="shared" si="20"/>
        <v>0.1125676359</v>
      </c>
      <c r="EZ151" s="9">
        <f t="shared" si="21"/>
        <v>0.47188777</v>
      </c>
      <c r="FA151" s="9" t="str">
        <f t="shared" si="22"/>
        <v>Благоприятный</v>
      </c>
      <c r="FB151" s="1" t="s">
        <v>256</v>
      </c>
      <c r="FC151" s="1" t="s">
        <v>445</v>
      </c>
    </row>
    <row r="152">
      <c r="A152" s="33">
        <v>151.0</v>
      </c>
      <c r="B152" s="7">
        <v>11.0</v>
      </c>
      <c r="C152" s="7">
        <v>10559.0</v>
      </c>
      <c r="D152" s="1" t="s">
        <v>445</v>
      </c>
      <c r="E152" s="7">
        <v>80.0</v>
      </c>
      <c r="F152" s="1" t="s">
        <v>161</v>
      </c>
      <c r="G152" s="7"/>
      <c r="H152" s="7">
        <v>9.0</v>
      </c>
      <c r="I152" s="1" t="s">
        <v>150</v>
      </c>
      <c r="J152" s="1" t="s">
        <v>150</v>
      </c>
      <c r="K152" s="9"/>
      <c r="L152" s="1" t="s">
        <v>150</v>
      </c>
      <c r="M152" s="1" t="s">
        <v>154</v>
      </c>
      <c r="N152" s="1" t="s">
        <v>459</v>
      </c>
      <c r="O152" s="1" t="str">
        <f t="shared" si="24"/>
        <v>нет</v>
      </c>
      <c r="P152" s="1" t="s">
        <v>150</v>
      </c>
      <c r="Q152" s="1" t="s">
        <v>154</v>
      </c>
      <c r="R152" s="7">
        <v>2.0</v>
      </c>
      <c r="S152" s="1" t="s">
        <v>150</v>
      </c>
      <c r="T152" s="9"/>
      <c r="U152" s="9"/>
      <c r="V152" s="9"/>
      <c r="W152" s="9"/>
      <c r="X152" s="1"/>
      <c r="Y152" s="1" t="s">
        <v>150</v>
      </c>
      <c r="Z152" s="9"/>
      <c r="AA152" s="9"/>
      <c r="AB152" s="9"/>
      <c r="AC152" s="9"/>
      <c r="AD152" s="1" t="s">
        <v>497</v>
      </c>
      <c r="AE152" s="1" t="s">
        <v>154</v>
      </c>
      <c r="AF152" s="7">
        <v>6.0</v>
      </c>
      <c r="AG152" s="1" t="s">
        <v>446</v>
      </c>
      <c r="AH152" s="1" t="s">
        <v>154</v>
      </c>
      <c r="AI152" s="1" t="s">
        <v>168</v>
      </c>
      <c r="AJ152" s="7">
        <v>1.0</v>
      </c>
      <c r="AK152" s="1" t="s">
        <v>5</v>
      </c>
      <c r="AL152" s="9"/>
      <c r="AM152" s="9"/>
      <c r="AN152" s="1">
        <v>15.0</v>
      </c>
      <c r="AO152" s="1" t="str">
        <f t="shared" si="2"/>
        <v>нет</v>
      </c>
      <c r="AP152" s="7">
        <v>155.0</v>
      </c>
      <c r="AQ152" s="7">
        <v>90.0</v>
      </c>
      <c r="AR152" s="9">
        <f t="shared" si="3"/>
        <v>37.46097815</v>
      </c>
      <c r="AS152" s="7" t="str">
        <f t="shared" si="4"/>
        <v>Ожирение II степени</v>
      </c>
      <c r="AT152" s="7">
        <v>137.0</v>
      </c>
      <c r="AU152" s="7">
        <v>80.0</v>
      </c>
      <c r="AV152" s="9"/>
      <c r="AW152" s="7">
        <v>80.0</v>
      </c>
      <c r="AX152" s="7">
        <v>36.4</v>
      </c>
      <c r="AY152" s="7">
        <v>21.0</v>
      </c>
      <c r="AZ152" s="7">
        <v>86.0</v>
      </c>
      <c r="BA152" s="10" t="str">
        <f t="shared" si="5"/>
        <v>да</v>
      </c>
      <c r="BB152" s="7">
        <v>95.0</v>
      </c>
      <c r="BC152" s="7">
        <v>60.0</v>
      </c>
      <c r="BD152" s="12">
        <f t="shared" si="6"/>
        <v>0.06825396825</v>
      </c>
      <c r="BE152" s="12">
        <f t="shared" si="7"/>
        <v>0</v>
      </c>
      <c r="BF152" s="12">
        <f t="shared" si="8"/>
        <v>5</v>
      </c>
      <c r="BG152" s="1" t="s">
        <v>154</v>
      </c>
      <c r="BH152" s="1" t="s">
        <v>175</v>
      </c>
      <c r="BI152" s="1" t="s">
        <v>154</v>
      </c>
      <c r="BJ152" s="1" t="s">
        <v>498</v>
      </c>
      <c r="BK152" s="1" t="s">
        <v>150</v>
      </c>
      <c r="BL152" s="9"/>
      <c r="BM152" s="1" t="s">
        <v>154</v>
      </c>
      <c r="BN152" s="1" t="s">
        <v>155</v>
      </c>
      <c r="BO152" s="1" t="s">
        <v>154</v>
      </c>
      <c r="BP152" s="1" t="s">
        <v>157</v>
      </c>
      <c r="BQ152" s="9"/>
      <c r="BR152" s="1" t="s">
        <v>154</v>
      </c>
      <c r="BS152" s="1" t="s">
        <v>191</v>
      </c>
      <c r="BT152" s="1" t="s">
        <v>499</v>
      </c>
      <c r="BU152" s="1" t="s">
        <v>207</v>
      </c>
      <c r="BV152" s="1">
        <v>500.0</v>
      </c>
      <c r="BW152" s="1" t="s">
        <v>154</v>
      </c>
      <c r="BX152" s="1" t="s">
        <v>154</v>
      </c>
      <c r="BY152" s="1" t="s">
        <v>500</v>
      </c>
      <c r="BZ152" s="1" t="s">
        <v>154</v>
      </c>
      <c r="CA152" s="1" t="s">
        <v>154</v>
      </c>
      <c r="CB152" s="1" t="s">
        <v>150</v>
      </c>
      <c r="CC152" s="1" t="s">
        <v>150</v>
      </c>
      <c r="CD152" s="1" t="s">
        <v>154</v>
      </c>
      <c r="CE152" s="1" t="s">
        <v>150</v>
      </c>
      <c r="CF152" s="1" t="s">
        <v>154</v>
      </c>
      <c r="CG152" s="1" t="s">
        <v>150</v>
      </c>
      <c r="CH152" s="1" t="s">
        <v>150</v>
      </c>
      <c r="CI152" s="1" t="s">
        <v>150</v>
      </c>
      <c r="CJ152" s="1" t="s">
        <v>154</v>
      </c>
      <c r="CK152" s="1" t="s">
        <v>150</v>
      </c>
      <c r="CL152" s="1" t="s">
        <v>501</v>
      </c>
      <c r="CM152" s="7">
        <v>12.89</v>
      </c>
      <c r="CN152" s="7">
        <v>86.1</v>
      </c>
      <c r="CO152" s="7">
        <f t="shared" si="23"/>
        <v>11.09829</v>
      </c>
      <c r="CP152" s="7">
        <v>8.4</v>
      </c>
      <c r="CQ152" s="7">
        <f t="shared" si="10"/>
        <v>0.93225636</v>
      </c>
      <c r="CR152" s="7">
        <v>5.4</v>
      </c>
      <c r="CS152" s="7">
        <f t="shared" si="11"/>
        <v>0.05034184344</v>
      </c>
      <c r="CT152" s="7">
        <v>0.0</v>
      </c>
      <c r="CU152" s="7">
        <f t="shared" si="12"/>
        <v>0</v>
      </c>
      <c r="CV152" s="7">
        <f t="shared" si="13"/>
        <v>11.9047619</v>
      </c>
      <c r="CW152" s="7">
        <v>4.91</v>
      </c>
      <c r="CX152" s="7">
        <v>129.0</v>
      </c>
      <c r="CY152" s="7" t="str">
        <f t="shared" si="14"/>
        <v>Легкая степень</v>
      </c>
      <c r="CZ152" s="7">
        <v>30.0</v>
      </c>
      <c r="DA152" s="7">
        <v>257.0</v>
      </c>
      <c r="DB152" s="7">
        <v>39.3</v>
      </c>
      <c r="DC152" s="7">
        <v>11.3</v>
      </c>
      <c r="DD152" s="7">
        <v>94.1</v>
      </c>
      <c r="DE152" s="7"/>
      <c r="DF152" s="7">
        <v>2.1</v>
      </c>
      <c r="DG152" s="7"/>
      <c r="DH152" s="7">
        <v>3.5</v>
      </c>
      <c r="DI152" s="7"/>
      <c r="DJ152" s="7">
        <v>0.2</v>
      </c>
      <c r="DK152" s="7"/>
      <c r="DL152" s="7"/>
      <c r="DM152" s="7">
        <v>4.24</v>
      </c>
      <c r="DN152" s="7">
        <v>130.0</v>
      </c>
      <c r="DO152" s="7" t="str">
        <f t="shared" si="15"/>
        <v>Норма</v>
      </c>
      <c r="DP152" s="7">
        <v>33.0</v>
      </c>
      <c r="DQ152" s="7">
        <v>86.0</v>
      </c>
      <c r="DR152" s="7">
        <v>5.3</v>
      </c>
      <c r="DS152" s="7">
        <v>630.7</v>
      </c>
      <c r="DT152" s="18"/>
      <c r="DU152" s="7">
        <v>11.2</v>
      </c>
      <c r="DV152" s="7">
        <v>0.95</v>
      </c>
      <c r="DW152" s="1" t="s">
        <v>492</v>
      </c>
      <c r="DX152" s="7">
        <v>283.4</v>
      </c>
      <c r="DY152" s="7">
        <v>16.3</v>
      </c>
      <c r="DZ152" s="7">
        <v>11.0</v>
      </c>
      <c r="EA152" s="7">
        <v>0.94</v>
      </c>
      <c r="EB152" s="7"/>
      <c r="EC152" s="7">
        <v>9.17</v>
      </c>
      <c r="ED152" s="7">
        <v>6.86</v>
      </c>
      <c r="EE152" s="7">
        <v>33.8</v>
      </c>
      <c r="EF152" s="7">
        <v>21.1</v>
      </c>
      <c r="EG152" s="7">
        <v>63.3</v>
      </c>
      <c r="EH152" s="7">
        <v>9.2</v>
      </c>
      <c r="EI152" s="7">
        <v>4.4</v>
      </c>
      <c r="EJ152" s="7">
        <v>95.0</v>
      </c>
      <c r="EK152" s="34">
        <f t="shared" si="16"/>
        <v>48.90897121</v>
      </c>
      <c r="EL152" s="11" t="str">
        <f t="shared" si="17"/>
        <v>C3a</v>
      </c>
      <c r="EM152" s="7">
        <v>140.2</v>
      </c>
      <c r="EN152" s="7">
        <v>4.34</v>
      </c>
      <c r="EO152" s="7">
        <v>75.3</v>
      </c>
      <c r="EP152" s="7">
        <v>27.9</v>
      </c>
      <c r="EQ152" s="7">
        <v>65.1</v>
      </c>
      <c r="ER152" s="7">
        <v>9.3</v>
      </c>
      <c r="ES152" s="7">
        <v>4.7</v>
      </c>
      <c r="ET152" s="7">
        <v>125.0</v>
      </c>
      <c r="EU152" s="11">
        <f t="shared" si="18"/>
        <v>35.09879128</v>
      </c>
      <c r="EV152" s="11" t="str">
        <f t="shared" si="19"/>
        <v>C3b</v>
      </c>
      <c r="EW152" s="7">
        <v>135.1</v>
      </c>
      <c r="EX152" s="7">
        <v>4.62</v>
      </c>
      <c r="EY152" s="9">
        <f t="shared" si="20"/>
        <v>-0.6482749324</v>
      </c>
      <c r="EZ152" s="9">
        <f t="shared" si="21"/>
        <v>0.6566216174</v>
      </c>
      <c r="FA152" s="9" t="str">
        <f t="shared" si="22"/>
        <v>Неблагоприятный</v>
      </c>
      <c r="FB152" s="1" t="s">
        <v>150</v>
      </c>
      <c r="FC152" s="1" t="s">
        <v>445</v>
      </c>
    </row>
    <row r="153">
      <c r="A153" s="33">
        <v>152.0</v>
      </c>
      <c r="B153" s="7">
        <v>12.0</v>
      </c>
      <c r="C153" s="7">
        <v>10713.0</v>
      </c>
      <c r="D153" s="1" t="s">
        <v>445</v>
      </c>
      <c r="E153" s="7">
        <v>60.0</v>
      </c>
      <c r="F153" s="1" t="s">
        <v>161</v>
      </c>
      <c r="G153" s="7"/>
      <c r="H153" s="7">
        <v>24.0</v>
      </c>
      <c r="I153" s="1" t="s">
        <v>150</v>
      </c>
      <c r="J153" s="1" t="s">
        <v>150</v>
      </c>
      <c r="K153" s="9"/>
      <c r="L153" s="1" t="s">
        <v>150</v>
      </c>
      <c r="M153" s="1" t="s">
        <v>150</v>
      </c>
      <c r="N153" s="1" t="s">
        <v>459</v>
      </c>
      <c r="O153" s="1" t="str">
        <f t="shared" si="24"/>
        <v>нет</v>
      </c>
      <c r="P153" s="1" t="s">
        <v>154</v>
      </c>
      <c r="Q153" s="1" t="s">
        <v>150</v>
      </c>
      <c r="R153" s="18"/>
      <c r="S153" s="1" t="s">
        <v>150</v>
      </c>
      <c r="T153" s="9"/>
      <c r="U153" s="9"/>
      <c r="V153" s="9"/>
      <c r="W153" s="9"/>
      <c r="X153" s="1"/>
      <c r="Y153" s="1" t="s">
        <v>150</v>
      </c>
      <c r="Z153" s="9"/>
      <c r="AA153" s="9"/>
      <c r="AB153" s="9"/>
      <c r="AC153" s="9"/>
      <c r="AD153" s="1"/>
      <c r="AE153" s="1" t="s">
        <v>154</v>
      </c>
      <c r="AF153" s="7">
        <v>24.0</v>
      </c>
      <c r="AG153" s="1" t="s">
        <v>446</v>
      </c>
      <c r="AH153" s="1" t="s">
        <v>154</v>
      </c>
      <c r="AI153" s="1" t="s">
        <v>168</v>
      </c>
      <c r="AJ153" s="6"/>
      <c r="AK153" s="1" t="s">
        <v>5</v>
      </c>
      <c r="AL153" s="9"/>
      <c r="AM153" s="9"/>
      <c r="AN153" s="1">
        <v>15.0</v>
      </c>
      <c r="AO153" s="1" t="str">
        <f t="shared" si="2"/>
        <v>нет</v>
      </c>
      <c r="AP153" s="7">
        <v>164.0</v>
      </c>
      <c r="AQ153" s="7">
        <v>75.0</v>
      </c>
      <c r="AR153" s="9">
        <f t="shared" si="3"/>
        <v>27.88518739</v>
      </c>
      <c r="AS153" s="7" t="str">
        <f t="shared" si="4"/>
        <v>Избыточный вес (предожирение)</v>
      </c>
      <c r="AT153" s="7">
        <v>170.0</v>
      </c>
      <c r="AU153" s="7">
        <v>100.0</v>
      </c>
      <c r="AV153" s="9"/>
      <c r="AW153" s="7">
        <v>90.0</v>
      </c>
      <c r="AX153" s="7">
        <v>36.9</v>
      </c>
      <c r="AY153" s="7">
        <v>24.0</v>
      </c>
      <c r="AZ153" s="7">
        <v>68.0</v>
      </c>
      <c r="BA153" s="10" t="str">
        <f t="shared" si="5"/>
        <v>да</v>
      </c>
      <c r="BB153" s="7">
        <v>88.0</v>
      </c>
      <c r="BC153" s="7">
        <v>95.0</v>
      </c>
      <c r="BD153" s="12">
        <f t="shared" si="6"/>
        <v>0.0298245614</v>
      </c>
      <c r="BE153" s="12">
        <f t="shared" si="7"/>
        <v>1</v>
      </c>
      <c r="BF153" s="12">
        <f t="shared" si="8"/>
        <v>5</v>
      </c>
      <c r="BG153" s="1" t="s">
        <v>154</v>
      </c>
      <c r="BH153" s="1" t="s">
        <v>163</v>
      </c>
      <c r="BI153" s="1" t="s">
        <v>154</v>
      </c>
      <c r="BJ153" s="1" t="s">
        <v>502</v>
      </c>
      <c r="BK153" s="1" t="s">
        <v>154</v>
      </c>
      <c r="BL153" s="1" t="s">
        <v>189</v>
      </c>
      <c r="BM153" s="1" t="s">
        <v>154</v>
      </c>
      <c r="BN153" s="1" t="s">
        <v>495</v>
      </c>
      <c r="BO153" s="1" t="s">
        <v>150</v>
      </c>
      <c r="BP153" s="9"/>
      <c r="BQ153" s="9"/>
      <c r="BR153" s="1" t="s">
        <v>154</v>
      </c>
      <c r="BS153" s="1" t="s">
        <v>477</v>
      </c>
      <c r="BT153" s="1" t="s">
        <v>503</v>
      </c>
      <c r="BU153" s="1" t="s">
        <v>170</v>
      </c>
      <c r="BV153" s="1">
        <v>16.0</v>
      </c>
      <c r="BW153" s="1" t="s">
        <v>154</v>
      </c>
      <c r="BX153" s="1" t="s">
        <v>154</v>
      </c>
      <c r="BY153" s="1" t="s">
        <v>239</v>
      </c>
      <c r="BZ153" s="1" t="s">
        <v>154</v>
      </c>
      <c r="CA153" s="1" t="s">
        <v>154</v>
      </c>
      <c r="CB153" s="1" t="s">
        <v>150</v>
      </c>
      <c r="CC153" s="1" t="s">
        <v>150</v>
      </c>
      <c r="CD153" s="1" t="s">
        <v>154</v>
      </c>
      <c r="CE153" s="1" t="s">
        <v>154</v>
      </c>
      <c r="CF153" s="1" t="s">
        <v>154</v>
      </c>
      <c r="CG153" s="1" t="s">
        <v>154</v>
      </c>
      <c r="CH153" s="1" t="s">
        <v>150</v>
      </c>
      <c r="CI153" s="1" t="s">
        <v>150</v>
      </c>
      <c r="CJ153" s="1" t="s">
        <v>154</v>
      </c>
      <c r="CK153" s="1" t="s">
        <v>150</v>
      </c>
      <c r="CL153" s="1" t="s">
        <v>504</v>
      </c>
      <c r="CM153" s="7">
        <v>9.0</v>
      </c>
      <c r="CN153" s="7">
        <v>82.4</v>
      </c>
      <c r="CO153" s="7">
        <f t="shared" si="23"/>
        <v>7.416</v>
      </c>
      <c r="CP153" s="7">
        <v>8.4</v>
      </c>
      <c r="CQ153" s="7">
        <f t="shared" si="10"/>
        <v>0.622944</v>
      </c>
      <c r="CR153" s="7">
        <v>9.0</v>
      </c>
      <c r="CS153" s="7">
        <f t="shared" si="11"/>
        <v>0.05606496</v>
      </c>
      <c r="CT153" s="7">
        <v>0.0</v>
      </c>
      <c r="CU153" s="7">
        <f t="shared" si="12"/>
        <v>0</v>
      </c>
      <c r="CV153" s="7">
        <f t="shared" si="13"/>
        <v>11.9047619</v>
      </c>
      <c r="CW153" s="7">
        <v>4.47</v>
      </c>
      <c r="CX153" s="7">
        <v>127.0</v>
      </c>
      <c r="CY153" s="7" t="str">
        <f t="shared" si="14"/>
        <v>Легкая степень</v>
      </c>
      <c r="CZ153" s="7" t="s">
        <v>456</v>
      </c>
      <c r="DA153" s="7">
        <v>267.0</v>
      </c>
      <c r="DB153" s="7">
        <v>330.4</v>
      </c>
      <c r="DC153" s="7">
        <v>17.6</v>
      </c>
      <c r="DD153" s="7">
        <v>93.2</v>
      </c>
      <c r="DE153" s="7"/>
      <c r="DF153" s="7">
        <v>2.5</v>
      </c>
      <c r="DG153" s="7"/>
      <c r="DH153" s="7">
        <v>4.1</v>
      </c>
      <c r="DI153" s="7"/>
      <c r="DJ153" s="7">
        <v>32.0</v>
      </c>
      <c r="DK153" s="7"/>
      <c r="DL153" s="7"/>
      <c r="DM153" s="7">
        <v>3.42</v>
      </c>
      <c r="DN153" s="7">
        <v>97.0</v>
      </c>
      <c r="DO153" s="7" t="str">
        <f t="shared" si="15"/>
        <v>Средняя степень</v>
      </c>
      <c r="DP153" s="7">
        <v>32.0</v>
      </c>
      <c r="DQ153" s="7">
        <v>195.0</v>
      </c>
      <c r="DR153" s="7">
        <v>131.3</v>
      </c>
      <c r="DS153" s="7">
        <v>1100.0</v>
      </c>
      <c r="DT153" s="7">
        <v>30.0</v>
      </c>
      <c r="DU153" s="7">
        <v>12.2</v>
      </c>
      <c r="DV153" s="7">
        <v>1.043</v>
      </c>
      <c r="DW153" s="1" t="s">
        <v>492</v>
      </c>
      <c r="DX153" s="7">
        <v>480.0</v>
      </c>
      <c r="DY153" s="7">
        <v>33.1</v>
      </c>
      <c r="DZ153" s="7">
        <v>11.8</v>
      </c>
      <c r="EA153" s="7">
        <v>4.05</v>
      </c>
      <c r="EB153" s="7"/>
      <c r="EC153" s="7">
        <v>27.54</v>
      </c>
      <c r="ED153" s="7">
        <v>11.6</v>
      </c>
      <c r="EE153" s="7">
        <v>9.08</v>
      </c>
      <c r="EF153" s="7">
        <v>48.8</v>
      </c>
      <c r="EG153" s="7">
        <v>66.3</v>
      </c>
      <c r="EH153" s="7">
        <v>7.94</v>
      </c>
      <c r="EI153" s="7">
        <v>71.72</v>
      </c>
      <c r="EJ153" s="7">
        <v>93.0</v>
      </c>
      <c r="EK153" s="34">
        <f t="shared" si="16"/>
        <v>57.75312805</v>
      </c>
      <c r="EL153" s="11" t="str">
        <f t="shared" si="17"/>
        <v>C3a</v>
      </c>
      <c r="EM153" s="1" t="s">
        <v>457</v>
      </c>
      <c r="EN153" s="1" t="s">
        <v>457</v>
      </c>
      <c r="EO153" s="7">
        <v>18.0</v>
      </c>
      <c r="EP153" s="7">
        <v>16.0</v>
      </c>
      <c r="EQ153" s="7">
        <v>51.6</v>
      </c>
      <c r="ER153" s="7">
        <v>12.0</v>
      </c>
      <c r="ES153" s="7">
        <v>4.4</v>
      </c>
      <c r="ET153" s="7">
        <v>58.0</v>
      </c>
      <c r="EU153" s="11">
        <f t="shared" si="18"/>
        <v>96.51966713</v>
      </c>
      <c r="EV153" s="11" t="str">
        <f t="shared" si="19"/>
        <v>C1</v>
      </c>
      <c r="EW153" s="7">
        <v>139.5</v>
      </c>
      <c r="EX153" s="7">
        <v>4.03</v>
      </c>
      <c r="EY153" s="9">
        <f t="shared" si="20"/>
        <v>0.05892248186</v>
      </c>
      <c r="EZ153" s="9">
        <f t="shared" si="21"/>
        <v>0.4852736399</v>
      </c>
      <c r="FA153" s="9" t="str">
        <f t="shared" si="22"/>
        <v>Благоприятный</v>
      </c>
      <c r="FB153" s="1" t="s">
        <v>256</v>
      </c>
      <c r="FC153" s="1" t="s">
        <v>445</v>
      </c>
    </row>
    <row r="154">
      <c r="A154" s="33">
        <v>153.0</v>
      </c>
      <c r="B154" s="7">
        <v>13.0</v>
      </c>
      <c r="C154" s="7">
        <v>10099.0</v>
      </c>
      <c r="D154" s="1" t="s">
        <v>445</v>
      </c>
      <c r="E154" s="7">
        <v>66.0</v>
      </c>
      <c r="F154" s="1" t="s">
        <v>161</v>
      </c>
      <c r="G154" s="7"/>
      <c r="H154" s="7">
        <v>19.0</v>
      </c>
      <c r="I154" s="1" t="s">
        <v>150</v>
      </c>
      <c r="J154" s="1" t="s">
        <v>150</v>
      </c>
      <c r="K154" s="9"/>
      <c r="L154" s="1" t="s">
        <v>150</v>
      </c>
      <c r="M154" s="1" t="s">
        <v>154</v>
      </c>
      <c r="N154" s="1" t="s">
        <v>192</v>
      </c>
      <c r="O154" s="1" t="str">
        <f t="shared" si="24"/>
        <v>да</v>
      </c>
      <c r="P154" s="1" t="s">
        <v>150</v>
      </c>
      <c r="Q154" s="1" t="s">
        <v>154</v>
      </c>
      <c r="R154" s="7">
        <v>2.0</v>
      </c>
      <c r="S154" s="1" t="s">
        <v>150</v>
      </c>
      <c r="T154" s="9"/>
      <c r="U154" s="9"/>
      <c r="V154" s="9"/>
      <c r="W154" s="9"/>
      <c r="X154" s="1"/>
      <c r="Y154" s="1" t="s">
        <v>150</v>
      </c>
      <c r="Z154" s="9"/>
      <c r="AA154" s="9"/>
      <c r="AB154" s="9"/>
      <c r="AC154" s="9"/>
      <c r="AD154" s="1" t="s">
        <v>505</v>
      </c>
      <c r="AE154" s="1" t="s">
        <v>154</v>
      </c>
      <c r="AF154" s="7">
        <v>1.0</v>
      </c>
      <c r="AG154" s="1" t="s">
        <v>446</v>
      </c>
      <c r="AH154" s="1" t="s">
        <v>154</v>
      </c>
      <c r="AI154" s="1" t="s">
        <v>168</v>
      </c>
      <c r="AJ154" s="18"/>
      <c r="AK154" s="1" t="s">
        <v>5</v>
      </c>
      <c r="AL154" s="9"/>
      <c r="AM154" s="9"/>
      <c r="AN154" s="1">
        <v>15.0</v>
      </c>
      <c r="AO154" s="1" t="str">
        <f t="shared" si="2"/>
        <v>нет</v>
      </c>
      <c r="AP154" s="7">
        <v>156.0</v>
      </c>
      <c r="AQ154" s="7">
        <v>96.0</v>
      </c>
      <c r="AR154" s="9">
        <f t="shared" si="3"/>
        <v>39.44773176</v>
      </c>
      <c r="AS154" s="7" t="str">
        <f t="shared" si="4"/>
        <v>Ожирение II степени</v>
      </c>
      <c r="AT154" s="7">
        <v>140.0</v>
      </c>
      <c r="AU154" s="7">
        <v>90.0</v>
      </c>
      <c r="AV154" s="9"/>
      <c r="AW154" s="7">
        <v>103.0</v>
      </c>
      <c r="AX154" s="7">
        <v>37.2</v>
      </c>
      <c r="AY154" s="7">
        <v>26.0</v>
      </c>
      <c r="AZ154" s="7">
        <v>85.0</v>
      </c>
      <c r="BA154" s="10" t="str">
        <f t="shared" si="5"/>
        <v>да</v>
      </c>
      <c r="BB154" s="7">
        <v>94.0</v>
      </c>
      <c r="BC154" s="18"/>
      <c r="BD154" s="12" t="str">
        <f t="shared" si="6"/>
        <v>#DIV/0!</v>
      </c>
      <c r="BE154" s="12">
        <f t="shared" si="7"/>
        <v>1</v>
      </c>
      <c r="BF154" s="12">
        <f t="shared" si="8"/>
        <v>7</v>
      </c>
      <c r="BG154" s="1" t="s">
        <v>154</v>
      </c>
      <c r="BH154" s="1" t="s">
        <v>163</v>
      </c>
      <c r="BI154" s="1" t="s">
        <v>154</v>
      </c>
      <c r="BJ154" s="1" t="s">
        <v>506</v>
      </c>
      <c r="BK154" s="1" t="s">
        <v>150</v>
      </c>
      <c r="BL154" s="9"/>
      <c r="BM154" s="1" t="s">
        <v>154</v>
      </c>
      <c r="BN154" s="1" t="s">
        <v>495</v>
      </c>
      <c r="BO154" s="1" t="s">
        <v>154</v>
      </c>
      <c r="BP154" s="1" t="s">
        <v>157</v>
      </c>
      <c r="BQ154" s="9"/>
      <c r="BR154" s="1" t="s">
        <v>154</v>
      </c>
      <c r="BS154" s="1" t="s">
        <v>507</v>
      </c>
      <c r="BU154" s="1" t="s">
        <v>170</v>
      </c>
      <c r="BV154" s="1">
        <v>24.0</v>
      </c>
      <c r="BW154" s="1" t="s">
        <v>154</v>
      </c>
      <c r="BX154" s="1" t="s">
        <v>154</v>
      </c>
      <c r="BY154" s="1" t="s">
        <v>253</v>
      </c>
      <c r="BZ154" s="1" t="s">
        <v>154</v>
      </c>
      <c r="CA154" s="1" t="s">
        <v>154</v>
      </c>
      <c r="CB154" s="1" t="s">
        <v>150</v>
      </c>
      <c r="CC154" s="1" t="s">
        <v>150</v>
      </c>
      <c r="CD154" s="1" t="s">
        <v>150</v>
      </c>
      <c r="CE154" s="1" t="s">
        <v>150</v>
      </c>
      <c r="CF154" s="1" t="s">
        <v>154</v>
      </c>
      <c r="CG154" s="1" t="s">
        <v>154</v>
      </c>
      <c r="CH154" s="1" t="s">
        <v>150</v>
      </c>
      <c r="CI154" s="1" t="s">
        <v>150</v>
      </c>
      <c r="CJ154" s="1" t="s">
        <v>154</v>
      </c>
      <c r="CK154" s="1" t="s">
        <v>150</v>
      </c>
      <c r="CL154" s="1" t="s">
        <v>508</v>
      </c>
      <c r="CM154" s="7">
        <v>7.4</v>
      </c>
      <c r="CN154" s="7">
        <v>79.9</v>
      </c>
      <c r="CO154" s="7">
        <f t="shared" si="23"/>
        <v>5.9126</v>
      </c>
      <c r="CP154" s="7">
        <v>5.7</v>
      </c>
      <c r="CQ154" s="7">
        <f t="shared" si="10"/>
        <v>0.3370182</v>
      </c>
      <c r="CR154" s="7">
        <v>14.3</v>
      </c>
      <c r="CS154" s="7">
        <f t="shared" si="11"/>
        <v>0.0481936026</v>
      </c>
      <c r="CT154" s="7">
        <v>0.0</v>
      </c>
      <c r="CU154" s="7">
        <f t="shared" si="12"/>
        <v>0</v>
      </c>
      <c r="CV154" s="7">
        <f t="shared" si="13"/>
        <v>17.54385965</v>
      </c>
      <c r="CW154" s="7">
        <v>5.43</v>
      </c>
      <c r="CX154" s="7">
        <v>157.0</v>
      </c>
      <c r="CY154" s="7" t="str">
        <f t="shared" si="14"/>
        <v>Норма</v>
      </c>
      <c r="CZ154" s="7" t="s">
        <v>456</v>
      </c>
      <c r="DA154" s="7">
        <v>117.0</v>
      </c>
      <c r="DB154" s="7">
        <v>38.1</v>
      </c>
      <c r="DC154" s="7">
        <v>13.6</v>
      </c>
      <c r="DD154" s="7">
        <v>90.2</v>
      </c>
      <c r="DE154" s="7"/>
      <c r="DF154" s="7">
        <v>3.0</v>
      </c>
      <c r="DG154" s="7"/>
      <c r="DH154" s="7">
        <v>2.0</v>
      </c>
      <c r="DI154" s="7"/>
      <c r="DJ154" s="7">
        <v>0.1</v>
      </c>
      <c r="DK154" s="7"/>
      <c r="DL154" s="7"/>
      <c r="DM154" s="7">
        <v>4.34</v>
      </c>
      <c r="DN154" s="7">
        <v>123.0</v>
      </c>
      <c r="DO154" s="7" t="str">
        <f t="shared" si="15"/>
        <v>Легкая степень</v>
      </c>
      <c r="DP154" s="7">
        <v>9.0</v>
      </c>
      <c r="DQ154" s="7">
        <v>79.0</v>
      </c>
      <c r="DR154" s="7">
        <v>61.7</v>
      </c>
      <c r="DS154" s="18"/>
      <c r="DT154" s="7">
        <v>27.9</v>
      </c>
      <c r="DU154" s="18"/>
      <c r="DV154" s="18"/>
      <c r="DW154" s="1" t="s">
        <v>509</v>
      </c>
      <c r="DX154" s="7">
        <v>619.0</v>
      </c>
      <c r="DY154" s="7">
        <v>50.0</v>
      </c>
      <c r="DZ154" s="7">
        <v>0.97</v>
      </c>
      <c r="EA154" s="7">
        <v>0.97</v>
      </c>
      <c r="EB154" s="7"/>
      <c r="EC154" s="7">
        <v>6.19</v>
      </c>
      <c r="ED154" s="7">
        <v>8.48</v>
      </c>
      <c r="EE154" s="7">
        <v>22.3</v>
      </c>
      <c r="EF154" s="7">
        <v>43.9</v>
      </c>
      <c r="EG154" s="7">
        <v>75.1</v>
      </c>
      <c r="EH154" s="18"/>
      <c r="EI154" s="18"/>
      <c r="EJ154" s="7">
        <v>112.0</v>
      </c>
      <c r="EK154" s="34">
        <f t="shared" si="16"/>
        <v>44.2244355</v>
      </c>
      <c r="EL154" s="11" t="str">
        <f t="shared" si="17"/>
        <v>C3b</v>
      </c>
      <c r="EM154" s="7">
        <v>133.6</v>
      </c>
      <c r="EN154" s="7">
        <v>4.36</v>
      </c>
      <c r="EO154" s="7">
        <v>27.5</v>
      </c>
      <c r="EP154" s="7">
        <v>21.3</v>
      </c>
      <c r="EQ154" s="7">
        <v>49.1</v>
      </c>
      <c r="ER154" s="6" t="s">
        <v>510</v>
      </c>
      <c r="ES154" s="18"/>
      <c r="ET154" s="7">
        <v>63.0</v>
      </c>
      <c r="EU154" s="11">
        <f t="shared" si="18"/>
        <v>88.66743866</v>
      </c>
      <c r="EV154" s="11" t="str">
        <f t="shared" si="19"/>
        <v>C2</v>
      </c>
      <c r="EW154" s="7">
        <v>138.4</v>
      </c>
      <c r="EX154" s="7">
        <v>3.66</v>
      </c>
      <c r="EY154" s="9">
        <f t="shared" si="20"/>
        <v>-1.947258481</v>
      </c>
      <c r="EZ154" s="9">
        <f t="shared" si="21"/>
        <v>0.8751473993</v>
      </c>
      <c r="FA154" s="9" t="str">
        <f t="shared" si="22"/>
        <v>Неблагоприятный</v>
      </c>
      <c r="FB154" s="1" t="s">
        <v>150</v>
      </c>
      <c r="FC154" s="1" t="s">
        <v>445</v>
      </c>
    </row>
    <row r="155">
      <c r="A155" s="33">
        <v>154.0</v>
      </c>
      <c r="B155" s="7">
        <v>14.0</v>
      </c>
      <c r="C155" s="7">
        <v>10100.0</v>
      </c>
      <c r="D155" s="1" t="s">
        <v>445</v>
      </c>
      <c r="E155" s="7">
        <v>66.0</v>
      </c>
      <c r="F155" s="1" t="s">
        <v>149</v>
      </c>
      <c r="G155" s="7"/>
      <c r="H155" s="7">
        <v>5.0</v>
      </c>
      <c r="I155" s="1" t="s">
        <v>150</v>
      </c>
      <c r="J155" s="1" t="s">
        <v>150</v>
      </c>
      <c r="K155" s="9"/>
      <c r="L155" s="1" t="s">
        <v>150</v>
      </c>
      <c r="M155" s="1" t="s">
        <v>154</v>
      </c>
      <c r="N155" s="1" t="s">
        <v>192</v>
      </c>
      <c r="O155" s="1" t="s">
        <v>154</v>
      </c>
      <c r="P155" s="1" t="s">
        <v>154</v>
      </c>
      <c r="Q155" s="1" t="s">
        <v>154</v>
      </c>
      <c r="R155" s="7">
        <v>2.0</v>
      </c>
      <c r="S155" s="1" t="s">
        <v>150</v>
      </c>
      <c r="T155" s="9"/>
      <c r="U155" s="9"/>
      <c r="V155" s="9"/>
      <c r="W155" s="9"/>
      <c r="X155" s="1"/>
      <c r="Y155" s="1" t="s">
        <v>150</v>
      </c>
      <c r="Z155" s="9"/>
      <c r="AA155" s="9"/>
      <c r="AB155" s="9"/>
      <c r="AC155" s="9"/>
      <c r="AD155" s="1" t="s">
        <v>511</v>
      </c>
      <c r="AE155" s="1" t="s">
        <v>154</v>
      </c>
      <c r="AF155" s="1">
        <v>2.0</v>
      </c>
      <c r="AG155" s="1" t="s">
        <v>446</v>
      </c>
      <c r="AH155" s="1" t="s">
        <v>154</v>
      </c>
      <c r="AI155" s="1" t="s">
        <v>168</v>
      </c>
      <c r="AJ155" s="18"/>
      <c r="AK155" s="1" t="s">
        <v>5</v>
      </c>
      <c r="AL155" s="9"/>
      <c r="AM155" s="9"/>
      <c r="AN155" s="1">
        <v>15.0</v>
      </c>
      <c r="AO155" s="1" t="str">
        <f t="shared" si="2"/>
        <v>нет</v>
      </c>
      <c r="AP155" s="7">
        <v>156.0</v>
      </c>
      <c r="AQ155" s="7">
        <v>96.0</v>
      </c>
      <c r="AR155" s="9">
        <f t="shared" si="3"/>
        <v>39.44773176</v>
      </c>
      <c r="AS155" s="7" t="str">
        <f t="shared" si="4"/>
        <v>Ожирение II степени</v>
      </c>
      <c r="AT155" s="7">
        <v>127.0</v>
      </c>
      <c r="AU155" s="7">
        <v>90.0</v>
      </c>
      <c r="AV155" s="9"/>
      <c r="AW155" s="7">
        <v>100.0</v>
      </c>
      <c r="AX155" s="7">
        <v>37.1</v>
      </c>
      <c r="AY155" s="7">
        <v>20.0</v>
      </c>
      <c r="AZ155" s="7">
        <v>90.0</v>
      </c>
      <c r="BA155" s="10" t="str">
        <f t="shared" si="5"/>
        <v>да</v>
      </c>
      <c r="BB155" s="18"/>
      <c r="BC155" s="18"/>
      <c r="BD155" s="12" t="str">
        <f t="shared" si="6"/>
        <v>#DIV/0!</v>
      </c>
      <c r="BE155" s="12">
        <f t="shared" si="7"/>
        <v>0</v>
      </c>
      <c r="BF155" s="12">
        <f t="shared" si="8"/>
        <v>4</v>
      </c>
      <c r="BG155" s="1" t="s">
        <v>150</v>
      </c>
      <c r="BH155" s="9"/>
      <c r="BI155" s="1" t="s">
        <v>154</v>
      </c>
      <c r="BJ155" s="1" t="s">
        <v>175</v>
      </c>
      <c r="BK155" s="1" t="s">
        <v>150</v>
      </c>
      <c r="BL155" s="9"/>
      <c r="BM155" s="1" t="s">
        <v>154</v>
      </c>
      <c r="BN155" s="1" t="s">
        <v>495</v>
      </c>
      <c r="BO155" s="1" t="s">
        <v>154</v>
      </c>
      <c r="BP155" s="1" t="s">
        <v>157</v>
      </c>
      <c r="BQ155" s="9"/>
      <c r="BR155" s="1" t="s">
        <v>154</v>
      </c>
      <c r="BS155" s="1" t="s">
        <v>512</v>
      </c>
      <c r="BT155" s="1" t="s">
        <v>513</v>
      </c>
      <c r="BU155" s="1" t="s">
        <v>207</v>
      </c>
      <c r="BV155" s="1">
        <v>250.0</v>
      </c>
      <c r="BW155" s="1" t="s">
        <v>154</v>
      </c>
      <c r="BX155" s="1" t="s">
        <v>154</v>
      </c>
      <c r="BY155" s="1" t="s">
        <v>245</v>
      </c>
      <c r="CA155" s="1" t="s">
        <v>154</v>
      </c>
      <c r="CB155" s="1" t="s">
        <v>150</v>
      </c>
      <c r="CC155" s="1" t="s">
        <v>150</v>
      </c>
      <c r="CD155" s="1" t="s">
        <v>154</v>
      </c>
      <c r="CE155" s="1" t="s">
        <v>150</v>
      </c>
      <c r="CF155" s="1" t="s">
        <v>150</v>
      </c>
      <c r="CG155" s="1" t="s">
        <v>150</v>
      </c>
      <c r="CH155" s="1" t="s">
        <v>150</v>
      </c>
      <c r="CI155" s="1" t="s">
        <v>150</v>
      </c>
      <c r="CJ155" s="1" t="s">
        <v>154</v>
      </c>
      <c r="CK155" s="1" t="s">
        <v>150</v>
      </c>
      <c r="CL155" s="1" t="s">
        <v>514</v>
      </c>
      <c r="CM155" s="7">
        <v>6.5</v>
      </c>
      <c r="CN155" s="7">
        <v>5.7</v>
      </c>
      <c r="CO155" s="7">
        <f t="shared" si="23"/>
        <v>0.3705</v>
      </c>
      <c r="CP155" s="7">
        <v>0.3</v>
      </c>
      <c r="CQ155" s="7">
        <f t="shared" si="10"/>
        <v>0.0011115</v>
      </c>
      <c r="CR155" s="7">
        <v>0.5</v>
      </c>
      <c r="CS155" s="7">
        <f t="shared" si="11"/>
        <v>0.0000055575</v>
      </c>
      <c r="CT155" s="7">
        <v>0.0</v>
      </c>
      <c r="CU155" s="7">
        <f t="shared" si="12"/>
        <v>0</v>
      </c>
      <c r="CV155" s="7">
        <f t="shared" si="13"/>
        <v>333.3333333</v>
      </c>
      <c r="CW155" s="7">
        <v>4.87</v>
      </c>
      <c r="CX155" s="7">
        <v>151.0</v>
      </c>
      <c r="CY155" s="7" t="str">
        <f t="shared" si="14"/>
        <v>Норма</v>
      </c>
      <c r="CZ155" s="7" t="s">
        <v>456</v>
      </c>
      <c r="DA155" s="7">
        <v>126.0</v>
      </c>
      <c r="DB155" s="7">
        <v>20.1</v>
      </c>
      <c r="DC155" s="7">
        <v>9.4</v>
      </c>
      <c r="DD155" s="7">
        <v>9.1</v>
      </c>
      <c r="DE155" s="7"/>
      <c r="DF155" s="7">
        <v>0.1</v>
      </c>
      <c r="DG155" s="7"/>
      <c r="DH155" s="7">
        <v>0.2</v>
      </c>
      <c r="DI155" s="7"/>
      <c r="DJ155" s="7">
        <v>0.0</v>
      </c>
      <c r="DK155" s="7"/>
      <c r="DL155" s="7"/>
      <c r="DM155" s="7">
        <v>4.86</v>
      </c>
      <c r="DN155" s="7">
        <v>149.0</v>
      </c>
      <c r="DO155" s="7" t="str">
        <f t="shared" si="15"/>
        <v>Норма</v>
      </c>
      <c r="DP155" s="7" t="s">
        <v>456</v>
      </c>
      <c r="DQ155" s="7">
        <v>165.0</v>
      </c>
      <c r="DR155" s="7">
        <v>108.4</v>
      </c>
      <c r="DS155" s="7">
        <v>663.0</v>
      </c>
      <c r="DT155" s="18"/>
      <c r="DU155" s="7">
        <v>14.6</v>
      </c>
      <c r="DV155" s="7">
        <v>1.25</v>
      </c>
      <c r="DW155" s="18"/>
      <c r="DX155" s="7">
        <v>940.0</v>
      </c>
      <c r="DY155" s="18"/>
      <c r="DZ155" s="7">
        <v>12.3</v>
      </c>
      <c r="EA155" s="7">
        <v>1.05</v>
      </c>
      <c r="EB155" s="7"/>
      <c r="EC155" s="7">
        <v>11.53</v>
      </c>
      <c r="ED155" s="7">
        <v>23.3</v>
      </c>
      <c r="EE155" s="7">
        <v>10.4</v>
      </c>
      <c r="EF155" s="7">
        <v>39.5</v>
      </c>
      <c r="EG155" s="7">
        <v>66.8</v>
      </c>
      <c r="EH155" s="7">
        <v>16.0</v>
      </c>
      <c r="EI155" s="7">
        <v>7.2</v>
      </c>
      <c r="EJ155" s="7">
        <v>103.0</v>
      </c>
      <c r="EK155" s="34">
        <f t="shared" si="16"/>
        <v>48.93805253</v>
      </c>
      <c r="EL155" s="11" t="str">
        <f t="shared" si="17"/>
        <v>C3a</v>
      </c>
      <c r="EM155" s="7">
        <v>135.9</v>
      </c>
      <c r="EN155" s="7">
        <v>3.56</v>
      </c>
      <c r="EO155" s="7">
        <v>41.7</v>
      </c>
      <c r="EP155" s="7">
        <v>45.0</v>
      </c>
      <c r="EQ155" s="7">
        <v>103.4</v>
      </c>
      <c r="ER155" s="7">
        <v>52.0</v>
      </c>
      <c r="ES155" s="7">
        <v>42.3</v>
      </c>
      <c r="ET155" s="7">
        <v>151.0</v>
      </c>
      <c r="EU155" s="11">
        <f t="shared" si="18"/>
        <v>30.81653166</v>
      </c>
      <c r="EV155" s="11" t="str">
        <f t="shared" si="19"/>
        <v>C3b</v>
      </c>
      <c r="EW155" s="7">
        <v>145.2</v>
      </c>
      <c r="EX155" s="7">
        <v>4.37</v>
      </c>
      <c r="EY155" s="9">
        <f t="shared" si="20"/>
        <v>-0.8884984813</v>
      </c>
      <c r="EZ155" s="9">
        <f t="shared" si="21"/>
        <v>0.7085802146</v>
      </c>
      <c r="FA155" s="9" t="str">
        <f t="shared" si="22"/>
        <v>Неблагоприятный</v>
      </c>
      <c r="FB155" s="1" t="s">
        <v>150</v>
      </c>
      <c r="FC155" s="1" t="s">
        <v>445</v>
      </c>
    </row>
    <row r="156">
      <c r="A156" s="33">
        <v>155.0</v>
      </c>
      <c r="B156" s="7">
        <v>15.0</v>
      </c>
      <c r="C156" s="7">
        <v>9383.0</v>
      </c>
      <c r="D156" s="1" t="s">
        <v>445</v>
      </c>
      <c r="E156" s="7">
        <v>58.0</v>
      </c>
      <c r="F156" s="1" t="s">
        <v>161</v>
      </c>
      <c r="G156" s="7"/>
      <c r="H156" s="7">
        <v>13.0</v>
      </c>
      <c r="I156" s="1" t="s">
        <v>150</v>
      </c>
      <c r="J156" s="1" t="s">
        <v>150</v>
      </c>
      <c r="K156" s="9"/>
      <c r="L156" s="1" t="s">
        <v>150</v>
      </c>
      <c r="M156" s="1" t="s">
        <v>150</v>
      </c>
      <c r="N156" s="9"/>
      <c r="O156" s="1" t="s">
        <v>154</v>
      </c>
      <c r="P156" s="1" t="s">
        <v>150</v>
      </c>
      <c r="Q156" s="1" t="s">
        <v>154</v>
      </c>
      <c r="R156" s="18"/>
      <c r="S156" s="1" t="s">
        <v>150</v>
      </c>
      <c r="T156" s="9"/>
      <c r="U156" s="9"/>
      <c r="V156" s="9"/>
      <c r="W156" s="9"/>
      <c r="X156" s="1"/>
      <c r="Y156" s="1" t="s">
        <v>150</v>
      </c>
      <c r="Z156" s="9"/>
      <c r="AA156" s="9"/>
      <c r="AB156" s="9"/>
      <c r="AC156" s="9"/>
      <c r="AD156" s="1"/>
      <c r="AE156" s="1" t="s">
        <v>154</v>
      </c>
      <c r="AF156" s="7">
        <v>7.0</v>
      </c>
      <c r="AG156" s="1" t="s">
        <v>446</v>
      </c>
      <c r="AH156" s="1" t="s">
        <v>154</v>
      </c>
      <c r="AI156" s="1" t="s">
        <v>168</v>
      </c>
      <c r="AJ156" s="7">
        <v>2.0</v>
      </c>
      <c r="AK156" s="1" t="s">
        <v>5</v>
      </c>
      <c r="AL156" s="9"/>
      <c r="AM156" s="9"/>
      <c r="AN156" s="1">
        <v>15.0</v>
      </c>
      <c r="AO156" s="1" t="str">
        <f t="shared" si="2"/>
        <v>нет</v>
      </c>
      <c r="AP156" s="7">
        <v>160.0</v>
      </c>
      <c r="AQ156" s="7">
        <v>86.0</v>
      </c>
      <c r="AR156" s="9">
        <f t="shared" si="3"/>
        <v>33.59375</v>
      </c>
      <c r="AS156" s="7" t="str">
        <f t="shared" si="4"/>
        <v>Ожирение I степени</v>
      </c>
      <c r="AT156" s="7">
        <v>140.0</v>
      </c>
      <c r="AU156" s="7">
        <v>80.0</v>
      </c>
      <c r="AV156" s="9"/>
      <c r="AW156" s="7">
        <v>88.0</v>
      </c>
      <c r="AX156" s="7">
        <v>37.4</v>
      </c>
      <c r="AY156" s="7">
        <v>24.0</v>
      </c>
      <c r="AZ156" s="7">
        <v>83.0</v>
      </c>
      <c r="BA156" s="10" t="str">
        <f t="shared" si="5"/>
        <v>да</v>
      </c>
      <c r="BB156" s="7">
        <v>93.0</v>
      </c>
      <c r="BC156" s="7">
        <v>60.0</v>
      </c>
      <c r="BD156" s="12">
        <f t="shared" si="6"/>
        <v>0.05763888889</v>
      </c>
      <c r="BE156" s="12">
        <f t="shared" si="7"/>
        <v>1</v>
      </c>
      <c r="BF156" s="12">
        <f t="shared" si="8"/>
        <v>5</v>
      </c>
      <c r="BG156" s="1" t="s">
        <v>154</v>
      </c>
      <c r="BH156" s="1" t="s">
        <v>175</v>
      </c>
      <c r="BI156" s="1" t="s">
        <v>154</v>
      </c>
      <c r="BJ156" s="1" t="s">
        <v>515</v>
      </c>
      <c r="BK156" s="1" t="s">
        <v>150</v>
      </c>
      <c r="BL156" s="9"/>
      <c r="BM156" s="1" t="s">
        <v>154</v>
      </c>
      <c r="BN156" s="1" t="s">
        <v>495</v>
      </c>
      <c r="BO156" s="1" t="s">
        <v>154</v>
      </c>
      <c r="BP156" s="1" t="s">
        <v>157</v>
      </c>
      <c r="BQ156" s="9"/>
      <c r="BR156" s="1" t="s">
        <v>154</v>
      </c>
      <c r="BS156" s="1" t="s">
        <v>195</v>
      </c>
      <c r="BT156" s="1" t="s">
        <v>516</v>
      </c>
      <c r="BU156" s="1" t="s">
        <v>170</v>
      </c>
      <c r="BV156" s="1">
        <v>24.0</v>
      </c>
      <c r="BW156" s="1" t="s">
        <v>154</v>
      </c>
      <c r="BX156" s="1" t="s">
        <v>154</v>
      </c>
      <c r="BY156" s="1" t="s">
        <v>275</v>
      </c>
      <c r="BZ156" s="1" t="s">
        <v>154</v>
      </c>
      <c r="CA156" s="1" t="s">
        <v>154</v>
      </c>
      <c r="CB156" s="1" t="s">
        <v>150</v>
      </c>
      <c r="CC156" s="1" t="s">
        <v>150</v>
      </c>
      <c r="CD156" s="1" t="s">
        <v>150</v>
      </c>
      <c r="CE156" s="1" t="s">
        <v>150</v>
      </c>
      <c r="CF156" s="1" t="s">
        <v>240</v>
      </c>
      <c r="CG156" s="1" t="s">
        <v>150</v>
      </c>
      <c r="CH156" s="1" t="s">
        <v>150</v>
      </c>
      <c r="CI156" s="1" t="s">
        <v>150</v>
      </c>
      <c r="CJ156" s="1" t="s">
        <v>154</v>
      </c>
      <c r="CK156" s="1" t="s">
        <v>150</v>
      </c>
      <c r="CL156" s="1" t="s">
        <v>273</v>
      </c>
      <c r="CM156" s="7">
        <v>6.8</v>
      </c>
      <c r="CN156" s="7">
        <v>82.3</v>
      </c>
      <c r="CO156" s="7">
        <f t="shared" si="23"/>
        <v>5.5964</v>
      </c>
      <c r="CP156" s="7">
        <v>7.2</v>
      </c>
      <c r="CQ156" s="7">
        <f t="shared" si="10"/>
        <v>0.4029408</v>
      </c>
      <c r="CR156" s="7">
        <v>10.1</v>
      </c>
      <c r="CS156" s="7">
        <f t="shared" si="11"/>
        <v>0.0406970208</v>
      </c>
      <c r="CT156" s="7">
        <v>0.1</v>
      </c>
      <c r="CU156" s="7">
        <f t="shared" si="12"/>
        <v>0.0000406970208</v>
      </c>
      <c r="CV156" s="7">
        <f t="shared" si="13"/>
        <v>13.88888889</v>
      </c>
      <c r="CW156" s="7">
        <v>4.32</v>
      </c>
      <c r="CX156" s="7">
        <v>131.0</v>
      </c>
      <c r="CY156" s="7" t="str">
        <f t="shared" si="14"/>
        <v>Норма</v>
      </c>
      <c r="CZ156" s="7" t="s">
        <v>456</v>
      </c>
      <c r="DA156" s="7">
        <v>169.0</v>
      </c>
      <c r="DB156" s="7">
        <v>91.7</v>
      </c>
      <c r="DC156" s="7">
        <v>14.3</v>
      </c>
      <c r="DD156" s="7">
        <v>92.4</v>
      </c>
      <c r="DE156" s="7"/>
      <c r="DF156" s="7">
        <v>4.0</v>
      </c>
      <c r="DG156" s="7"/>
      <c r="DH156" s="7">
        <v>3.4</v>
      </c>
      <c r="DI156" s="7"/>
      <c r="DJ156" s="7">
        <v>4.48</v>
      </c>
      <c r="DK156" s="7"/>
      <c r="DL156" s="7"/>
      <c r="DM156" s="7">
        <v>4.48</v>
      </c>
      <c r="DN156" s="7">
        <v>133.0</v>
      </c>
      <c r="DO156" s="7" t="str">
        <f t="shared" si="15"/>
        <v>Норма</v>
      </c>
      <c r="DP156" s="7">
        <v>10.0</v>
      </c>
      <c r="DQ156" s="7">
        <v>190.0</v>
      </c>
      <c r="DR156" s="7">
        <v>7.8</v>
      </c>
      <c r="DS156" s="7">
        <v>840.0</v>
      </c>
      <c r="DT156" s="6"/>
      <c r="DU156" s="7">
        <v>19.8</v>
      </c>
      <c r="DV156" s="7">
        <v>1.69</v>
      </c>
      <c r="DW156" s="18"/>
      <c r="DX156" s="7">
        <v>188.0</v>
      </c>
      <c r="DY156" s="7">
        <v>30.4</v>
      </c>
      <c r="DZ156" s="7">
        <v>13.7</v>
      </c>
      <c r="EA156" s="7">
        <v>1.17</v>
      </c>
      <c r="EB156" s="7"/>
      <c r="EC156" s="7">
        <v>7.09</v>
      </c>
      <c r="ED156" s="7">
        <v>7.78</v>
      </c>
      <c r="EE156" s="7">
        <v>33.74</v>
      </c>
      <c r="EF156" s="7">
        <v>50.81</v>
      </c>
      <c r="EG156" s="7">
        <v>70.3</v>
      </c>
      <c r="EH156" s="7">
        <v>8.73</v>
      </c>
      <c r="EI156" s="7">
        <v>2.33</v>
      </c>
      <c r="EJ156" s="7">
        <v>86.33</v>
      </c>
      <c r="EK156" s="34">
        <f t="shared" si="16"/>
        <v>64.08455231</v>
      </c>
      <c r="EL156" s="11" t="str">
        <f t="shared" si="17"/>
        <v>C2</v>
      </c>
      <c r="EM156" s="7">
        <v>136.3</v>
      </c>
      <c r="EN156" s="7">
        <v>3.87</v>
      </c>
      <c r="EO156" s="7">
        <v>27.3</v>
      </c>
      <c r="EP156" s="7">
        <v>19.8</v>
      </c>
      <c r="EQ156" s="7">
        <v>56.7</v>
      </c>
      <c r="ER156" s="7">
        <v>11.5</v>
      </c>
      <c r="ES156" s="7">
        <v>4.4</v>
      </c>
      <c r="ET156" s="7">
        <v>76.0</v>
      </c>
      <c r="EU156" s="11">
        <f t="shared" si="18"/>
        <v>74.75999548</v>
      </c>
      <c r="EV156" s="11" t="str">
        <f t="shared" si="19"/>
        <v>C2</v>
      </c>
      <c r="EW156" s="7">
        <v>132.4</v>
      </c>
      <c r="EX156" s="7">
        <v>4.46</v>
      </c>
      <c r="EY156" s="9">
        <f t="shared" si="20"/>
        <v>0.008847375</v>
      </c>
      <c r="EZ156" s="9">
        <f t="shared" si="21"/>
        <v>0.4977881707</v>
      </c>
      <c r="FA156" s="9" t="str">
        <f t="shared" si="22"/>
        <v>Благоприятный</v>
      </c>
      <c r="FB156" s="1" t="s">
        <v>256</v>
      </c>
      <c r="FC156" s="1" t="s">
        <v>445</v>
      </c>
    </row>
    <row r="157">
      <c r="A157" s="33">
        <v>156.0</v>
      </c>
      <c r="B157" s="7">
        <v>16.0</v>
      </c>
      <c r="C157" s="7">
        <v>9776.0</v>
      </c>
      <c r="D157" s="1" t="s">
        <v>445</v>
      </c>
      <c r="E157" s="7">
        <v>56.0</v>
      </c>
      <c r="F157" s="1" t="s">
        <v>161</v>
      </c>
      <c r="G157" s="7"/>
      <c r="H157" s="7">
        <v>23.0</v>
      </c>
      <c r="I157" s="1" t="s">
        <v>150</v>
      </c>
      <c r="J157" s="1" t="s">
        <v>150</v>
      </c>
      <c r="K157" s="9"/>
      <c r="L157" s="1" t="s">
        <v>150</v>
      </c>
      <c r="M157" s="1" t="s">
        <v>517</v>
      </c>
      <c r="N157" s="1" t="s">
        <v>192</v>
      </c>
      <c r="O157" s="1" t="str">
        <f t="shared" ref="O157:O158" si="25">IF(EC157&gt;=6.1,IF(EC157&lt;7,"да","нет"),"нет")</f>
        <v>да</v>
      </c>
      <c r="P157" s="1" t="s">
        <v>150</v>
      </c>
      <c r="Q157" s="1" t="s">
        <v>150</v>
      </c>
      <c r="R157" s="9"/>
      <c r="S157" s="1" t="s">
        <v>150</v>
      </c>
      <c r="T157" s="9"/>
      <c r="U157" s="9"/>
      <c r="V157" s="9"/>
      <c r="W157" s="9"/>
      <c r="X157" s="1"/>
      <c r="Y157" s="1" t="s">
        <v>150</v>
      </c>
      <c r="Z157" s="9"/>
      <c r="AA157" s="9"/>
      <c r="AB157" s="9"/>
      <c r="AC157" s="9"/>
      <c r="AD157" s="1"/>
      <c r="AE157" s="1" t="s">
        <v>154</v>
      </c>
      <c r="AF157" s="7">
        <v>20.0</v>
      </c>
      <c r="AG157" s="1" t="s">
        <v>446</v>
      </c>
      <c r="AH157" s="1" t="s">
        <v>154</v>
      </c>
      <c r="AI157" s="1" t="s">
        <v>168</v>
      </c>
      <c r="AJ157" s="7">
        <v>3.0</v>
      </c>
      <c r="AK157" s="1" t="s">
        <v>5</v>
      </c>
      <c r="AL157" s="9"/>
      <c r="AM157" s="9"/>
      <c r="AN157" s="1">
        <v>15.0</v>
      </c>
      <c r="AO157" s="1" t="str">
        <f t="shared" si="2"/>
        <v>нет</v>
      </c>
      <c r="AP157" s="7">
        <v>152.0</v>
      </c>
      <c r="AQ157" s="7">
        <v>108.0</v>
      </c>
      <c r="AR157" s="9">
        <f t="shared" si="3"/>
        <v>46.74515235</v>
      </c>
      <c r="AS157" s="7" t="str">
        <f t="shared" si="4"/>
        <v>Ожирение III степени (морбидное)</v>
      </c>
      <c r="AT157" s="7">
        <v>125.0</v>
      </c>
      <c r="AU157" s="7">
        <v>78.0</v>
      </c>
      <c r="AV157" s="9"/>
      <c r="AW157" s="7">
        <v>112.0</v>
      </c>
      <c r="AX157" s="7">
        <v>37.5</v>
      </c>
      <c r="AY157" s="7">
        <v>21.0</v>
      </c>
      <c r="AZ157" s="7">
        <v>86.0</v>
      </c>
      <c r="BA157" s="10" t="str">
        <f t="shared" si="5"/>
        <v>да</v>
      </c>
      <c r="BB157" s="7">
        <v>97.0</v>
      </c>
      <c r="BC157" s="7">
        <v>60.0</v>
      </c>
      <c r="BD157" s="12">
        <f t="shared" si="6"/>
        <v>0.06825396825</v>
      </c>
      <c r="BE157" s="12">
        <f t="shared" si="7"/>
        <v>0</v>
      </c>
      <c r="BF157" s="12">
        <f t="shared" si="8"/>
        <v>7</v>
      </c>
      <c r="BG157" s="1" t="s">
        <v>150</v>
      </c>
      <c r="BH157" s="9"/>
      <c r="BI157" s="1" t="s">
        <v>154</v>
      </c>
      <c r="BJ157" s="1" t="s">
        <v>506</v>
      </c>
      <c r="BK157" s="1" t="s">
        <v>154</v>
      </c>
      <c r="BL157" s="1" t="s">
        <v>518</v>
      </c>
      <c r="BM157" s="1" t="s">
        <v>154</v>
      </c>
      <c r="BN157" s="1" t="s">
        <v>495</v>
      </c>
      <c r="BO157" s="1" t="s">
        <v>154</v>
      </c>
      <c r="BP157" s="1" t="s">
        <v>157</v>
      </c>
      <c r="BQ157" s="9"/>
      <c r="BR157" s="1" t="s">
        <v>154</v>
      </c>
      <c r="BS157" s="1" t="s">
        <v>519</v>
      </c>
      <c r="BT157" s="9"/>
      <c r="BU157" s="1" t="s">
        <v>170</v>
      </c>
      <c r="BV157" s="1">
        <v>72.0</v>
      </c>
      <c r="BW157" s="1" t="s">
        <v>154</v>
      </c>
      <c r="BX157" s="1" t="s">
        <v>154</v>
      </c>
      <c r="BY157" s="1" t="s">
        <v>520</v>
      </c>
      <c r="BZ157" s="1" t="s">
        <v>154</v>
      </c>
      <c r="CA157" s="1" t="s">
        <v>150</v>
      </c>
      <c r="CB157" s="1" t="s">
        <v>150</v>
      </c>
      <c r="CC157" s="1" t="s">
        <v>150</v>
      </c>
      <c r="CD157" s="1" t="s">
        <v>150</v>
      </c>
      <c r="CE157" s="1" t="s">
        <v>150</v>
      </c>
      <c r="CF157" s="1" t="s">
        <v>150</v>
      </c>
      <c r="CG157" s="1" t="s">
        <v>154</v>
      </c>
      <c r="CH157" s="1" t="s">
        <v>150</v>
      </c>
      <c r="CI157" s="1" t="s">
        <v>150</v>
      </c>
      <c r="CJ157" s="1" t="s">
        <v>150</v>
      </c>
      <c r="CK157" s="1" t="s">
        <v>150</v>
      </c>
      <c r="CL157" s="1" t="s">
        <v>521</v>
      </c>
      <c r="CM157" s="7">
        <v>8.58</v>
      </c>
      <c r="CN157" s="7">
        <v>88.4</v>
      </c>
      <c r="CO157" s="7">
        <f t="shared" si="23"/>
        <v>7.58472</v>
      </c>
      <c r="CP157" s="7">
        <v>6.5</v>
      </c>
      <c r="CQ157" s="7">
        <f t="shared" si="10"/>
        <v>0.4930068</v>
      </c>
      <c r="CR157" s="7">
        <v>5.1</v>
      </c>
      <c r="CS157" s="7">
        <f t="shared" si="11"/>
        <v>0.0251433468</v>
      </c>
      <c r="CT157" s="7">
        <v>0.0</v>
      </c>
      <c r="CU157" s="7">
        <f t="shared" si="12"/>
        <v>0</v>
      </c>
      <c r="CV157" s="7">
        <f t="shared" si="13"/>
        <v>15.38461538</v>
      </c>
      <c r="CW157" s="7">
        <v>4.46</v>
      </c>
      <c r="CX157" s="7">
        <v>133.0</v>
      </c>
      <c r="CY157" s="7" t="str">
        <f t="shared" si="14"/>
        <v>Норма</v>
      </c>
      <c r="CZ157" s="7">
        <v>25.0</v>
      </c>
      <c r="DA157" s="7">
        <v>163.0</v>
      </c>
      <c r="DB157" s="7">
        <v>90.5</v>
      </c>
      <c r="DC157" s="7">
        <v>5.19</v>
      </c>
      <c r="DD157" s="7">
        <v>93.9</v>
      </c>
      <c r="DE157" s="7"/>
      <c r="DF157" s="7">
        <v>1.8</v>
      </c>
      <c r="DG157" s="7"/>
      <c r="DH157" s="7">
        <v>4.2</v>
      </c>
      <c r="DI157" s="7"/>
      <c r="DJ157" s="7">
        <v>0.0</v>
      </c>
      <c r="DK157" s="7"/>
      <c r="DL157" s="7"/>
      <c r="DM157" s="7">
        <v>2.68</v>
      </c>
      <c r="DN157" s="7">
        <v>81.0</v>
      </c>
      <c r="DO157" s="7" t="str">
        <f t="shared" si="15"/>
        <v>Средняя степень</v>
      </c>
      <c r="DP157" s="7" t="s">
        <v>456</v>
      </c>
      <c r="DQ157" s="7">
        <v>40.0</v>
      </c>
      <c r="DR157" s="7">
        <v>131.4</v>
      </c>
      <c r="DS157" s="7">
        <v>590.0</v>
      </c>
      <c r="DT157" s="7">
        <v>33.0</v>
      </c>
      <c r="DU157" s="7">
        <v>18.8</v>
      </c>
      <c r="DV157" s="7">
        <v>1.61</v>
      </c>
      <c r="DW157" s="7">
        <v>0.68</v>
      </c>
      <c r="DX157" s="7">
        <v>870.0</v>
      </c>
      <c r="DY157" s="7">
        <v>31.9</v>
      </c>
      <c r="DZ157" s="7">
        <v>13.0</v>
      </c>
      <c r="EA157" s="7">
        <v>1.11</v>
      </c>
      <c r="EB157" s="7"/>
      <c r="EC157" s="7">
        <v>6.54</v>
      </c>
      <c r="ED157" s="7">
        <v>4.08</v>
      </c>
      <c r="EE157" s="7">
        <v>13.4</v>
      </c>
      <c r="EF157" s="7">
        <v>34.3</v>
      </c>
      <c r="EG157" s="7">
        <v>69.4</v>
      </c>
      <c r="EH157" s="7">
        <v>9.7</v>
      </c>
      <c r="EI157" s="18"/>
      <c r="EJ157" s="7">
        <v>96.0</v>
      </c>
      <c r="EK157" s="34">
        <f t="shared" si="16"/>
        <v>57.16214033</v>
      </c>
      <c r="EL157" s="11" t="str">
        <f t="shared" si="17"/>
        <v>C3a</v>
      </c>
      <c r="EM157" s="8">
        <v>138.2</v>
      </c>
      <c r="EN157" s="8">
        <v>3.01</v>
      </c>
      <c r="EO157" s="7">
        <v>338.8</v>
      </c>
      <c r="EP157" s="7">
        <v>716.4</v>
      </c>
      <c r="EQ157" s="7">
        <v>49.0</v>
      </c>
      <c r="ER157" s="7">
        <v>10.7</v>
      </c>
      <c r="ES157" s="18"/>
      <c r="ET157" s="7">
        <v>681.0</v>
      </c>
      <c r="EU157" s="11">
        <f t="shared" si="18"/>
        <v>5.350563766</v>
      </c>
      <c r="EV157" s="11" t="str">
        <f t="shared" si="19"/>
        <v>C5</v>
      </c>
      <c r="EW157" s="7">
        <v>136.0</v>
      </c>
      <c r="EX157" s="7">
        <v>7.9</v>
      </c>
      <c r="EY157" s="9">
        <f t="shared" si="20"/>
        <v>-2.081485402</v>
      </c>
      <c r="EZ157" s="9">
        <f t="shared" si="21"/>
        <v>0.8890905912</v>
      </c>
      <c r="FA157" s="9" t="str">
        <f t="shared" si="22"/>
        <v>Неблагоприятный</v>
      </c>
      <c r="FB157" s="1" t="s">
        <v>150</v>
      </c>
      <c r="FC157" s="1" t="s">
        <v>445</v>
      </c>
    </row>
    <row r="158">
      <c r="A158" s="33">
        <v>157.0</v>
      </c>
      <c r="B158" s="7">
        <v>17.0</v>
      </c>
      <c r="C158" s="7">
        <v>10196.0</v>
      </c>
      <c r="D158" s="1" t="s">
        <v>445</v>
      </c>
      <c r="E158" s="7">
        <v>61.0</v>
      </c>
      <c r="F158" s="1" t="s">
        <v>161</v>
      </c>
      <c r="G158" s="7"/>
      <c r="H158" s="7">
        <v>14.0</v>
      </c>
      <c r="I158" s="1" t="s">
        <v>150</v>
      </c>
      <c r="J158" s="1" t="s">
        <v>150</v>
      </c>
      <c r="K158" s="9"/>
      <c r="L158" s="1" t="s">
        <v>150</v>
      </c>
      <c r="M158" s="1" t="s">
        <v>150</v>
      </c>
      <c r="N158" s="9"/>
      <c r="O158" s="1" t="str">
        <f t="shared" si="25"/>
        <v>нет</v>
      </c>
      <c r="P158" s="1" t="s">
        <v>150</v>
      </c>
      <c r="Q158" s="1" t="s">
        <v>154</v>
      </c>
      <c r="R158" s="7">
        <v>2.0</v>
      </c>
      <c r="S158" s="1" t="s">
        <v>150</v>
      </c>
      <c r="T158" s="9"/>
      <c r="U158" s="1"/>
      <c r="V158" s="1" t="s">
        <v>150</v>
      </c>
      <c r="W158" s="9"/>
      <c r="X158" s="1"/>
      <c r="Y158" s="1" t="s">
        <v>150</v>
      </c>
      <c r="Z158" s="9"/>
      <c r="AA158" s="1"/>
      <c r="AB158" s="1"/>
      <c r="AC158" s="1"/>
      <c r="AD158" s="1"/>
      <c r="AE158" s="1" t="s">
        <v>154</v>
      </c>
      <c r="AF158" s="1">
        <v>7.0</v>
      </c>
      <c r="AG158" s="1" t="s">
        <v>446</v>
      </c>
      <c r="AH158" s="1" t="s">
        <v>154</v>
      </c>
      <c r="AI158" s="1" t="s">
        <v>168</v>
      </c>
      <c r="AJ158" s="7">
        <v>2.0</v>
      </c>
      <c r="AK158" s="1" t="s">
        <v>5</v>
      </c>
      <c r="AL158" s="9"/>
      <c r="AM158" s="9"/>
      <c r="AN158" s="1">
        <v>15.0</v>
      </c>
      <c r="AO158" s="1" t="str">
        <f t="shared" si="2"/>
        <v>нет</v>
      </c>
      <c r="AP158" s="7">
        <v>170.0</v>
      </c>
      <c r="AQ158" s="7">
        <v>80.0</v>
      </c>
      <c r="AR158" s="9">
        <f t="shared" si="3"/>
        <v>27.6816609</v>
      </c>
      <c r="AS158" s="7" t="str">
        <f t="shared" si="4"/>
        <v>Избыточный вес (предожирение)</v>
      </c>
      <c r="AT158" s="7">
        <v>120.0</v>
      </c>
      <c r="AU158" s="7">
        <v>72.0</v>
      </c>
      <c r="AV158" s="9"/>
      <c r="AW158" s="7">
        <v>90.0</v>
      </c>
      <c r="AX158" s="7">
        <v>38.2</v>
      </c>
      <c r="AY158" s="7">
        <v>23.0</v>
      </c>
      <c r="AZ158" s="7">
        <v>82.0</v>
      </c>
      <c r="BA158" s="10" t="str">
        <f t="shared" si="5"/>
        <v>да</v>
      </c>
      <c r="BB158" s="7">
        <v>90.0</v>
      </c>
      <c r="BC158" s="7">
        <v>60.0</v>
      </c>
      <c r="BD158" s="12">
        <f t="shared" si="6"/>
        <v>0.05942028986</v>
      </c>
      <c r="BE158" s="12">
        <f t="shared" si="7"/>
        <v>1</v>
      </c>
      <c r="BF158" s="12">
        <f t="shared" si="8"/>
        <v>6</v>
      </c>
      <c r="BG158" s="1" t="s">
        <v>522</v>
      </c>
      <c r="BH158" s="1" t="s">
        <v>522</v>
      </c>
      <c r="BI158" s="1" t="s">
        <v>154</v>
      </c>
      <c r="BJ158" s="1" t="s">
        <v>237</v>
      </c>
      <c r="BK158" s="1" t="s">
        <v>150</v>
      </c>
      <c r="BL158" s="9"/>
      <c r="BM158" s="1" t="s">
        <v>154</v>
      </c>
      <c r="BN158" s="1" t="s">
        <v>155</v>
      </c>
      <c r="BO158" s="1" t="s">
        <v>522</v>
      </c>
      <c r="BP158" s="1" t="s">
        <v>522</v>
      </c>
      <c r="BQ158" s="1" t="s">
        <v>522</v>
      </c>
      <c r="BR158" s="1" t="s">
        <v>154</v>
      </c>
      <c r="BS158" s="1" t="s">
        <v>507</v>
      </c>
      <c r="BT158" s="1" t="s">
        <v>523</v>
      </c>
      <c r="BU158" s="1" t="s">
        <v>170</v>
      </c>
      <c r="BV158" s="1">
        <v>32.0</v>
      </c>
      <c r="BW158" s="1" t="s">
        <v>154</v>
      </c>
      <c r="BX158" s="1" t="s">
        <v>154</v>
      </c>
      <c r="BY158" s="1" t="s">
        <v>269</v>
      </c>
      <c r="BZ158" s="1" t="s">
        <v>154</v>
      </c>
      <c r="CA158" s="1" t="s">
        <v>150</v>
      </c>
      <c r="CB158" s="1" t="s">
        <v>150</v>
      </c>
      <c r="CC158" s="1" t="s">
        <v>150</v>
      </c>
      <c r="CD158" s="1" t="s">
        <v>150</v>
      </c>
      <c r="CE158" s="1" t="s">
        <v>150</v>
      </c>
      <c r="CF158" s="1" t="s">
        <v>150</v>
      </c>
      <c r="CG158" s="1" t="s">
        <v>150</v>
      </c>
      <c r="CH158" s="1" t="s">
        <v>150</v>
      </c>
      <c r="CI158" s="1" t="s">
        <v>150</v>
      </c>
      <c r="CJ158" s="1" t="s">
        <v>150</v>
      </c>
      <c r="CK158" s="1" t="s">
        <v>150</v>
      </c>
      <c r="CL158" s="1" t="s">
        <v>524</v>
      </c>
      <c r="CM158" s="7">
        <v>11.7</v>
      </c>
      <c r="CN158" s="7">
        <v>89.9</v>
      </c>
      <c r="CO158" s="7">
        <f t="shared" si="23"/>
        <v>10.5183</v>
      </c>
      <c r="CP158" s="7">
        <v>6.7</v>
      </c>
      <c r="CQ158" s="7">
        <f t="shared" si="10"/>
        <v>0.7047261</v>
      </c>
      <c r="CR158" s="7">
        <v>3.1</v>
      </c>
      <c r="CS158" s="7">
        <f t="shared" si="11"/>
        <v>0.0218465091</v>
      </c>
      <c r="CT158" s="7">
        <v>0.0</v>
      </c>
      <c r="CU158" s="7">
        <f t="shared" si="12"/>
        <v>0</v>
      </c>
      <c r="CV158" s="7">
        <f t="shared" si="13"/>
        <v>14.92537313</v>
      </c>
      <c r="CW158" s="7">
        <v>2.94</v>
      </c>
      <c r="CX158" s="7">
        <v>96.0</v>
      </c>
      <c r="CY158" s="7" t="str">
        <f t="shared" si="14"/>
        <v>Средняя степень</v>
      </c>
      <c r="CZ158" s="7">
        <v>32.0</v>
      </c>
      <c r="DA158" s="7">
        <v>306.0</v>
      </c>
      <c r="DB158" s="7">
        <v>167.3</v>
      </c>
      <c r="DC158" s="7">
        <v>14.9</v>
      </c>
      <c r="DD158" s="7">
        <v>95.5</v>
      </c>
      <c r="DE158" s="7"/>
      <c r="DF158" s="7">
        <v>1.0</v>
      </c>
      <c r="DG158" s="7"/>
      <c r="DH158" s="7">
        <v>3.5</v>
      </c>
      <c r="DI158" s="7"/>
      <c r="DJ158" s="7">
        <v>0.0</v>
      </c>
      <c r="DK158" s="7"/>
      <c r="DL158" s="7"/>
      <c r="DM158" s="7">
        <v>3.98</v>
      </c>
      <c r="DN158" s="7">
        <v>128.0</v>
      </c>
      <c r="DO158" s="7" t="str">
        <f t="shared" si="15"/>
        <v>Легкая степень</v>
      </c>
      <c r="DP158" s="7">
        <v>6.0</v>
      </c>
      <c r="DQ158" s="7">
        <v>88.0</v>
      </c>
      <c r="DR158" s="18"/>
      <c r="DS158" s="7">
        <v>328.5</v>
      </c>
      <c r="DT158" s="18"/>
      <c r="DU158" s="7">
        <v>10.9</v>
      </c>
      <c r="DV158" s="7">
        <v>0.93</v>
      </c>
      <c r="DW158" s="18"/>
      <c r="DX158" s="7">
        <v>82.0</v>
      </c>
      <c r="DY158" s="7">
        <v>28.1</v>
      </c>
      <c r="DZ158" s="7">
        <v>14.0</v>
      </c>
      <c r="EA158" s="7">
        <v>1.19</v>
      </c>
      <c r="EB158" s="7"/>
      <c r="EC158" s="7">
        <v>10.19</v>
      </c>
      <c r="ED158" s="7">
        <v>8.81</v>
      </c>
      <c r="EE158" s="7">
        <v>22.6</v>
      </c>
      <c r="EF158" s="7">
        <v>35.03</v>
      </c>
      <c r="EG158" s="7">
        <v>64.4</v>
      </c>
      <c r="EH158" s="18"/>
      <c r="EI158" s="18"/>
      <c r="EJ158" s="7">
        <v>96.96</v>
      </c>
      <c r="EK158" s="34">
        <f t="shared" si="16"/>
        <v>54.52933273</v>
      </c>
      <c r="EL158" s="11" t="str">
        <f t="shared" si="17"/>
        <v>C3a</v>
      </c>
      <c r="EM158" s="7">
        <v>138.1</v>
      </c>
      <c r="EN158" s="7">
        <v>3.15</v>
      </c>
      <c r="EO158" s="7">
        <v>25.9</v>
      </c>
      <c r="EP158" s="7">
        <v>42.8</v>
      </c>
      <c r="EQ158" s="7">
        <v>49.4</v>
      </c>
      <c r="ER158" s="7">
        <v>10.6</v>
      </c>
      <c r="ES158" s="7">
        <v>3.3</v>
      </c>
      <c r="ET158" s="18"/>
      <c r="EU158" s="11" t="str">
        <f t="shared" si="18"/>
        <v>#NUM!</v>
      </c>
      <c r="EV158" s="11" t="str">
        <f t="shared" si="19"/>
        <v>#NUM!</v>
      </c>
      <c r="EW158" s="7">
        <v>136.8</v>
      </c>
      <c r="EX158" s="7">
        <v>3.63</v>
      </c>
      <c r="EY158" s="9">
        <f t="shared" si="20"/>
        <v>0.4482558443</v>
      </c>
      <c r="EZ158" s="9">
        <f t="shared" si="21"/>
        <v>0.3897755346</v>
      </c>
      <c r="FA158" s="9" t="str">
        <f t="shared" si="22"/>
        <v>Благоприятный</v>
      </c>
      <c r="FB158" s="1" t="s">
        <v>256</v>
      </c>
      <c r="FC158" s="1" t="s">
        <v>445</v>
      </c>
    </row>
    <row r="159">
      <c r="A159" s="33">
        <v>158.0</v>
      </c>
      <c r="B159" s="16">
        <v>18.0</v>
      </c>
      <c r="C159" s="7">
        <v>9835.0</v>
      </c>
      <c r="D159" s="1" t="s">
        <v>445</v>
      </c>
      <c r="E159" s="7">
        <v>83.0</v>
      </c>
      <c r="F159" s="1" t="s">
        <v>161</v>
      </c>
      <c r="G159" s="7"/>
      <c r="H159" s="7">
        <v>20.0</v>
      </c>
      <c r="I159" s="1" t="s">
        <v>150</v>
      </c>
      <c r="J159" s="1" t="s">
        <v>150</v>
      </c>
      <c r="K159" s="9"/>
      <c r="L159" s="1" t="s">
        <v>150</v>
      </c>
      <c r="M159" s="1" t="s">
        <v>150</v>
      </c>
      <c r="N159" s="9"/>
      <c r="O159" s="6"/>
      <c r="P159" s="18"/>
      <c r="Q159" s="1" t="s">
        <v>154</v>
      </c>
      <c r="R159" s="7">
        <v>2.0</v>
      </c>
      <c r="S159" s="1" t="s">
        <v>154</v>
      </c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1" t="s">
        <v>446</v>
      </c>
      <c r="AH159" s="9"/>
      <c r="AI159" s="9"/>
      <c r="AJ159" s="9"/>
      <c r="AK159" s="9"/>
      <c r="AL159" s="9"/>
      <c r="AM159" s="9"/>
      <c r="AN159" s="1">
        <v>15.0</v>
      </c>
      <c r="AO159" s="1" t="str">
        <f t="shared" si="2"/>
        <v>нет</v>
      </c>
      <c r="AP159" s="9"/>
      <c r="AQ159" s="9"/>
      <c r="AR159" s="9" t="str">
        <f t="shared" si="3"/>
        <v>#DIV/0!</v>
      </c>
      <c r="AS159" s="7" t="str">
        <f t="shared" si="4"/>
        <v>#DIV/0!</v>
      </c>
      <c r="AT159" s="9"/>
      <c r="AU159" s="9"/>
      <c r="AV159" s="9"/>
      <c r="AW159" s="9"/>
      <c r="AX159" s="9"/>
      <c r="AY159" s="9"/>
      <c r="AZ159" s="9"/>
      <c r="BA159" s="10" t="str">
        <f t="shared" si="5"/>
        <v>да</v>
      </c>
      <c r="BB159" s="9"/>
      <c r="BC159" s="9"/>
      <c r="BD159" s="12" t="str">
        <f t="shared" si="6"/>
        <v>#DIV/0!</v>
      </c>
      <c r="BE159" s="12">
        <f t="shared" si="7"/>
        <v>1</v>
      </c>
      <c r="BF159" s="12">
        <f t="shared" si="8"/>
        <v>15</v>
      </c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7">
        <f t="shared" si="23"/>
        <v>0</v>
      </c>
      <c r="CP159" s="9"/>
      <c r="CQ159" s="7">
        <f t="shared" si="10"/>
        <v>0</v>
      </c>
      <c r="CR159" s="9"/>
      <c r="CS159" s="7">
        <f t="shared" si="11"/>
        <v>0</v>
      </c>
      <c r="CT159" s="9"/>
      <c r="CU159" s="7">
        <f t="shared" si="12"/>
        <v>0</v>
      </c>
      <c r="CV159" s="7" t="str">
        <f t="shared" si="13"/>
        <v>#DIV/0!</v>
      </c>
      <c r="CW159" s="9"/>
      <c r="CX159" s="9"/>
      <c r="CY159" s="7" t="str">
        <f t="shared" si="14"/>
        <v>Тяжелая степень</v>
      </c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7" t="str">
        <f t="shared" si="15"/>
        <v>Тяжелая степень</v>
      </c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34" t="str">
        <f t="shared" si="16"/>
        <v>#NUM!</v>
      </c>
      <c r="EL159" s="11" t="str">
        <f t="shared" si="17"/>
        <v>#NUM!</v>
      </c>
      <c r="EM159" s="9"/>
      <c r="EN159" s="9"/>
      <c r="EO159" s="9"/>
      <c r="EP159" s="9"/>
      <c r="EQ159" s="9"/>
      <c r="ER159" s="9"/>
      <c r="ES159" s="9"/>
      <c r="ET159" s="9"/>
      <c r="EU159" s="11" t="str">
        <f t="shared" si="18"/>
        <v>#NUM!</v>
      </c>
      <c r="EV159" s="11" t="str">
        <f t="shared" si="19"/>
        <v>#NUM!</v>
      </c>
      <c r="EW159" s="9"/>
      <c r="EX159" s="9"/>
      <c r="EY159" s="9" t="str">
        <f t="shared" si="20"/>
        <v>#DIV/0!</v>
      </c>
      <c r="EZ159" s="9" t="str">
        <f t="shared" si="21"/>
        <v>#DIV/0!</v>
      </c>
      <c r="FA159" s="9" t="str">
        <f t="shared" si="22"/>
        <v>#DIV/0!</v>
      </c>
      <c r="FB159" s="9"/>
      <c r="FC159" s="1" t="s">
        <v>445</v>
      </c>
    </row>
    <row r="160">
      <c r="A160" s="33">
        <v>159.0</v>
      </c>
      <c r="B160" s="7">
        <v>19.0</v>
      </c>
      <c r="C160" s="7">
        <v>10149.0</v>
      </c>
      <c r="D160" s="1" t="s">
        <v>445</v>
      </c>
      <c r="E160" s="7">
        <v>56.0</v>
      </c>
      <c r="F160" s="1" t="s">
        <v>161</v>
      </c>
      <c r="G160" s="7"/>
      <c r="H160" s="7">
        <v>6.0</v>
      </c>
      <c r="I160" s="1" t="s">
        <v>150</v>
      </c>
      <c r="J160" s="1" t="s">
        <v>150</v>
      </c>
      <c r="K160" s="9"/>
      <c r="L160" s="1" t="s">
        <v>150</v>
      </c>
      <c r="M160" s="1" t="s">
        <v>150</v>
      </c>
      <c r="N160" s="9"/>
      <c r="O160" s="1" t="s">
        <v>154</v>
      </c>
      <c r="P160" s="1" t="s">
        <v>150</v>
      </c>
      <c r="Q160" s="1" t="s">
        <v>154</v>
      </c>
      <c r="R160" s="7">
        <v>2.0</v>
      </c>
      <c r="S160" s="1" t="s">
        <v>150</v>
      </c>
      <c r="T160" s="9"/>
      <c r="U160" s="9"/>
      <c r="V160" s="9"/>
      <c r="W160" s="9"/>
      <c r="X160" s="1"/>
      <c r="Y160" s="1" t="s">
        <v>150</v>
      </c>
      <c r="Z160" s="9"/>
      <c r="AA160" s="1"/>
      <c r="AB160" s="9"/>
      <c r="AC160" s="9"/>
      <c r="AD160" s="1" t="s">
        <v>525</v>
      </c>
      <c r="AE160" s="1" t="s">
        <v>154</v>
      </c>
      <c r="AF160" s="1">
        <v>2.0</v>
      </c>
      <c r="AG160" s="1" t="s">
        <v>446</v>
      </c>
      <c r="AH160" s="1" t="s">
        <v>154</v>
      </c>
      <c r="AI160" s="1" t="s">
        <v>168</v>
      </c>
      <c r="AJ160" s="7">
        <v>1.0</v>
      </c>
      <c r="AK160" s="1" t="s">
        <v>5</v>
      </c>
      <c r="AL160" s="9"/>
      <c r="AM160" s="9"/>
      <c r="AN160" s="1">
        <v>15.0</v>
      </c>
      <c r="AO160" s="1" t="str">
        <f t="shared" si="2"/>
        <v>нет</v>
      </c>
      <c r="AP160" s="7">
        <v>158.0</v>
      </c>
      <c r="AQ160" s="7">
        <v>103.0</v>
      </c>
      <c r="AR160" s="9">
        <f t="shared" si="3"/>
        <v>41.25941356</v>
      </c>
      <c r="AS160" s="7" t="str">
        <f t="shared" si="4"/>
        <v>Ожирение III степени (морбидное)</v>
      </c>
      <c r="AT160" s="7">
        <v>120.0</v>
      </c>
      <c r="AU160" s="7">
        <v>70.0</v>
      </c>
      <c r="AV160" s="9"/>
      <c r="AW160" s="7">
        <v>96.0</v>
      </c>
      <c r="AX160" s="7">
        <v>38.0</v>
      </c>
      <c r="AY160" s="7">
        <v>22.0</v>
      </c>
      <c r="AZ160" s="7">
        <v>92.0</v>
      </c>
      <c r="BA160" s="10" t="str">
        <f t="shared" si="5"/>
        <v>да</v>
      </c>
      <c r="BB160" s="7">
        <v>95.0</v>
      </c>
      <c r="BC160" s="18"/>
      <c r="BD160" s="12" t="str">
        <f t="shared" si="6"/>
        <v>#DIV/0!</v>
      </c>
      <c r="BE160" s="12">
        <f t="shared" si="7"/>
        <v>1</v>
      </c>
      <c r="BF160" s="12">
        <f t="shared" si="8"/>
        <v>5</v>
      </c>
      <c r="BG160" s="1" t="s">
        <v>150</v>
      </c>
      <c r="BH160" s="9"/>
      <c r="BI160" s="1" t="s">
        <v>154</v>
      </c>
      <c r="BJ160" s="1" t="s">
        <v>237</v>
      </c>
      <c r="BK160" s="1" t="s">
        <v>150</v>
      </c>
      <c r="BL160" s="9"/>
      <c r="BM160" s="1" t="s">
        <v>154</v>
      </c>
      <c r="BN160" s="1" t="s">
        <v>448</v>
      </c>
      <c r="BO160" s="1" t="s">
        <v>154</v>
      </c>
      <c r="BP160" s="1" t="s">
        <v>157</v>
      </c>
      <c r="BQ160" s="9"/>
      <c r="BR160" s="1" t="s">
        <v>154</v>
      </c>
      <c r="BS160" s="1" t="s">
        <v>526</v>
      </c>
      <c r="BT160" s="1" t="s">
        <v>527</v>
      </c>
      <c r="BU160" s="1" t="s">
        <v>170</v>
      </c>
      <c r="BV160" s="1">
        <v>32.0</v>
      </c>
      <c r="BW160" s="1" t="s">
        <v>154</v>
      </c>
      <c r="BX160" s="1" t="s">
        <v>154</v>
      </c>
      <c r="BY160" s="1" t="s">
        <v>275</v>
      </c>
      <c r="BZ160" s="1" t="s">
        <v>154</v>
      </c>
      <c r="CA160" s="1" t="s">
        <v>154</v>
      </c>
      <c r="CB160" s="1" t="s">
        <v>150</v>
      </c>
      <c r="CC160" s="1" t="s">
        <v>150</v>
      </c>
      <c r="CD160" s="1" t="s">
        <v>150</v>
      </c>
      <c r="CE160" s="1" t="s">
        <v>150</v>
      </c>
      <c r="CF160" s="1" t="s">
        <v>150</v>
      </c>
      <c r="CG160" s="1" t="s">
        <v>150</v>
      </c>
      <c r="CH160" s="1" t="s">
        <v>150</v>
      </c>
      <c r="CI160" s="1" t="s">
        <v>150</v>
      </c>
      <c r="CJ160" s="1" t="s">
        <v>154</v>
      </c>
      <c r="CK160" s="1" t="s">
        <v>150</v>
      </c>
      <c r="CL160" s="1" t="s">
        <v>264</v>
      </c>
      <c r="CM160" s="7">
        <v>9.7</v>
      </c>
      <c r="CN160" s="7">
        <v>89.0</v>
      </c>
      <c r="CO160" s="7">
        <f t="shared" si="23"/>
        <v>8.633</v>
      </c>
      <c r="CP160" s="7">
        <v>8.5</v>
      </c>
      <c r="CQ160" s="7">
        <f t="shared" si="10"/>
        <v>0.733805</v>
      </c>
      <c r="CR160" s="7">
        <v>2.2</v>
      </c>
      <c r="CS160" s="7">
        <f t="shared" si="11"/>
        <v>0.01614371</v>
      </c>
      <c r="CT160" s="7">
        <v>0.0</v>
      </c>
      <c r="CU160" s="7">
        <f t="shared" si="12"/>
        <v>0</v>
      </c>
      <c r="CV160" s="7">
        <f t="shared" si="13"/>
        <v>11.76470588</v>
      </c>
      <c r="CW160" s="7">
        <v>4.71</v>
      </c>
      <c r="CX160" s="7">
        <v>124.0</v>
      </c>
      <c r="CY160" s="7" t="str">
        <f t="shared" si="14"/>
        <v>Легкая степень</v>
      </c>
      <c r="CZ160" s="7" t="s">
        <v>456</v>
      </c>
      <c r="DA160" s="7">
        <v>205.0</v>
      </c>
      <c r="DB160" s="7">
        <v>64.1</v>
      </c>
      <c r="DC160" s="7">
        <v>13.9</v>
      </c>
      <c r="DD160" s="7">
        <v>90.6</v>
      </c>
      <c r="DE160" s="7"/>
      <c r="DF160" s="7">
        <v>7.1</v>
      </c>
      <c r="DG160" s="7"/>
      <c r="DH160" s="7">
        <v>2.2</v>
      </c>
      <c r="DI160" s="7"/>
      <c r="DJ160" s="7">
        <v>0.0</v>
      </c>
      <c r="DK160" s="7"/>
      <c r="DL160" s="7"/>
      <c r="DM160" s="7">
        <v>4.4</v>
      </c>
      <c r="DN160" s="7">
        <v>115.0</v>
      </c>
      <c r="DO160" s="7" t="str">
        <f t="shared" si="15"/>
        <v>Легкая степень</v>
      </c>
      <c r="DP160" s="7">
        <v>54.0</v>
      </c>
      <c r="DQ160" s="7">
        <v>336.0</v>
      </c>
      <c r="DR160" s="7">
        <v>100.7</v>
      </c>
      <c r="DS160" s="7">
        <v>657.5</v>
      </c>
      <c r="DT160" s="18"/>
      <c r="DU160" s="7">
        <v>13.0</v>
      </c>
      <c r="DV160" s="7">
        <v>1.11</v>
      </c>
      <c r="DW160" s="18"/>
      <c r="DX160" s="7">
        <v>812.0</v>
      </c>
      <c r="DY160" s="7">
        <v>39.0</v>
      </c>
      <c r="DZ160" s="7">
        <v>14.3</v>
      </c>
      <c r="EA160" s="7">
        <v>1.3</v>
      </c>
      <c r="EB160" s="7"/>
      <c r="EC160" s="7">
        <v>7.51</v>
      </c>
      <c r="ED160" s="7">
        <v>7.84</v>
      </c>
      <c r="EE160" s="7">
        <v>36.7</v>
      </c>
      <c r="EF160" s="7">
        <v>25.1</v>
      </c>
      <c r="EG160" s="7">
        <v>78.7</v>
      </c>
      <c r="EH160" s="7">
        <v>8.3</v>
      </c>
      <c r="EI160" s="7">
        <v>4.0</v>
      </c>
      <c r="EJ160" s="7">
        <v>114.0</v>
      </c>
      <c r="EK160" s="34">
        <f t="shared" si="16"/>
        <v>46.4383133</v>
      </c>
      <c r="EL160" s="11" t="str">
        <f t="shared" si="17"/>
        <v>C3a</v>
      </c>
      <c r="EM160" s="7">
        <v>142.0</v>
      </c>
      <c r="EN160" s="7">
        <v>4.8</v>
      </c>
      <c r="EO160" s="7">
        <v>137.6</v>
      </c>
      <c r="EP160" s="7">
        <v>118.1</v>
      </c>
      <c r="EQ160" s="7">
        <v>67.4</v>
      </c>
      <c r="ER160" s="7">
        <v>10.8</v>
      </c>
      <c r="ES160" s="7">
        <v>7.2</v>
      </c>
      <c r="ET160" s="7">
        <v>85.0</v>
      </c>
      <c r="EU160" s="11">
        <f t="shared" si="18"/>
        <v>66.22270575</v>
      </c>
      <c r="EV160" s="11" t="str">
        <f t="shared" si="19"/>
        <v>C2</v>
      </c>
      <c r="EW160" s="7">
        <v>142.0</v>
      </c>
      <c r="EX160" s="7">
        <v>4.7</v>
      </c>
      <c r="EY160" s="9">
        <f t="shared" si="20"/>
        <v>0.2272689072</v>
      </c>
      <c r="EZ160" s="9">
        <f t="shared" si="21"/>
        <v>0.4434260729</v>
      </c>
      <c r="FA160" s="9" t="str">
        <f t="shared" si="22"/>
        <v>Благоприятный</v>
      </c>
      <c r="FB160" s="1" t="s">
        <v>256</v>
      </c>
      <c r="FC160" s="1" t="s">
        <v>445</v>
      </c>
    </row>
    <row r="161">
      <c r="A161" s="33">
        <v>160.0</v>
      </c>
      <c r="B161" s="7">
        <v>20.0</v>
      </c>
      <c r="C161" s="7">
        <v>8854.0</v>
      </c>
      <c r="D161" s="1" t="s">
        <v>445</v>
      </c>
      <c r="E161" s="7">
        <v>52.0</v>
      </c>
      <c r="F161" s="1" t="s">
        <v>161</v>
      </c>
      <c r="G161" s="7"/>
      <c r="H161" s="7">
        <v>38.0</v>
      </c>
      <c r="I161" s="1" t="s">
        <v>150</v>
      </c>
      <c r="J161" s="1" t="s">
        <v>150</v>
      </c>
      <c r="K161" s="9"/>
      <c r="L161" s="1" t="s">
        <v>150</v>
      </c>
      <c r="M161" s="1" t="s">
        <v>154</v>
      </c>
      <c r="N161" s="1" t="s">
        <v>192</v>
      </c>
      <c r="O161" s="1" t="s">
        <v>154</v>
      </c>
      <c r="P161" s="1" t="s">
        <v>150</v>
      </c>
      <c r="Q161" s="1" t="s">
        <v>154</v>
      </c>
      <c r="R161" s="7">
        <v>3.0</v>
      </c>
      <c r="S161" s="1" t="s">
        <v>154</v>
      </c>
      <c r="T161" s="1" t="s">
        <v>528</v>
      </c>
      <c r="W161" s="9"/>
      <c r="X161" s="1"/>
      <c r="Y161" s="1" t="s">
        <v>150</v>
      </c>
      <c r="Z161" s="9"/>
      <c r="AA161" s="9"/>
      <c r="AB161" s="9"/>
      <c r="AC161" s="9"/>
      <c r="AD161" s="1"/>
      <c r="AE161" s="1" t="s">
        <v>154</v>
      </c>
      <c r="AF161" s="7">
        <v>21.0</v>
      </c>
      <c r="AG161" s="1" t="s">
        <v>446</v>
      </c>
      <c r="AH161" s="1" t="s">
        <v>154</v>
      </c>
      <c r="AI161" s="1" t="s">
        <v>168</v>
      </c>
      <c r="AJ161" s="7">
        <v>2.0</v>
      </c>
      <c r="AK161" s="1" t="s">
        <v>5</v>
      </c>
      <c r="AL161" s="9"/>
      <c r="AM161" s="9"/>
      <c r="AN161" s="1">
        <v>15.0</v>
      </c>
      <c r="AO161" s="1" t="str">
        <f t="shared" si="2"/>
        <v>нет</v>
      </c>
      <c r="AP161" s="7">
        <v>164.0</v>
      </c>
      <c r="AQ161" s="7">
        <v>85.0</v>
      </c>
      <c r="AR161" s="9">
        <f t="shared" si="3"/>
        <v>31.60321237</v>
      </c>
      <c r="AS161" s="7" t="str">
        <f t="shared" si="4"/>
        <v>Ожирение I степени</v>
      </c>
      <c r="AT161" s="7">
        <v>140.0</v>
      </c>
      <c r="AU161" s="7">
        <v>90.0</v>
      </c>
      <c r="AV161" s="9"/>
      <c r="AW161" s="7">
        <v>98.0</v>
      </c>
      <c r="AX161" s="7">
        <v>38.5</v>
      </c>
      <c r="AY161" s="7">
        <v>21.0</v>
      </c>
      <c r="AZ161" s="7">
        <v>90.0</v>
      </c>
      <c r="BA161" s="10" t="str">
        <f t="shared" si="5"/>
        <v>да</v>
      </c>
      <c r="BB161" s="7">
        <v>95.0</v>
      </c>
      <c r="BC161" s="7">
        <v>60.0</v>
      </c>
      <c r="BD161" s="12">
        <f t="shared" si="6"/>
        <v>0.07142857143</v>
      </c>
      <c r="BE161" s="12">
        <f t="shared" si="7"/>
        <v>0</v>
      </c>
      <c r="BF161" s="12">
        <f t="shared" si="8"/>
        <v>7</v>
      </c>
      <c r="BG161" s="1" t="s">
        <v>154</v>
      </c>
      <c r="BH161" s="1" t="s">
        <v>163</v>
      </c>
      <c r="BI161" s="1" t="s">
        <v>154</v>
      </c>
      <c r="BJ161" s="1" t="s">
        <v>529</v>
      </c>
      <c r="BK161" s="1" t="s">
        <v>150</v>
      </c>
      <c r="BL161" s="9"/>
      <c r="BM161" s="1" t="s">
        <v>154</v>
      </c>
      <c r="BN161" s="1" t="s">
        <v>530</v>
      </c>
      <c r="BO161" s="1" t="s">
        <v>154</v>
      </c>
      <c r="BP161" s="1" t="s">
        <v>157</v>
      </c>
      <c r="BQ161" s="9"/>
      <c r="BR161" s="1" t="s">
        <v>154</v>
      </c>
      <c r="BS161" s="1" t="s">
        <v>477</v>
      </c>
      <c r="BT161" s="1" t="s">
        <v>531</v>
      </c>
      <c r="BU161" s="1" t="s">
        <v>207</v>
      </c>
      <c r="BV161" s="1">
        <v>4.0</v>
      </c>
      <c r="BW161" s="1" t="s">
        <v>154</v>
      </c>
      <c r="BX161" s="1" t="s">
        <v>154</v>
      </c>
      <c r="BY161" s="1" t="s">
        <v>269</v>
      </c>
      <c r="BZ161" s="1" t="s">
        <v>154</v>
      </c>
      <c r="CA161" s="1" t="s">
        <v>150</v>
      </c>
      <c r="CB161" s="1" t="s">
        <v>150</v>
      </c>
      <c r="CC161" s="1" t="s">
        <v>150</v>
      </c>
      <c r="CD161" s="1" t="s">
        <v>150</v>
      </c>
      <c r="CE161" s="1" t="s">
        <v>267</v>
      </c>
      <c r="CF161" s="1" t="s">
        <v>150</v>
      </c>
      <c r="CG161" s="1" t="s">
        <v>150</v>
      </c>
      <c r="CH161" s="1" t="s">
        <v>150</v>
      </c>
      <c r="CI161" s="1" t="s">
        <v>150</v>
      </c>
      <c r="CJ161" s="1" t="s">
        <v>532</v>
      </c>
      <c r="CK161" s="1" t="s">
        <v>150</v>
      </c>
      <c r="CL161" s="1" t="s">
        <v>533</v>
      </c>
      <c r="CM161" s="7">
        <v>15.3</v>
      </c>
      <c r="CN161" s="7">
        <v>85.2</v>
      </c>
      <c r="CO161" s="7">
        <f t="shared" si="23"/>
        <v>13.0356</v>
      </c>
      <c r="CP161" s="7">
        <v>9.4</v>
      </c>
      <c r="CQ161" s="7">
        <f t="shared" si="10"/>
        <v>1.2253464</v>
      </c>
      <c r="CR161" s="7">
        <v>5.3</v>
      </c>
      <c r="CS161" s="7">
        <f t="shared" si="11"/>
        <v>0.0649433592</v>
      </c>
      <c r="CT161" s="7">
        <v>0.0</v>
      </c>
      <c r="CU161" s="7">
        <f t="shared" si="12"/>
        <v>0</v>
      </c>
      <c r="CV161" s="7">
        <f t="shared" si="13"/>
        <v>10.63829787</v>
      </c>
      <c r="CW161" s="7">
        <v>4.91</v>
      </c>
      <c r="CX161" s="7">
        <v>135.0</v>
      </c>
      <c r="CY161" s="7" t="str">
        <f t="shared" si="14"/>
        <v>Норма</v>
      </c>
      <c r="CZ161" s="7" t="s">
        <v>456</v>
      </c>
      <c r="DA161" s="7">
        <v>321.0</v>
      </c>
      <c r="DB161" s="7">
        <v>85.8</v>
      </c>
      <c r="DC161" s="7">
        <v>6.82</v>
      </c>
      <c r="DD161" s="7">
        <v>81.0</v>
      </c>
      <c r="DE161" s="7"/>
      <c r="DF161" s="7">
        <v>5.0</v>
      </c>
      <c r="DG161" s="7"/>
      <c r="DH161" s="7">
        <v>4.0</v>
      </c>
      <c r="DI161" s="7"/>
      <c r="DJ161" s="7">
        <v>3.0</v>
      </c>
      <c r="DK161" s="7"/>
      <c r="DL161" s="7"/>
      <c r="DM161" s="7">
        <v>3.31</v>
      </c>
      <c r="DN161" s="7">
        <v>98.0</v>
      </c>
      <c r="DO161" s="7" t="str">
        <f t="shared" si="15"/>
        <v>Средняя степень</v>
      </c>
      <c r="DP161" s="7">
        <v>1.0</v>
      </c>
      <c r="DQ161" s="7">
        <v>111.0</v>
      </c>
      <c r="DR161" s="7">
        <v>17.2</v>
      </c>
      <c r="DS161" s="7">
        <v>549.0</v>
      </c>
      <c r="DT161" s="18"/>
      <c r="DU161" s="7">
        <v>11.6</v>
      </c>
      <c r="DV161" s="7">
        <v>0.99</v>
      </c>
      <c r="DW161" s="18"/>
      <c r="DX161" s="7">
        <v>307.0</v>
      </c>
      <c r="DY161" s="7">
        <v>30.1</v>
      </c>
      <c r="DZ161" s="7">
        <v>13.6</v>
      </c>
      <c r="EA161" s="7">
        <v>1.07</v>
      </c>
      <c r="EB161" s="7"/>
      <c r="EC161" s="7">
        <v>10.46</v>
      </c>
      <c r="ED161" s="7">
        <v>5.09</v>
      </c>
      <c r="EE161" s="7">
        <v>33.6</v>
      </c>
      <c r="EF161" s="7">
        <v>58.9</v>
      </c>
      <c r="EG161" s="7">
        <v>55.1</v>
      </c>
      <c r="EH161" s="7">
        <v>7.9</v>
      </c>
      <c r="EI161" s="7">
        <v>3.4</v>
      </c>
      <c r="EJ161" s="7">
        <v>71.0</v>
      </c>
      <c r="EK161" s="34">
        <f t="shared" si="16"/>
        <v>84.66541957</v>
      </c>
      <c r="EL161" s="11" t="str">
        <f t="shared" si="17"/>
        <v>C2</v>
      </c>
      <c r="EM161" s="7">
        <v>144.0</v>
      </c>
      <c r="EN161" s="7">
        <v>4.21</v>
      </c>
      <c r="EO161" s="7">
        <v>129.2</v>
      </c>
      <c r="EP161" s="7">
        <v>61.5</v>
      </c>
      <c r="EQ161" s="7">
        <v>58.0</v>
      </c>
      <c r="ER161" s="7">
        <v>9.5</v>
      </c>
      <c r="ES161" s="7">
        <v>8.8</v>
      </c>
      <c r="ET161" s="7">
        <v>34.0</v>
      </c>
      <c r="EU161" s="11">
        <f t="shared" si="18"/>
        <v>121.7119089</v>
      </c>
      <c r="EV161" s="11" t="str">
        <f t="shared" si="19"/>
        <v>C1</v>
      </c>
      <c r="EW161" s="7">
        <v>132.0</v>
      </c>
      <c r="EX161" s="7">
        <v>2.73</v>
      </c>
      <c r="EY161" s="9">
        <f t="shared" si="20"/>
        <v>-0.4894074539</v>
      </c>
      <c r="EZ161" s="9">
        <f t="shared" si="21"/>
        <v>0.6199668337</v>
      </c>
      <c r="FA161" s="9" t="str">
        <f t="shared" si="22"/>
        <v>Неблагоприятный</v>
      </c>
      <c r="FB161" s="1" t="s">
        <v>150</v>
      </c>
      <c r="FC161" s="1" t="s">
        <v>445</v>
      </c>
    </row>
    <row r="162">
      <c r="A162" s="33">
        <v>161.0</v>
      </c>
      <c r="B162" s="7">
        <v>21.0</v>
      </c>
      <c r="C162" s="7">
        <v>9128.0</v>
      </c>
      <c r="D162" s="1" t="s">
        <v>445</v>
      </c>
      <c r="E162" s="7">
        <v>56.0</v>
      </c>
      <c r="F162" s="1" t="s">
        <v>161</v>
      </c>
      <c r="G162" s="7"/>
      <c r="H162" s="7">
        <v>17.0</v>
      </c>
      <c r="I162" s="1" t="s">
        <v>150</v>
      </c>
      <c r="J162" s="1" t="s">
        <v>150</v>
      </c>
      <c r="K162" s="9"/>
      <c r="L162" s="1" t="s">
        <v>150</v>
      </c>
      <c r="M162" s="1" t="s">
        <v>154</v>
      </c>
      <c r="N162" s="1" t="s">
        <v>192</v>
      </c>
      <c r="O162" s="1" t="s">
        <v>154</v>
      </c>
      <c r="P162" s="1" t="s">
        <v>150</v>
      </c>
      <c r="Q162" s="1" t="s">
        <v>150</v>
      </c>
      <c r="R162" s="9"/>
      <c r="S162" s="1" t="s">
        <v>150</v>
      </c>
      <c r="T162" s="9"/>
      <c r="U162" s="9"/>
      <c r="V162" s="9"/>
      <c r="W162" s="9"/>
      <c r="X162" s="1"/>
      <c r="Y162" s="1" t="s">
        <v>150</v>
      </c>
      <c r="Z162" s="9"/>
      <c r="AA162" s="9"/>
      <c r="AB162" s="9"/>
      <c r="AC162" s="9"/>
      <c r="AD162" s="1" t="s">
        <v>534</v>
      </c>
      <c r="AE162" s="1" t="s">
        <v>154</v>
      </c>
      <c r="AF162" s="7">
        <v>5.0</v>
      </c>
      <c r="AG162" s="1" t="s">
        <v>446</v>
      </c>
      <c r="AH162" s="1" t="s">
        <v>154</v>
      </c>
      <c r="AI162" s="1" t="s">
        <v>168</v>
      </c>
      <c r="AJ162" s="3">
        <v>3.0</v>
      </c>
      <c r="AK162" s="1" t="s">
        <v>5</v>
      </c>
      <c r="AL162" s="9"/>
      <c r="AM162" s="9"/>
      <c r="AN162" s="1">
        <v>15.0</v>
      </c>
      <c r="AO162" s="1" t="str">
        <f t="shared" si="2"/>
        <v>нет</v>
      </c>
      <c r="AP162" s="7">
        <v>160.0</v>
      </c>
      <c r="AQ162" s="7">
        <v>97.0</v>
      </c>
      <c r="AR162" s="9">
        <f t="shared" si="3"/>
        <v>37.890625</v>
      </c>
      <c r="AS162" s="7" t="str">
        <f t="shared" si="4"/>
        <v>Ожирение II степени</v>
      </c>
      <c r="AT162" s="7">
        <v>135.0</v>
      </c>
      <c r="AU162" s="7">
        <v>90.0</v>
      </c>
      <c r="AV162" s="9"/>
      <c r="AW162" s="7">
        <v>95.0</v>
      </c>
      <c r="AX162" s="7">
        <v>38.0</v>
      </c>
      <c r="AY162" s="7">
        <v>23.0</v>
      </c>
      <c r="AZ162" s="7">
        <v>78.0</v>
      </c>
      <c r="BA162" s="10" t="str">
        <f t="shared" si="5"/>
        <v>да</v>
      </c>
      <c r="BB162" s="7">
        <v>92.0</v>
      </c>
      <c r="BC162" s="7">
        <v>44.0</v>
      </c>
      <c r="BD162" s="12">
        <f t="shared" si="6"/>
        <v>0.07707509881</v>
      </c>
      <c r="BE162" s="12">
        <f t="shared" si="7"/>
        <v>1</v>
      </c>
      <c r="BF162" s="12">
        <f t="shared" si="8"/>
        <v>6</v>
      </c>
      <c r="BG162" s="1" t="s">
        <v>154</v>
      </c>
      <c r="BH162" s="1" t="s">
        <v>198</v>
      </c>
      <c r="BI162" s="1" t="s">
        <v>154</v>
      </c>
      <c r="BJ162" s="1" t="s">
        <v>535</v>
      </c>
      <c r="BK162" s="1" t="s">
        <v>150</v>
      </c>
      <c r="BL162" s="9"/>
      <c r="BM162" s="1" t="s">
        <v>154</v>
      </c>
      <c r="BN162" s="1" t="s">
        <v>155</v>
      </c>
      <c r="BO162" s="1" t="s">
        <v>154</v>
      </c>
      <c r="BP162" s="1" t="s">
        <v>157</v>
      </c>
      <c r="BQ162" s="1" t="s">
        <v>536</v>
      </c>
      <c r="BR162" s="1" t="s">
        <v>154</v>
      </c>
      <c r="BS162" s="1" t="s">
        <v>483</v>
      </c>
      <c r="BT162" s="1" t="s">
        <v>537</v>
      </c>
      <c r="BU162" s="1" t="s">
        <v>170</v>
      </c>
      <c r="BV162" s="1">
        <v>32.0</v>
      </c>
      <c r="BW162" s="1" t="s">
        <v>154</v>
      </c>
      <c r="BX162" s="1" t="s">
        <v>154</v>
      </c>
      <c r="BY162" s="1" t="s">
        <v>269</v>
      </c>
      <c r="BZ162" s="1" t="s">
        <v>154</v>
      </c>
      <c r="CA162" s="1" t="s">
        <v>150</v>
      </c>
      <c r="CB162" s="1" t="s">
        <v>150</v>
      </c>
      <c r="CC162" s="1" t="s">
        <v>150</v>
      </c>
      <c r="CD162" s="1" t="s">
        <v>150</v>
      </c>
      <c r="CE162" s="1" t="s">
        <v>150</v>
      </c>
      <c r="CF162" s="1" t="s">
        <v>150</v>
      </c>
      <c r="CG162" s="1" t="s">
        <v>150</v>
      </c>
      <c r="CH162" s="1" t="s">
        <v>150</v>
      </c>
      <c r="CI162" s="1" t="s">
        <v>150</v>
      </c>
      <c r="CJ162" s="1" t="s">
        <v>154</v>
      </c>
      <c r="CK162" s="1" t="s">
        <v>150</v>
      </c>
      <c r="CL162" s="1" t="s">
        <v>538</v>
      </c>
      <c r="CM162" s="7">
        <v>5.7</v>
      </c>
      <c r="CN162" s="7">
        <v>81.7</v>
      </c>
      <c r="CO162" s="7">
        <f t="shared" si="23"/>
        <v>4.6569</v>
      </c>
      <c r="CP162" s="7">
        <v>11.3</v>
      </c>
      <c r="CQ162" s="7">
        <f t="shared" si="10"/>
        <v>0.5262297</v>
      </c>
      <c r="CR162" s="7">
        <v>6.9</v>
      </c>
      <c r="CS162" s="7">
        <f t="shared" si="11"/>
        <v>0.0363098493</v>
      </c>
      <c r="CT162" s="7">
        <v>0.0</v>
      </c>
      <c r="CU162" s="7">
        <f t="shared" si="12"/>
        <v>0</v>
      </c>
      <c r="CV162" s="7">
        <f t="shared" si="13"/>
        <v>8.849557522</v>
      </c>
      <c r="CW162" s="7">
        <v>5.41</v>
      </c>
      <c r="CX162" s="7">
        <v>151.0</v>
      </c>
      <c r="CY162" s="7" t="str">
        <f t="shared" si="14"/>
        <v>Норма</v>
      </c>
      <c r="CZ162" s="7" t="s">
        <v>456</v>
      </c>
      <c r="DA162" s="7">
        <v>329.0</v>
      </c>
      <c r="DB162" s="7">
        <v>80.0</v>
      </c>
      <c r="DC162" s="7">
        <v>22.89</v>
      </c>
      <c r="DD162" s="7">
        <v>96.0</v>
      </c>
      <c r="DE162" s="7"/>
      <c r="DF162" s="7">
        <v>4.7</v>
      </c>
      <c r="DG162" s="7"/>
      <c r="DH162" s="7">
        <v>1.0</v>
      </c>
      <c r="DI162" s="7"/>
      <c r="DJ162" s="7">
        <v>0.0</v>
      </c>
      <c r="DK162" s="7"/>
      <c r="DL162" s="7"/>
      <c r="DM162" s="7">
        <v>5.34</v>
      </c>
      <c r="DN162" s="7">
        <v>146.0</v>
      </c>
      <c r="DO162" s="7" t="str">
        <f t="shared" si="15"/>
        <v>Норма</v>
      </c>
      <c r="DP162" s="1">
        <v>21.0</v>
      </c>
      <c r="DQ162" s="7">
        <v>78.0</v>
      </c>
      <c r="DR162" s="7">
        <v>17.0</v>
      </c>
      <c r="DS162" s="7">
        <v>606.0</v>
      </c>
      <c r="DT162" s="18"/>
      <c r="DU162" s="7">
        <v>13.8</v>
      </c>
      <c r="DV162" s="7">
        <v>1.17</v>
      </c>
      <c r="DW162" s="1" t="s">
        <v>458</v>
      </c>
      <c r="DX162" s="7">
        <v>318.0</v>
      </c>
      <c r="DY162" s="7">
        <v>23.4</v>
      </c>
      <c r="DZ162" s="7">
        <v>14.2</v>
      </c>
      <c r="EA162" s="7">
        <v>1.21</v>
      </c>
      <c r="EB162" s="7"/>
      <c r="EC162" s="7">
        <v>10.32</v>
      </c>
      <c r="ED162" s="7">
        <v>7.84</v>
      </c>
      <c r="EE162" s="7">
        <v>59.84</v>
      </c>
      <c r="EF162" s="7">
        <v>91.24</v>
      </c>
      <c r="EG162" s="7">
        <v>69.9</v>
      </c>
      <c r="EH162" s="18"/>
      <c r="EI162" s="18"/>
      <c r="EJ162" s="7">
        <v>85.44</v>
      </c>
      <c r="EK162" s="34">
        <f t="shared" si="16"/>
        <v>65.81061719</v>
      </c>
      <c r="EL162" s="11" t="str">
        <f t="shared" si="17"/>
        <v>C2</v>
      </c>
      <c r="EM162" s="7">
        <v>140.4</v>
      </c>
      <c r="EN162" s="7">
        <v>3.75</v>
      </c>
      <c r="EO162" s="7">
        <v>51.06</v>
      </c>
      <c r="EP162" s="7">
        <v>29.27</v>
      </c>
      <c r="EQ162" s="7">
        <v>59.6</v>
      </c>
      <c r="ER162" s="7">
        <v>8.23</v>
      </c>
      <c r="ES162" s="7">
        <v>31.7</v>
      </c>
      <c r="ET162" s="7">
        <v>106.4</v>
      </c>
      <c r="EU162" s="11">
        <f t="shared" si="18"/>
        <v>50.47798082</v>
      </c>
      <c r="EV162" s="11" t="str">
        <f t="shared" si="19"/>
        <v>C3a</v>
      </c>
      <c r="EW162" s="7">
        <v>144.9</v>
      </c>
      <c r="EX162" s="7">
        <v>4.06</v>
      </c>
      <c r="EY162" s="9">
        <f t="shared" si="20"/>
        <v>-1.628804438</v>
      </c>
      <c r="EZ162" s="9">
        <f t="shared" si="21"/>
        <v>0.8360057929</v>
      </c>
      <c r="FA162" s="9" t="str">
        <f t="shared" si="22"/>
        <v>Неблагоприятный</v>
      </c>
      <c r="FB162" s="1" t="s">
        <v>150</v>
      </c>
      <c r="FC162" s="1" t="s">
        <v>445</v>
      </c>
    </row>
    <row r="163">
      <c r="A163" s="33">
        <v>162.0</v>
      </c>
      <c r="B163" s="7">
        <v>22.0</v>
      </c>
      <c r="C163" s="7">
        <v>9854.0</v>
      </c>
      <c r="D163" s="1" t="s">
        <v>445</v>
      </c>
      <c r="E163" s="7">
        <v>64.0</v>
      </c>
      <c r="F163" s="1" t="s">
        <v>161</v>
      </c>
      <c r="G163" s="7"/>
      <c r="H163" s="7">
        <v>21.0</v>
      </c>
      <c r="I163" s="1" t="s">
        <v>150</v>
      </c>
      <c r="J163" s="1" t="s">
        <v>154</v>
      </c>
      <c r="K163" s="1" t="s">
        <v>539</v>
      </c>
      <c r="L163" s="1" t="s">
        <v>150</v>
      </c>
      <c r="M163" s="1" t="s">
        <v>150</v>
      </c>
      <c r="N163" s="9"/>
      <c r="O163" s="1" t="s">
        <v>154</v>
      </c>
      <c r="P163" s="1" t="s">
        <v>150</v>
      </c>
      <c r="Q163" s="1" t="s">
        <v>154</v>
      </c>
      <c r="R163" s="1">
        <v>3.0</v>
      </c>
      <c r="S163" s="1" t="s">
        <v>154</v>
      </c>
      <c r="T163" s="1" t="s">
        <v>540</v>
      </c>
      <c r="U163" s="9"/>
      <c r="V163" s="9"/>
      <c r="W163" s="9"/>
      <c r="X163" s="9"/>
      <c r="Y163" s="9"/>
      <c r="Z163" s="9"/>
      <c r="AA163" s="9"/>
      <c r="AB163" s="9"/>
      <c r="AC163" s="9"/>
      <c r="AD163" s="1"/>
      <c r="AE163" s="1" t="s">
        <v>154</v>
      </c>
      <c r="AF163" s="7">
        <v>21.0</v>
      </c>
      <c r="AG163" s="1" t="s">
        <v>446</v>
      </c>
      <c r="AH163" s="1" t="s">
        <v>154</v>
      </c>
      <c r="AI163" s="1" t="s">
        <v>168</v>
      </c>
      <c r="AJ163" s="18"/>
      <c r="AK163" s="1" t="s">
        <v>5</v>
      </c>
      <c r="AL163" s="9"/>
      <c r="AM163" s="9"/>
      <c r="AN163" s="1">
        <v>15.0</v>
      </c>
      <c r="AO163" s="1" t="str">
        <f t="shared" si="2"/>
        <v>нет</v>
      </c>
      <c r="AP163" s="7">
        <v>160.0</v>
      </c>
      <c r="AQ163" s="7">
        <v>76.0</v>
      </c>
      <c r="AR163" s="9">
        <f t="shared" si="3"/>
        <v>29.6875</v>
      </c>
      <c r="AS163" s="7" t="str">
        <f t="shared" si="4"/>
        <v>Избыточный вес (предожирение)</v>
      </c>
      <c r="AT163" s="7">
        <v>132.0</v>
      </c>
      <c r="AU163" s="7">
        <v>76.0</v>
      </c>
      <c r="AV163" s="9"/>
      <c r="AW163" s="7">
        <v>114.0</v>
      </c>
      <c r="AX163" s="7">
        <v>37.0</v>
      </c>
      <c r="AY163" s="7">
        <v>24.0</v>
      </c>
      <c r="AZ163" s="7">
        <v>60.0</v>
      </c>
      <c r="BA163" s="10" t="str">
        <f t="shared" si="5"/>
        <v>да</v>
      </c>
      <c r="BB163" s="7">
        <v>93.0</v>
      </c>
      <c r="BC163" s="7">
        <v>60.0</v>
      </c>
      <c r="BD163" s="12">
        <f t="shared" si="6"/>
        <v>0.04166666667</v>
      </c>
      <c r="BE163" s="12">
        <f t="shared" si="7"/>
        <v>1</v>
      </c>
      <c r="BF163" s="12">
        <f t="shared" si="8"/>
        <v>7</v>
      </c>
      <c r="BG163" s="1" t="s">
        <v>150</v>
      </c>
      <c r="BH163" s="1"/>
      <c r="BI163" s="1" t="s">
        <v>154</v>
      </c>
      <c r="BJ163" s="1" t="s">
        <v>237</v>
      </c>
      <c r="BK163" s="1" t="s">
        <v>150</v>
      </c>
      <c r="BL163" s="9"/>
      <c r="BM163" s="1" t="s">
        <v>154</v>
      </c>
      <c r="BN163" s="1" t="s">
        <v>530</v>
      </c>
      <c r="BO163" s="1" t="s">
        <v>150</v>
      </c>
      <c r="BP163" s="1"/>
      <c r="BQ163" s="9"/>
      <c r="BR163" s="1" t="s">
        <v>154</v>
      </c>
      <c r="BS163" s="1" t="s">
        <v>541</v>
      </c>
      <c r="BT163" s="1" t="s">
        <v>542</v>
      </c>
      <c r="BU163" s="1" t="s">
        <v>303</v>
      </c>
      <c r="BV163" s="1">
        <v>180.0</v>
      </c>
      <c r="BW163" s="1" t="s">
        <v>154</v>
      </c>
      <c r="BX163" s="1" t="s">
        <v>154</v>
      </c>
      <c r="BY163" s="1" t="s">
        <v>275</v>
      </c>
      <c r="BZ163" s="1" t="s">
        <v>154</v>
      </c>
      <c r="CA163" s="1" t="s">
        <v>154</v>
      </c>
      <c r="CB163" s="1" t="s">
        <v>154</v>
      </c>
      <c r="CC163" s="1" t="s">
        <v>154</v>
      </c>
      <c r="CD163" s="1" t="s">
        <v>150</v>
      </c>
      <c r="CE163" s="1" t="s">
        <v>150</v>
      </c>
      <c r="CF163" s="1" t="s">
        <v>150</v>
      </c>
      <c r="CG163" s="1" t="s">
        <v>150</v>
      </c>
      <c r="CH163" s="1" t="s">
        <v>150</v>
      </c>
      <c r="CI163" s="1" t="s">
        <v>150</v>
      </c>
      <c r="CJ163" s="1" t="s">
        <v>150</v>
      </c>
      <c r="CK163" s="1" t="s">
        <v>150</v>
      </c>
      <c r="CL163" s="1" t="s">
        <v>543</v>
      </c>
      <c r="CM163" s="7">
        <v>5.84</v>
      </c>
      <c r="CN163" s="7">
        <v>82.9</v>
      </c>
      <c r="CO163" s="7">
        <f t="shared" si="23"/>
        <v>4.84136</v>
      </c>
      <c r="CP163" s="7">
        <v>11.1</v>
      </c>
      <c r="CQ163" s="7">
        <f t="shared" si="10"/>
        <v>0.53739096</v>
      </c>
      <c r="CR163" s="7">
        <v>6.0</v>
      </c>
      <c r="CS163" s="7">
        <f t="shared" si="11"/>
        <v>0.0322434576</v>
      </c>
      <c r="CT163" s="7">
        <v>0.0</v>
      </c>
      <c r="CU163" s="7">
        <f t="shared" si="12"/>
        <v>0</v>
      </c>
      <c r="CV163" s="7">
        <f t="shared" si="13"/>
        <v>9.009009009</v>
      </c>
      <c r="CW163" s="7">
        <v>3.93</v>
      </c>
      <c r="CX163" s="7">
        <v>132.0</v>
      </c>
      <c r="CY163" s="7" t="str">
        <f t="shared" si="14"/>
        <v>Норма</v>
      </c>
      <c r="CZ163" s="7" t="s">
        <v>456</v>
      </c>
      <c r="DA163" s="7">
        <v>213.0</v>
      </c>
      <c r="DB163" s="7">
        <v>263.3</v>
      </c>
      <c r="DC163" s="7">
        <v>0.36</v>
      </c>
      <c r="DD163" s="7">
        <v>47.2</v>
      </c>
      <c r="DE163" s="7"/>
      <c r="DF163" s="7">
        <v>33.3</v>
      </c>
      <c r="DG163" s="7"/>
      <c r="DH163" s="7">
        <v>16.7</v>
      </c>
      <c r="DI163" s="7"/>
      <c r="DJ163" s="7">
        <v>2.8</v>
      </c>
      <c r="DK163" s="7"/>
      <c r="DL163" s="7"/>
      <c r="DM163" s="7">
        <v>3.68</v>
      </c>
      <c r="DN163" s="7">
        <v>122.0</v>
      </c>
      <c r="DO163" s="7" t="str">
        <f t="shared" si="15"/>
        <v>Легкая степень</v>
      </c>
      <c r="DP163" s="7" t="s">
        <v>456</v>
      </c>
      <c r="DQ163" s="7">
        <v>355.0</v>
      </c>
      <c r="DR163" s="7">
        <v>180.3</v>
      </c>
      <c r="DS163" s="7">
        <v>1080.0</v>
      </c>
      <c r="DT163" s="7">
        <v>25.6</v>
      </c>
      <c r="DU163" s="7">
        <v>12.0</v>
      </c>
      <c r="DV163" s="7">
        <v>1.03</v>
      </c>
      <c r="DW163" s="1" t="s">
        <v>473</v>
      </c>
      <c r="DX163" s="1" t="s">
        <v>544</v>
      </c>
      <c r="DY163" s="7">
        <v>21.2</v>
      </c>
      <c r="DZ163" s="7">
        <v>12.7</v>
      </c>
      <c r="EA163" s="7">
        <v>1.08</v>
      </c>
      <c r="EB163" s="7"/>
      <c r="EC163" s="7">
        <v>10.28</v>
      </c>
      <c r="ED163" s="7">
        <v>8.21</v>
      </c>
      <c r="EE163" s="7">
        <v>15.24</v>
      </c>
      <c r="EF163" s="7">
        <v>31.01</v>
      </c>
      <c r="EG163" s="7">
        <v>64.8</v>
      </c>
      <c r="EH163" s="7">
        <v>7.84</v>
      </c>
      <c r="EI163" s="7">
        <v>1.88</v>
      </c>
      <c r="EJ163" s="7">
        <v>104.12</v>
      </c>
      <c r="EK163" s="34">
        <f t="shared" si="16"/>
        <v>48.98573082</v>
      </c>
      <c r="EL163" s="11" t="str">
        <f t="shared" si="17"/>
        <v>C3a</v>
      </c>
      <c r="EM163" s="7">
        <v>138.1</v>
      </c>
      <c r="EN163" s="7">
        <v>4.54</v>
      </c>
      <c r="EO163" s="7">
        <v>35.0</v>
      </c>
      <c r="EP163" s="7">
        <v>47.8</v>
      </c>
      <c r="EQ163" s="7">
        <v>47.5</v>
      </c>
      <c r="ER163" s="7">
        <v>8.8</v>
      </c>
      <c r="ES163" s="7">
        <v>4.7</v>
      </c>
      <c r="ET163" s="7">
        <v>218.0</v>
      </c>
      <c r="EU163" s="11">
        <f t="shared" si="18"/>
        <v>20.04815862</v>
      </c>
      <c r="EV163" s="11" t="str">
        <f t="shared" si="19"/>
        <v>C4</v>
      </c>
      <c r="EW163" s="7">
        <v>128.1</v>
      </c>
      <c r="EX163" s="7">
        <v>4.72</v>
      </c>
      <c r="EY163" s="9">
        <f t="shared" si="20"/>
        <v>-0.38112825</v>
      </c>
      <c r="EZ163" s="9">
        <f t="shared" si="21"/>
        <v>0.5941451943</v>
      </c>
      <c r="FA163" s="9" t="str">
        <f t="shared" si="22"/>
        <v>Неблагоприятный</v>
      </c>
      <c r="FB163" s="1" t="s">
        <v>150</v>
      </c>
      <c r="FC163" s="1" t="s">
        <v>445</v>
      </c>
    </row>
    <row r="164">
      <c r="A164" s="33">
        <v>163.0</v>
      </c>
      <c r="B164" s="16">
        <v>23.0</v>
      </c>
      <c r="C164" s="7">
        <v>8937.0</v>
      </c>
      <c r="D164" s="1" t="s">
        <v>445</v>
      </c>
      <c r="E164" s="7">
        <v>62.0</v>
      </c>
      <c r="F164" s="1" t="s">
        <v>161</v>
      </c>
      <c r="G164" s="7"/>
      <c r="H164" s="7">
        <v>33.0</v>
      </c>
      <c r="I164" s="1" t="s">
        <v>154</v>
      </c>
      <c r="J164" s="1" t="s">
        <v>150</v>
      </c>
      <c r="K164" s="9"/>
      <c r="L164" s="1" t="s">
        <v>150</v>
      </c>
      <c r="M164" s="1" t="s">
        <v>154</v>
      </c>
      <c r="N164" s="1" t="s">
        <v>192</v>
      </c>
      <c r="O164" s="1" t="str">
        <f>IF(EC164&gt;=6.1,IF(EC164&lt;7,"да","нет"),"нет")</f>
        <v>нет</v>
      </c>
      <c r="P164" s="1" t="s">
        <v>150</v>
      </c>
      <c r="Q164" s="1" t="s">
        <v>154</v>
      </c>
      <c r="R164" s="18"/>
      <c r="S164" s="1" t="s">
        <v>150</v>
      </c>
      <c r="T164" s="9"/>
      <c r="U164" s="9"/>
      <c r="V164" s="9"/>
      <c r="W164" s="9"/>
      <c r="X164" s="1"/>
      <c r="Y164" s="9"/>
      <c r="Z164" s="9"/>
      <c r="AA164" s="9"/>
      <c r="AB164" s="9"/>
      <c r="AC164" s="9"/>
      <c r="AD164" s="1"/>
      <c r="AE164" s="35" t="s">
        <v>150</v>
      </c>
      <c r="AF164" s="1"/>
      <c r="AG164" s="1" t="s">
        <v>446</v>
      </c>
      <c r="AH164" s="1" t="s">
        <v>154</v>
      </c>
      <c r="AI164" s="1" t="s">
        <v>153</v>
      </c>
      <c r="AJ164" s="7">
        <v>1.0</v>
      </c>
      <c r="AK164" s="1" t="s">
        <v>5</v>
      </c>
      <c r="AL164" s="9"/>
      <c r="AM164" s="9"/>
      <c r="AN164" s="1">
        <v>15.0</v>
      </c>
      <c r="AO164" s="1" t="str">
        <f t="shared" si="2"/>
        <v>нет</v>
      </c>
      <c r="AP164" s="7">
        <v>165.0</v>
      </c>
      <c r="AQ164" s="7">
        <v>78.0</v>
      </c>
      <c r="AR164" s="9">
        <f t="shared" si="3"/>
        <v>28.65013774</v>
      </c>
      <c r="AS164" s="7" t="str">
        <f t="shared" si="4"/>
        <v>Избыточный вес (предожирение)</v>
      </c>
      <c r="AT164" s="7">
        <v>130.0</v>
      </c>
      <c r="AU164" s="7">
        <v>82.0</v>
      </c>
      <c r="AV164" s="9"/>
      <c r="AW164" s="7">
        <v>81.0</v>
      </c>
      <c r="AX164" s="7">
        <v>36.7</v>
      </c>
      <c r="AY164" s="7">
        <v>20.0</v>
      </c>
      <c r="AZ164" s="7">
        <v>88.0</v>
      </c>
      <c r="BA164" s="10" t="str">
        <f t="shared" si="5"/>
        <v>да</v>
      </c>
      <c r="BB164" s="18"/>
      <c r="BC164" s="18"/>
      <c r="BD164" s="12" t="str">
        <f t="shared" si="6"/>
        <v>#DIV/0!</v>
      </c>
      <c r="BE164" s="12">
        <f t="shared" si="7"/>
        <v>0</v>
      </c>
      <c r="BF164" s="12">
        <f t="shared" si="8"/>
        <v>3</v>
      </c>
      <c r="BG164" s="1" t="s">
        <v>154</v>
      </c>
      <c r="BH164" s="1" t="s">
        <v>175</v>
      </c>
      <c r="BI164" s="1" t="s">
        <v>154</v>
      </c>
      <c r="BJ164" s="1" t="s">
        <v>545</v>
      </c>
      <c r="BK164" s="1" t="s">
        <v>154</v>
      </c>
      <c r="BL164" s="1" t="s">
        <v>189</v>
      </c>
      <c r="BM164" s="1" t="s">
        <v>154</v>
      </c>
      <c r="BN164" s="1" t="s">
        <v>155</v>
      </c>
      <c r="BO164" s="1" t="s">
        <v>154</v>
      </c>
      <c r="BP164" s="1" t="s">
        <v>157</v>
      </c>
      <c r="BQ164" s="9"/>
      <c r="BR164" s="1" t="s">
        <v>154</v>
      </c>
      <c r="BS164" s="1" t="s">
        <v>512</v>
      </c>
      <c r="BT164" s="1" t="s">
        <v>546</v>
      </c>
      <c r="BU164" s="9"/>
      <c r="BV164" s="9"/>
      <c r="BW164" s="1" t="s">
        <v>154</v>
      </c>
      <c r="BX164" s="1" t="s">
        <v>154</v>
      </c>
      <c r="BY164" s="1" t="s">
        <v>547</v>
      </c>
      <c r="BZ164" s="1" t="s">
        <v>154</v>
      </c>
      <c r="CA164" s="1" t="s">
        <v>154</v>
      </c>
      <c r="CB164" s="1" t="s">
        <v>150</v>
      </c>
      <c r="CC164" s="1" t="s">
        <v>150</v>
      </c>
      <c r="CD164" s="1" t="s">
        <v>150</v>
      </c>
      <c r="CE164" s="1" t="s">
        <v>154</v>
      </c>
      <c r="CF164" s="1" t="s">
        <v>150</v>
      </c>
      <c r="CG164" s="1" t="s">
        <v>154</v>
      </c>
      <c r="CH164" s="1" t="s">
        <v>150</v>
      </c>
      <c r="CI164" s="1" t="s">
        <v>150</v>
      </c>
      <c r="CJ164" s="1" t="s">
        <v>154</v>
      </c>
      <c r="CK164" s="1" t="s">
        <v>150</v>
      </c>
      <c r="CL164" s="1" t="s">
        <v>548</v>
      </c>
      <c r="CM164" s="1"/>
      <c r="CN164" s="1"/>
      <c r="CO164" s="7">
        <f t="shared" si="23"/>
        <v>0</v>
      </c>
      <c r="CP164" s="1"/>
      <c r="CQ164" s="7">
        <f t="shared" si="10"/>
        <v>0</v>
      </c>
      <c r="CR164" s="1"/>
      <c r="CS164" s="7">
        <f t="shared" si="11"/>
        <v>0</v>
      </c>
      <c r="CT164" s="1"/>
      <c r="CU164" s="7">
        <f t="shared" si="12"/>
        <v>0</v>
      </c>
      <c r="CV164" s="7" t="str">
        <f t="shared" si="13"/>
        <v>#DIV/0!</v>
      </c>
      <c r="CW164" s="1"/>
      <c r="CX164" s="1"/>
      <c r="CY164" s="7" t="str">
        <f t="shared" si="14"/>
        <v>Тяжелая степень</v>
      </c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7" t="str">
        <f t="shared" si="15"/>
        <v>Тяжелая степень</v>
      </c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34" t="str">
        <f t="shared" si="16"/>
        <v>#NUM!</v>
      </c>
      <c r="EL164" s="11" t="str">
        <f t="shared" si="17"/>
        <v>#NUM!</v>
      </c>
      <c r="EM164" s="9"/>
      <c r="EN164" s="9"/>
      <c r="EO164" s="9"/>
      <c r="EP164" s="9"/>
      <c r="EQ164" s="9"/>
      <c r="ER164" s="9"/>
      <c r="ES164" s="9"/>
      <c r="ET164" s="9"/>
      <c r="EU164" s="11" t="str">
        <f t="shared" si="18"/>
        <v>#NUM!</v>
      </c>
      <c r="EV164" s="11" t="str">
        <f t="shared" si="19"/>
        <v>#NUM!</v>
      </c>
      <c r="EW164" s="9"/>
      <c r="EX164" s="9"/>
      <c r="EY164" s="9">
        <f t="shared" si="20"/>
        <v>2.196408815</v>
      </c>
      <c r="EZ164" s="9">
        <f t="shared" si="21"/>
        <v>0.1000734425</v>
      </c>
      <c r="FA164" s="9" t="str">
        <f t="shared" si="22"/>
        <v>Благоприятный</v>
      </c>
      <c r="FB164" s="1" t="s">
        <v>256</v>
      </c>
      <c r="FC164" s="1" t="s">
        <v>445</v>
      </c>
    </row>
    <row r="165">
      <c r="A165" s="33">
        <v>164.0</v>
      </c>
      <c r="B165" s="7">
        <v>24.0</v>
      </c>
      <c r="C165" s="7">
        <v>10191.0</v>
      </c>
      <c r="D165" s="1" t="s">
        <v>445</v>
      </c>
      <c r="E165" s="7">
        <v>63.0</v>
      </c>
      <c r="F165" s="1" t="s">
        <v>149</v>
      </c>
      <c r="G165" s="7"/>
      <c r="H165" s="7">
        <v>4.0</v>
      </c>
      <c r="I165" s="1" t="s">
        <v>150</v>
      </c>
      <c r="J165" s="1" t="s">
        <v>150</v>
      </c>
      <c r="K165" s="9"/>
      <c r="L165" s="1" t="s">
        <v>154</v>
      </c>
      <c r="M165" s="1" t="s">
        <v>154</v>
      </c>
      <c r="N165" s="7" t="s">
        <v>549</v>
      </c>
      <c r="O165" s="1" t="s">
        <v>154</v>
      </c>
      <c r="P165" s="1" t="s">
        <v>154</v>
      </c>
      <c r="Q165" s="1" t="s">
        <v>154</v>
      </c>
      <c r="R165" s="7">
        <v>3.0</v>
      </c>
      <c r="S165" s="1" t="s">
        <v>154</v>
      </c>
      <c r="T165" s="1" t="s">
        <v>550</v>
      </c>
      <c r="W165" s="9"/>
      <c r="X165" s="1"/>
      <c r="Y165" s="1" t="s">
        <v>150</v>
      </c>
      <c r="Z165" s="9"/>
      <c r="AA165" s="9"/>
      <c r="AB165" s="9"/>
      <c r="AC165" s="9"/>
      <c r="AD165" s="1" t="s">
        <v>551</v>
      </c>
      <c r="AE165" s="1" t="s">
        <v>154</v>
      </c>
      <c r="AF165" s="7">
        <v>1.0</v>
      </c>
      <c r="AG165" s="1" t="s">
        <v>446</v>
      </c>
      <c r="AH165" s="1" t="s">
        <v>154</v>
      </c>
      <c r="AI165" s="1" t="s">
        <v>552</v>
      </c>
      <c r="AJ165" s="18"/>
      <c r="AK165" s="1" t="s">
        <v>328</v>
      </c>
      <c r="AL165" s="9"/>
      <c r="AM165" s="9"/>
      <c r="AN165" s="1">
        <v>15.0</v>
      </c>
      <c r="AO165" s="1" t="str">
        <f t="shared" si="2"/>
        <v>нет</v>
      </c>
      <c r="AP165" s="7">
        <v>187.0</v>
      </c>
      <c r="AQ165" s="7">
        <v>140.0</v>
      </c>
      <c r="AR165" s="9">
        <f t="shared" si="3"/>
        <v>40.03545998</v>
      </c>
      <c r="AS165" s="7" t="str">
        <f t="shared" si="4"/>
        <v>Ожирение III степени (морбидное)</v>
      </c>
      <c r="AT165" s="7">
        <v>136.0</v>
      </c>
      <c r="AU165" s="7">
        <v>90.0</v>
      </c>
      <c r="AV165" s="9"/>
      <c r="AW165" s="7">
        <v>124.0</v>
      </c>
      <c r="AX165" s="7">
        <v>38.0</v>
      </c>
      <c r="AY165" s="7">
        <v>23.0</v>
      </c>
      <c r="AZ165" s="7">
        <v>77.0</v>
      </c>
      <c r="BA165" s="10" t="str">
        <f t="shared" si="5"/>
        <v>да</v>
      </c>
      <c r="BB165" s="7">
        <v>94.0</v>
      </c>
      <c r="BC165" s="18"/>
      <c r="BD165" s="12" t="str">
        <f t="shared" si="6"/>
        <v>#DIV/0!</v>
      </c>
      <c r="BE165" s="12">
        <f t="shared" si="7"/>
        <v>1</v>
      </c>
      <c r="BF165" s="12">
        <f t="shared" si="8"/>
        <v>7</v>
      </c>
      <c r="BG165" s="1" t="s">
        <v>522</v>
      </c>
      <c r="BH165" s="9"/>
      <c r="BI165" s="1" t="s">
        <v>154</v>
      </c>
      <c r="BJ165" s="1" t="s">
        <v>169</v>
      </c>
      <c r="BK165" s="1" t="s">
        <v>150</v>
      </c>
      <c r="BL165" s="9"/>
      <c r="BM165" s="1" t="s">
        <v>154</v>
      </c>
      <c r="BN165" s="1" t="s">
        <v>553</v>
      </c>
      <c r="BO165" s="1" t="s">
        <v>154</v>
      </c>
      <c r="BP165" s="1" t="s">
        <v>157</v>
      </c>
      <c r="BQ165" s="9"/>
      <c r="BR165" s="1" t="s">
        <v>154</v>
      </c>
      <c r="BS165" s="1" t="s">
        <v>477</v>
      </c>
      <c r="BT165" s="1" t="s">
        <v>554</v>
      </c>
      <c r="BU165" s="1" t="s">
        <v>170</v>
      </c>
      <c r="BV165" s="1">
        <v>24.0</v>
      </c>
      <c r="BW165" s="1" t="s">
        <v>154</v>
      </c>
      <c r="BX165" s="1" t="s">
        <v>154</v>
      </c>
      <c r="BY165" s="1" t="s">
        <v>269</v>
      </c>
      <c r="BZ165" s="1" t="s">
        <v>154</v>
      </c>
      <c r="CA165" s="1" t="s">
        <v>154</v>
      </c>
      <c r="CB165" s="1" t="s">
        <v>154</v>
      </c>
      <c r="CC165" s="1" t="s">
        <v>150</v>
      </c>
      <c r="CD165" s="1" t="s">
        <v>154</v>
      </c>
      <c r="CE165" s="1" t="s">
        <v>150</v>
      </c>
      <c r="CF165" s="1" t="s">
        <v>150</v>
      </c>
      <c r="CG165" s="1" t="s">
        <v>150</v>
      </c>
      <c r="CH165" s="1" t="s">
        <v>150</v>
      </c>
      <c r="CI165" s="1" t="s">
        <v>150</v>
      </c>
      <c r="CJ165" s="1" t="s">
        <v>154</v>
      </c>
      <c r="CK165" s="1" t="s">
        <v>150</v>
      </c>
      <c r="CL165" s="1" t="s">
        <v>417</v>
      </c>
      <c r="CM165" s="7">
        <v>8.3</v>
      </c>
      <c r="CN165" s="7">
        <v>88.2</v>
      </c>
      <c r="CO165" s="7">
        <f t="shared" si="23"/>
        <v>7.3206</v>
      </c>
      <c r="CP165" s="7">
        <v>8.9</v>
      </c>
      <c r="CQ165" s="7">
        <f t="shared" si="10"/>
        <v>0.6515334</v>
      </c>
      <c r="CR165" s="7">
        <v>2.6</v>
      </c>
      <c r="CS165" s="7">
        <f t="shared" si="11"/>
        <v>0.0169398684</v>
      </c>
      <c r="CT165" s="7">
        <v>0.1</v>
      </c>
      <c r="CU165" s="7">
        <f t="shared" si="12"/>
        <v>0.0000169398684</v>
      </c>
      <c r="CV165" s="7">
        <f t="shared" si="13"/>
        <v>11.23595506</v>
      </c>
      <c r="CW165" s="7">
        <v>4.81</v>
      </c>
      <c r="CX165" s="7">
        <v>142.0</v>
      </c>
      <c r="CY165" s="7" t="str">
        <f t="shared" si="14"/>
        <v>Норма</v>
      </c>
      <c r="CZ165" s="7" t="s">
        <v>456</v>
      </c>
      <c r="DA165" s="7">
        <v>257.0</v>
      </c>
      <c r="DB165" s="7">
        <v>156.7</v>
      </c>
      <c r="DC165" s="7">
        <v>33.58</v>
      </c>
      <c r="DD165" s="7">
        <v>78.4</v>
      </c>
      <c r="DE165" s="7"/>
      <c r="DF165" s="7">
        <v>16.0</v>
      </c>
      <c r="DG165" s="7"/>
      <c r="DH165" s="7">
        <v>5.5</v>
      </c>
      <c r="DI165" s="7"/>
      <c r="DJ165" s="7">
        <v>0.0</v>
      </c>
      <c r="DK165" s="7"/>
      <c r="DL165" s="7"/>
      <c r="DM165" s="7">
        <v>5.05</v>
      </c>
      <c r="DN165" s="7">
        <v>145.0</v>
      </c>
      <c r="DO165" s="7" t="str">
        <f t="shared" si="15"/>
        <v>Норма</v>
      </c>
      <c r="DP165" s="7">
        <v>6.0</v>
      </c>
      <c r="DQ165" s="7">
        <v>275.0</v>
      </c>
      <c r="DR165" s="7">
        <v>33.4</v>
      </c>
      <c r="DS165" s="7">
        <v>1200.0</v>
      </c>
      <c r="DT165" s="7">
        <v>43.5</v>
      </c>
      <c r="DU165" s="7">
        <v>14.5</v>
      </c>
      <c r="DV165" s="7">
        <v>3.8</v>
      </c>
      <c r="DW165" s="1" t="s">
        <v>473</v>
      </c>
      <c r="DX165" s="1" t="s">
        <v>544</v>
      </c>
      <c r="DY165" s="7">
        <v>38.6</v>
      </c>
      <c r="DZ165" s="7">
        <v>57.0</v>
      </c>
      <c r="EA165" s="7">
        <v>4.87</v>
      </c>
      <c r="EB165" s="7"/>
      <c r="EC165" s="7">
        <v>8.87</v>
      </c>
      <c r="ED165" s="7">
        <v>16.21</v>
      </c>
      <c r="EE165" s="7">
        <v>9.04</v>
      </c>
      <c r="EF165" s="7">
        <v>38.59</v>
      </c>
      <c r="EG165" s="7">
        <v>65.4</v>
      </c>
      <c r="EH165" s="7">
        <v>13.91</v>
      </c>
      <c r="EI165" s="18"/>
      <c r="EJ165" s="7">
        <v>85.1</v>
      </c>
      <c r="EK165" s="34">
        <f t="shared" si="16"/>
        <v>62.95559079</v>
      </c>
      <c r="EL165" s="11" t="str">
        <f t="shared" si="17"/>
        <v>C2</v>
      </c>
      <c r="EM165" s="7">
        <v>134.4</v>
      </c>
      <c r="EN165" s="7">
        <v>4.36</v>
      </c>
      <c r="EO165" s="7">
        <v>22.0</v>
      </c>
      <c r="EP165" s="7">
        <v>31.6</v>
      </c>
      <c r="EQ165" s="7">
        <v>70.8</v>
      </c>
      <c r="ER165" s="7">
        <v>12.6</v>
      </c>
      <c r="ES165" s="7">
        <v>4.7</v>
      </c>
      <c r="ET165" s="7">
        <v>155.0</v>
      </c>
      <c r="EU165" s="11">
        <f t="shared" si="18"/>
        <v>30.49355926</v>
      </c>
      <c r="EV165" s="11" t="str">
        <f t="shared" si="19"/>
        <v>C3b</v>
      </c>
      <c r="EW165" s="7">
        <v>138.9</v>
      </c>
      <c r="EX165" s="7">
        <v>4.54</v>
      </c>
      <c r="EY165" s="9">
        <f t="shared" si="20"/>
        <v>-1.958947548</v>
      </c>
      <c r="EZ165" s="9">
        <f t="shared" si="21"/>
        <v>0.8764190078</v>
      </c>
      <c r="FA165" s="9" t="str">
        <f t="shared" si="22"/>
        <v>Неблагоприятный</v>
      </c>
      <c r="FB165" s="1" t="s">
        <v>150</v>
      </c>
      <c r="FC165" s="1" t="s">
        <v>445</v>
      </c>
    </row>
    <row r="166">
      <c r="A166" s="33">
        <v>165.0</v>
      </c>
      <c r="B166" s="7">
        <v>25.0</v>
      </c>
      <c r="C166" s="7">
        <v>8991.0</v>
      </c>
      <c r="D166" s="1" t="s">
        <v>445</v>
      </c>
      <c r="E166" s="7">
        <v>63.0</v>
      </c>
      <c r="F166" s="1" t="s">
        <v>149</v>
      </c>
      <c r="G166" s="7"/>
      <c r="H166" s="7">
        <v>17.0</v>
      </c>
      <c r="I166" s="1" t="s">
        <v>150</v>
      </c>
      <c r="J166" s="1" t="s">
        <v>150</v>
      </c>
      <c r="K166" s="9"/>
      <c r="L166" s="1" t="s">
        <v>150</v>
      </c>
      <c r="M166" s="1" t="s">
        <v>150</v>
      </c>
      <c r="N166" s="9"/>
      <c r="O166" s="1" t="s">
        <v>154</v>
      </c>
      <c r="P166" s="1" t="s">
        <v>154</v>
      </c>
      <c r="Q166" s="1" t="s">
        <v>154</v>
      </c>
      <c r="R166" s="7">
        <v>2.0</v>
      </c>
      <c r="S166" s="1" t="s">
        <v>150</v>
      </c>
      <c r="T166" s="9"/>
      <c r="U166" s="9"/>
      <c r="V166" s="9"/>
      <c r="W166" s="9"/>
      <c r="X166" s="1"/>
      <c r="Y166" s="1" t="s">
        <v>150</v>
      </c>
      <c r="Z166" s="9"/>
      <c r="AA166" s="9"/>
      <c r="AB166" s="9"/>
      <c r="AC166" s="9"/>
      <c r="AD166" s="1"/>
      <c r="AE166" s="1" t="s">
        <v>154</v>
      </c>
      <c r="AF166" s="1">
        <v>1.0</v>
      </c>
      <c r="AG166" s="1" t="s">
        <v>446</v>
      </c>
      <c r="AH166" s="1" t="s">
        <v>154</v>
      </c>
      <c r="AI166" s="1" t="s">
        <v>153</v>
      </c>
      <c r="AJ166" s="7">
        <v>3.0</v>
      </c>
      <c r="AK166" s="1" t="s">
        <v>328</v>
      </c>
      <c r="AL166" s="9"/>
      <c r="AM166" s="9"/>
      <c r="AN166" s="1">
        <v>15.0</v>
      </c>
      <c r="AO166" s="1" t="str">
        <f t="shared" si="2"/>
        <v>нет</v>
      </c>
      <c r="AP166" s="7">
        <v>192.0</v>
      </c>
      <c r="AQ166" s="7">
        <v>94.0</v>
      </c>
      <c r="AR166" s="9">
        <f t="shared" si="3"/>
        <v>25.49913194</v>
      </c>
      <c r="AS166" s="7" t="str">
        <f t="shared" si="4"/>
        <v>Избыточный вес (предожирение)</v>
      </c>
      <c r="AT166" s="7">
        <v>160.0</v>
      </c>
      <c r="AU166" s="7">
        <v>81.0</v>
      </c>
      <c r="AV166" s="9"/>
      <c r="AW166" s="7">
        <v>94.0</v>
      </c>
      <c r="AX166" s="7">
        <v>37.8</v>
      </c>
      <c r="AY166" s="7">
        <v>19.0</v>
      </c>
      <c r="AZ166" s="7">
        <v>81.0</v>
      </c>
      <c r="BA166" s="10" t="str">
        <f t="shared" si="5"/>
        <v>да</v>
      </c>
      <c r="BB166" s="7">
        <v>90.0</v>
      </c>
      <c r="BC166" s="18"/>
      <c r="BD166" s="12" t="str">
        <f t="shared" si="6"/>
        <v>#DIV/0!</v>
      </c>
      <c r="BE166" s="12">
        <f t="shared" si="7"/>
        <v>0</v>
      </c>
      <c r="BF166" s="12">
        <f t="shared" si="8"/>
        <v>4</v>
      </c>
      <c r="BG166" s="1" t="s">
        <v>150</v>
      </c>
      <c r="BH166" s="9"/>
      <c r="BI166" s="1" t="s">
        <v>154</v>
      </c>
      <c r="BJ166" s="1" t="s">
        <v>237</v>
      </c>
      <c r="BK166" s="1" t="s">
        <v>150</v>
      </c>
      <c r="BL166" s="9"/>
      <c r="BM166" s="1" t="s">
        <v>154</v>
      </c>
      <c r="BN166" s="1" t="s">
        <v>155</v>
      </c>
      <c r="BO166" s="1" t="s">
        <v>150</v>
      </c>
      <c r="BP166" s="9"/>
      <c r="BQ166" s="9"/>
      <c r="BR166" s="1" t="s">
        <v>154</v>
      </c>
      <c r="BS166" s="1" t="s">
        <v>483</v>
      </c>
      <c r="BT166" s="7">
        <v>24.0</v>
      </c>
      <c r="BU166" s="1" t="s">
        <v>170</v>
      </c>
      <c r="BV166" s="1">
        <v>32.0</v>
      </c>
      <c r="BW166" s="1" t="s">
        <v>154</v>
      </c>
      <c r="BX166" s="1" t="s">
        <v>154</v>
      </c>
      <c r="BY166" s="1" t="s">
        <v>173</v>
      </c>
      <c r="BZ166" s="1" t="s">
        <v>154</v>
      </c>
      <c r="CA166" s="1" t="s">
        <v>154</v>
      </c>
      <c r="CB166" s="1" t="s">
        <v>150</v>
      </c>
      <c r="CC166" s="1" t="s">
        <v>150</v>
      </c>
      <c r="CD166" s="1" t="s">
        <v>150</v>
      </c>
      <c r="CE166" s="1" t="s">
        <v>150</v>
      </c>
      <c r="CF166" s="1" t="s">
        <v>240</v>
      </c>
      <c r="CG166" s="1" t="s">
        <v>150</v>
      </c>
      <c r="CH166" s="1" t="s">
        <v>150</v>
      </c>
      <c r="CI166" s="1" t="s">
        <v>150</v>
      </c>
      <c r="CJ166" s="1" t="s">
        <v>150</v>
      </c>
      <c r="CK166" s="1" t="s">
        <v>150</v>
      </c>
      <c r="CL166" s="1" t="s">
        <v>555</v>
      </c>
      <c r="CM166" s="7">
        <v>17.3</v>
      </c>
      <c r="CN166" s="7">
        <v>85.8</v>
      </c>
      <c r="CO166" s="7">
        <f t="shared" si="23"/>
        <v>14.8434</v>
      </c>
      <c r="CP166" s="7">
        <v>10.5</v>
      </c>
      <c r="CQ166" s="7">
        <f t="shared" si="10"/>
        <v>1.558557</v>
      </c>
      <c r="CR166" s="7">
        <v>2.9</v>
      </c>
      <c r="CS166" s="7">
        <f t="shared" si="11"/>
        <v>0.045198153</v>
      </c>
      <c r="CT166" s="7">
        <v>0.0</v>
      </c>
      <c r="CU166" s="7">
        <f t="shared" si="12"/>
        <v>0</v>
      </c>
      <c r="CV166" s="7">
        <f t="shared" si="13"/>
        <v>9.523809524</v>
      </c>
      <c r="CW166" s="7">
        <v>4.44</v>
      </c>
      <c r="CX166" s="7">
        <v>127.0</v>
      </c>
      <c r="CY166" s="7" t="str">
        <f t="shared" si="14"/>
        <v>Легкая степень</v>
      </c>
      <c r="CZ166" s="7" t="s">
        <v>456</v>
      </c>
      <c r="DA166" s="7">
        <v>234.0</v>
      </c>
      <c r="DB166" s="7">
        <v>144.2</v>
      </c>
      <c r="DC166" s="7">
        <v>29.35</v>
      </c>
      <c r="DD166" s="7">
        <v>96.0</v>
      </c>
      <c r="DE166" s="7"/>
      <c r="DF166" s="7">
        <v>1.0</v>
      </c>
      <c r="DG166" s="7"/>
      <c r="DH166" s="7">
        <v>2.0</v>
      </c>
      <c r="DI166" s="7"/>
      <c r="DJ166" s="7">
        <v>0.0</v>
      </c>
      <c r="DK166" s="7"/>
      <c r="DL166" s="7"/>
      <c r="DM166" s="7">
        <v>4.57</v>
      </c>
      <c r="DN166" s="7">
        <v>132.0</v>
      </c>
      <c r="DO166" s="7" t="str">
        <f t="shared" si="15"/>
        <v>Норма</v>
      </c>
      <c r="DP166" s="7">
        <v>7.0</v>
      </c>
      <c r="DQ166" s="7">
        <v>136.0</v>
      </c>
      <c r="DR166" s="7">
        <v>122.1</v>
      </c>
      <c r="DS166" s="7">
        <v>620.0</v>
      </c>
      <c r="DT166" s="7">
        <v>34.0</v>
      </c>
      <c r="DU166" s="7">
        <v>14.0</v>
      </c>
      <c r="DV166" s="7">
        <v>1.19</v>
      </c>
      <c r="DW166" s="7">
        <v>0.0</v>
      </c>
      <c r="DX166" s="1">
        <v>700.0</v>
      </c>
      <c r="DY166" s="1">
        <v>75.0</v>
      </c>
      <c r="DZ166" s="1">
        <v>15.2</v>
      </c>
      <c r="EA166" s="1">
        <v>1.2</v>
      </c>
      <c r="EB166" s="7"/>
      <c r="EC166" s="7">
        <v>8.01</v>
      </c>
      <c r="ED166" s="7">
        <v>29.14</v>
      </c>
      <c r="EE166" s="7">
        <v>38.58</v>
      </c>
      <c r="EF166" s="7">
        <v>91.43</v>
      </c>
      <c r="EG166" s="7">
        <v>67.8</v>
      </c>
      <c r="EH166" s="18"/>
      <c r="EI166" s="18"/>
      <c r="EJ166" s="7">
        <v>107.14</v>
      </c>
      <c r="EK166" s="34">
        <f t="shared" si="16"/>
        <v>47.65490485</v>
      </c>
      <c r="EL166" s="11" t="str">
        <f t="shared" si="17"/>
        <v>C3a</v>
      </c>
      <c r="EM166" s="7">
        <v>140.8</v>
      </c>
      <c r="EN166" s="7">
        <v>4.0</v>
      </c>
      <c r="EO166" s="7">
        <v>79.4</v>
      </c>
      <c r="EP166" s="7">
        <v>60.3</v>
      </c>
      <c r="EQ166" s="7">
        <v>55.3</v>
      </c>
      <c r="ER166" s="7">
        <v>14.3</v>
      </c>
      <c r="ES166" s="7">
        <v>9.5</v>
      </c>
      <c r="ET166" s="7">
        <v>236.0</v>
      </c>
      <c r="EU166" s="11">
        <f t="shared" si="18"/>
        <v>18.34292247</v>
      </c>
      <c r="EV166" s="11" t="str">
        <f t="shared" si="19"/>
        <v>C4</v>
      </c>
      <c r="EW166" s="7">
        <v>145.2</v>
      </c>
      <c r="EX166" s="7">
        <v>4.1</v>
      </c>
      <c r="EY166" s="9">
        <f t="shared" si="20"/>
        <v>-0.3002850035</v>
      </c>
      <c r="EZ166" s="9">
        <f t="shared" si="21"/>
        <v>0.5745121868</v>
      </c>
      <c r="FA166" s="9" t="str">
        <f t="shared" si="22"/>
        <v>Неблагоприятный</v>
      </c>
      <c r="FB166" s="1" t="s">
        <v>150</v>
      </c>
      <c r="FC166" s="1" t="s">
        <v>445</v>
      </c>
    </row>
    <row r="167">
      <c r="A167" s="33">
        <v>166.0</v>
      </c>
      <c r="B167" s="7">
        <v>26.0</v>
      </c>
      <c r="C167" s="7">
        <v>8504.0</v>
      </c>
      <c r="D167" s="1" t="s">
        <v>445</v>
      </c>
      <c r="E167" s="7">
        <v>60.0</v>
      </c>
      <c r="F167" s="1" t="s">
        <v>161</v>
      </c>
      <c r="G167" s="7"/>
      <c r="H167" s="7">
        <v>17.0</v>
      </c>
      <c r="I167" s="1" t="s">
        <v>150</v>
      </c>
      <c r="J167" s="1" t="s">
        <v>154</v>
      </c>
      <c r="K167" s="1" t="s">
        <v>556</v>
      </c>
      <c r="L167" s="1" t="s">
        <v>150</v>
      </c>
      <c r="M167" s="1" t="s">
        <v>150</v>
      </c>
      <c r="N167" s="9"/>
      <c r="O167" s="1" t="str">
        <f>IF(EC167&gt;=6.1,IF(EC167&lt;7,"да","нет"),"нет")</f>
        <v>нет</v>
      </c>
      <c r="P167" s="1" t="s">
        <v>150</v>
      </c>
      <c r="Q167" s="1" t="s">
        <v>154</v>
      </c>
      <c r="R167" s="7">
        <v>3.0</v>
      </c>
      <c r="S167" s="1" t="s">
        <v>150</v>
      </c>
      <c r="T167" s="9"/>
      <c r="U167" s="9"/>
      <c r="V167" s="9"/>
      <c r="W167" s="9"/>
      <c r="X167" s="1"/>
      <c r="Y167" s="1" t="s">
        <v>150</v>
      </c>
      <c r="Z167" s="9"/>
      <c r="AA167" s="9"/>
      <c r="AB167" s="9"/>
      <c r="AC167" s="9"/>
      <c r="AD167" s="1"/>
      <c r="AE167" s="36" t="s">
        <v>150</v>
      </c>
      <c r="AF167" s="1"/>
      <c r="AG167" s="1" t="s">
        <v>446</v>
      </c>
      <c r="AH167" s="1" t="s">
        <v>154</v>
      </c>
      <c r="AI167" s="1" t="s">
        <v>168</v>
      </c>
      <c r="AJ167" s="7">
        <v>1.0</v>
      </c>
      <c r="AK167" s="1" t="s">
        <v>5</v>
      </c>
      <c r="AL167" s="9"/>
      <c r="AM167" s="9"/>
      <c r="AN167" s="1">
        <v>15.0</v>
      </c>
      <c r="AO167" s="1" t="str">
        <f t="shared" si="2"/>
        <v>нет</v>
      </c>
      <c r="AP167" s="7">
        <v>168.0</v>
      </c>
      <c r="AQ167" s="7">
        <v>100.0</v>
      </c>
      <c r="AR167" s="9">
        <f t="shared" si="3"/>
        <v>35.430839</v>
      </c>
      <c r="AS167" s="7" t="str">
        <f t="shared" si="4"/>
        <v>Ожирение II степени</v>
      </c>
      <c r="AT167" s="7">
        <v>140.0</v>
      </c>
      <c r="AU167" s="7">
        <v>90.0</v>
      </c>
      <c r="AV167" s="9"/>
      <c r="AW167" s="7">
        <v>89.0</v>
      </c>
      <c r="AX167" s="7">
        <v>37.5</v>
      </c>
      <c r="AY167" s="7">
        <v>22.0</v>
      </c>
      <c r="AZ167" s="7">
        <v>69.0</v>
      </c>
      <c r="BA167" s="10" t="str">
        <f t="shared" si="5"/>
        <v>да</v>
      </c>
      <c r="BB167" s="7">
        <v>97.0</v>
      </c>
      <c r="BC167" s="7">
        <v>50.0</v>
      </c>
      <c r="BD167" s="12">
        <f t="shared" si="6"/>
        <v>0.06272727273</v>
      </c>
      <c r="BE167" s="12">
        <f t="shared" si="7"/>
        <v>1</v>
      </c>
      <c r="BF167" s="12">
        <f t="shared" si="8"/>
        <v>5</v>
      </c>
      <c r="BG167" s="1" t="s">
        <v>522</v>
      </c>
      <c r="BH167" s="9"/>
      <c r="BI167" s="1" t="s">
        <v>154</v>
      </c>
      <c r="BJ167" s="1" t="s">
        <v>506</v>
      </c>
      <c r="BK167" s="1" t="s">
        <v>150</v>
      </c>
      <c r="BL167" s="1"/>
      <c r="BM167" s="1" t="s">
        <v>154</v>
      </c>
      <c r="BN167" s="1" t="s">
        <v>557</v>
      </c>
      <c r="BO167" s="1" t="s">
        <v>522</v>
      </c>
      <c r="BP167" s="9"/>
      <c r="BQ167" s="9"/>
      <c r="BR167" s="1" t="s">
        <v>154</v>
      </c>
      <c r="BS167" s="1" t="s">
        <v>512</v>
      </c>
      <c r="BT167" s="1" t="s">
        <v>558</v>
      </c>
      <c r="BU167" s="1" t="s">
        <v>170</v>
      </c>
      <c r="BV167" s="1">
        <v>24.0</v>
      </c>
      <c r="BW167" s="1" t="s">
        <v>154</v>
      </c>
      <c r="BX167" s="1" t="s">
        <v>154</v>
      </c>
      <c r="BY167" s="1" t="s">
        <v>258</v>
      </c>
      <c r="BZ167" s="1" t="s">
        <v>154</v>
      </c>
      <c r="CA167" s="1" t="s">
        <v>154</v>
      </c>
      <c r="CB167" s="1" t="s">
        <v>150</v>
      </c>
      <c r="CC167" s="1" t="s">
        <v>150</v>
      </c>
      <c r="CD167" s="1" t="s">
        <v>150</v>
      </c>
      <c r="CE167" s="1" t="s">
        <v>150</v>
      </c>
      <c r="CF167" s="1" t="s">
        <v>150</v>
      </c>
      <c r="CG167" s="1" t="s">
        <v>150</v>
      </c>
      <c r="CH167" s="1" t="s">
        <v>150</v>
      </c>
      <c r="CI167" s="1" t="s">
        <v>150</v>
      </c>
      <c r="CJ167" s="1" t="s">
        <v>150</v>
      </c>
      <c r="CK167" s="1" t="s">
        <v>150</v>
      </c>
      <c r="CL167" s="1" t="s">
        <v>559</v>
      </c>
      <c r="CM167" s="7">
        <v>8.5</v>
      </c>
      <c r="CN167" s="7">
        <v>78.4</v>
      </c>
      <c r="CO167" s="7">
        <f t="shared" si="23"/>
        <v>6.664</v>
      </c>
      <c r="CP167" s="7">
        <v>9.3</v>
      </c>
      <c r="CQ167" s="7">
        <f t="shared" si="10"/>
        <v>0.619752</v>
      </c>
      <c r="CR167" s="7">
        <v>11.9</v>
      </c>
      <c r="CS167" s="7">
        <f t="shared" si="11"/>
        <v>0.073750488</v>
      </c>
      <c r="CT167" s="7">
        <v>0.0</v>
      </c>
      <c r="CU167" s="7">
        <f t="shared" si="12"/>
        <v>0</v>
      </c>
      <c r="CV167" s="7">
        <f t="shared" si="13"/>
        <v>10.75268817</v>
      </c>
      <c r="CW167" s="7">
        <v>4.19</v>
      </c>
      <c r="CX167" s="7">
        <v>124.0</v>
      </c>
      <c r="CY167" s="7" t="str">
        <f t="shared" si="14"/>
        <v>Легкая степень</v>
      </c>
      <c r="CZ167" s="7" t="s">
        <v>456</v>
      </c>
      <c r="DA167" s="7">
        <v>137.0</v>
      </c>
      <c r="DB167" s="7">
        <v>11.9</v>
      </c>
      <c r="DC167" s="7">
        <v>4.6</v>
      </c>
      <c r="DD167" s="7">
        <v>93.2</v>
      </c>
      <c r="DE167" s="7"/>
      <c r="DF167" s="7">
        <v>4.7</v>
      </c>
      <c r="DG167" s="7"/>
      <c r="DH167" s="7">
        <v>0.4</v>
      </c>
      <c r="DI167" s="7"/>
      <c r="DJ167" s="7">
        <v>1.5</v>
      </c>
      <c r="DK167" s="7"/>
      <c r="DL167" s="7"/>
      <c r="DM167" s="7">
        <v>4.38</v>
      </c>
      <c r="DN167" s="7">
        <v>132.0</v>
      </c>
      <c r="DO167" s="7" t="str">
        <f t="shared" si="15"/>
        <v>Норма</v>
      </c>
      <c r="DP167" s="7" t="s">
        <v>456</v>
      </c>
      <c r="DQ167" s="7">
        <v>31.0</v>
      </c>
      <c r="DR167" s="7">
        <v>7.5</v>
      </c>
      <c r="DS167" s="7">
        <v>466.0</v>
      </c>
      <c r="DT167" s="18"/>
      <c r="DU167" s="7">
        <v>13.1</v>
      </c>
      <c r="DV167" s="7">
        <v>1.12</v>
      </c>
      <c r="DW167" s="1" t="s">
        <v>560</v>
      </c>
      <c r="DX167" s="3" t="s">
        <v>561</v>
      </c>
      <c r="DY167" s="18"/>
      <c r="DZ167" s="7">
        <v>13.1</v>
      </c>
      <c r="EA167" s="7">
        <v>1.12</v>
      </c>
      <c r="EB167" s="7"/>
      <c r="EC167" s="7">
        <v>6.0</v>
      </c>
      <c r="ED167" s="7">
        <v>12.9</v>
      </c>
      <c r="EE167" s="7">
        <v>8.19</v>
      </c>
      <c r="EF167" s="7">
        <v>18.65</v>
      </c>
      <c r="EG167" s="7">
        <v>67.4</v>
      </c>
      <c r="EH167" s="7" t="s">
        <v>456</v>
      </c>
      <c r="EI167" s="7">
        <v>0.0</v>
      </c>
      <c r="EJ167" s="7">
        <v>108.3</v>
      </c>
      <c r="EK167" s="34">
        <f t="shared" si="16"/>
        <v>48.04028691</v>
      </c>
      <c r="EL167" s="11" t="str">
        <f t="shared" si="17"/>
        <v>C3a</v>
      </c>
      <c r="EM167" s="7">
        <v>137.9</v>
      </c>
      <c r="EN167" s="7">
        <v>3.7</v>
      </c>
      <c r="EO167" s="7">
        <v>31.2</v>
      </c>
      <c r="EP167" s="7">
        <v>39.0</v>
      </c>
      <c r="EQ167" s="7">
        <v>45.6</v>
      </c>
      <c r="ER167" s="7">
        <v>10.2</v>
      </c>
      <c r="ES167" s="7">
        <v>4.2</v>
      </c>
      <c r="ET167" s="7">
        <v>231.0</v>
      </c>
      <c r="EU167" s="11">
        <f t="shared" si="18"/>
        <v>19.22491874</v>
      </c>
      <c r="EV167" s="11" t="str">
        <f t="shared" si="19"/>
        <v>C4</v>
      </c>
      <c r="EW167" s="7">
        <v>162.1</v>
      </c>
      <c r="EX167" s="7">
        <v>5.4</v>
      </c>
      <c r="EY167" s="9">
        <f t="shared" si="20"/>
        <v>0.2459274172</v>
      </c>
      <c r="EZ167" s="9">
        <f t="shared" si="21"/>
        <v>0.438826153</v>
      </c>
      <c r="FA167" s="9" t="str">
        <f t="shared" si="22"/>
        <v>Благоприятный</v>
      </c>
      <c r="FB167" s="1" t="s">
        <v>256</v>
      </c>
      <c r="FC167" s="1" t="s">
        <v>445</v>
      </c>
    </row>
    <row r="168">
      <c r="A168" s="33">
        <v>167.0</v>
      </c>
      <c r="B168" s="7">
        <v>27.0</v>
      </c>
      <c r="C168" s="7">
        <v>8052.0</v>
      </c>
      <c r="D168" s="1" t="s">
        <v>445</v>
      </c>
      <c r="E168" s="7">
        <v>70.0</v>
      </c>
      <c r="F168" s="1" t="s">
        <v>161</v>
      </c>
      <c r="G168" s="7"/>
      <c r="H168" s="7">
        <v>14.0</v>
      </c>
      <c r="I168" s="1" t="s">
        <v>154</v>
      </c>
      <c r="J168" s="1" t="s">
        <v>150</v>
      </c>
      <c r="K168" s="1"/>
      <c r="L168" s="1" t="s">
        <v>150</v>
      </c>
      <c r="M168" s="1" t="s">
        <v>517</v>
      </c>
      <c r="N168" s="1" t="s">
        <v>192</v>
      </c>
      <c r="O168" s="1" t="s">
        <v>154</v>
      </c>
      <c r="P168" s="1" t="s">
        <v>150</v>
      </c>
      <c r="Q168" s="1" t="s">
        <v>150</v>
      </c>
      <c r="R168" s="9"/>
      <c r="S168" s="1" t="s">
        <v>150</v>
      </c>
      <c r="T168" s="1"/>
      <c r="U168" s="1"/>
      <c r="V168" s="1"/>
      <c r="W168" s="9"/>
      <c r="X168" s="1"/>
      <c r="Y168" s="1" t="s">
        <v>150</v>
      </c>
      <c r="Z168" s="9"/>
      <c r="AA168" s="1"/>
      <c r="AB168" s="1"/>
      <c r="AC168" s="1"/>
      <c r="AD168" s="1"/>
      <c r="AE168" s="1" t="s">
        <v>154</v>
      </c>
      <c r="AF168" s="7">
        <v>5.0</v>
      </c>
      <c r="AG168" s="1" t="s">
        <v>446</v>
      </c>
      <c r="AH168" s="1" t="s">
        <v>154</v>
      </c>
      <c r="AI168" s="1" t="s">
        <v>168</v>
      </c>
      <c r="AJ168" s="18"/>
      <c r="AK168" s="1" t="s">
        <v>5</v>
      </c>
      <c r="AL168" s="9"/>
      <c r="AM168" s="1" t="s">
        <v>278</v>
      </c>
      <c r="AN168" s="1">
        <v>15.0</v>
      </c>
      <c r="AO168" s="1" t="str">
        <f t="shared" si="2"/>
        <v>нет</v>
      </c>
      <c r="AP168" s="7">
        <v>162.0</v>
      </c>
      <c r="AQ168" s="7">
        <v>90.0</v>
      </c>
      <c r="AR168" s="9">
        <f t="shared" si="3"/>
        <v>34.29355281</v>
      </c>
      <c r="AS168" s="7" t="str">
        <f t="shared" si="4"/>
        <v>Ожирение I степени</v>
      </c>
      <c r="AT168" s="7">
        <v>122.0</v>
      </c>
      <c r="AU168" s="7">
        <v>78.0</v>
      </c>
      <c r="AV168" s="9"/>
      <c r="AW168" s="7">
        <v>101.0</v>
      </c>
      <c r="AX168" s="7">
        <v>37.0</v>
      </c>
      <c r="AY168" s="7">
        <v>20.0</v>
      </c>
      <c r="AZ168" s="7">
        <v>89.0</v>
      </c>
      <c r="BA168" s="10" t="str">
        <f t="shared" si="5"/>
        <v>да</v>
      </c>
      <c r="BB168" s="7">
        <v>96.0</v>
      </c>
      <c r="BC168" s="7">
        <v>40.0</v>
      </c>
      <c r="BD168" s="12">
        <f t="shared" si="6"/>
        <v>0.11125</v>
      </c>
      <c r="BE168" s="12">
        <f t="shared" si="7"/>
        <v>0</v>
      </c>
      <c r="BF168" s="12">
        <f t="shared" si="8"/>
        <v>4</v>
      </c>
      <c r="BG168" s="1" t="s">
        <v>522</v>
      </c>
      <c r="BH168" s="9"/>
      <c r="BI168" s="1" t="s">
        <v>154</v>
      </c>
      <c r="BJ168" s="1" t="s">
        <v>237</v>
      </c>
      <c r="BK168" s="1" t="s">
        <v>150</v>
      </c>
      <c r="BL168" s="9"/>
      <c r="BM168" s="1" t="s">
        <v>154</v>
      </c>
      <c r="BN168" s="1" t="s">
        <v>562</v>
      </c>
      <c r="BO168" s="1" t="s">
        <v>522</v>
      </c>
      <c r="BP168" s="9"/>
      <c r="BQ168" s="9"/>
      <c r="BR168" s="1" t="s">
        <v>154</v>
      </c>
      <c r="BS168" s="1" t="s">
        <v>170</v>
      </c>
      <c r="BT168" s="7">
        <v>24.0</v>
      </c>
      <c r="BU168" s="1" t="s">
        <v>170</v>
      </c>
      <c r="BV168" s="1">
        <v>24.0</v>
      </c>
      <c r="BW168" s="1" t="s">
        <v>150</v>
      </c>
      <c r="BX168" s="1" t="s">
        <v>154</v>
      </c>
      <c r="BY168" s="1" t="s">
        <v>173</v>
      </c>
      <c r="BZ168" s="1" t="s">
        <v>154</v>
      </c>
      <c r="CA168" s="1" t="s">
        <v>150</v>
      </c>
      <c r="CB168" s="1" t="s">
        <v>150</v>
      </c>
      <c r="CC168" s="1" t="s">
        <v>150</v>
      </c>
      <c r="CD168" s="1" t="s">
        <v>150</v>
      </c>
      <c r="CE168" s="1" t="s">
        <v>150</v>
      </c>
      <c r="CF168" s="1" t="s">
        <v>150</v>
      </c>
      <c r="CG168" s="1" t="s">
        <v>150</v>
      </c>
      <c r="CH168" s="1" t="s">
        <v>150</v>
      </c>
      <c r="CI168" s="1" t="s">
        <v>150</v>
      </c>
      <c r="CJ168" s="1" t="s">
        <v>154</v>
      </c>
      <c r="CK168" s="1" t="s">
        <v>150</v>
      </c>
      <c r="CL168" s="1" t="s">
        <v>563</v>
      </c>
      <c r="CM168" s="7">
        <v>5.6</v>
      </c>
      <c r="CN168" s="7">
        <v>90.1</v>
      </c>
      <c r="CO168" s="7">
        <f t="shared" si="23"/>
        <v>5.0456</v>
      </c>
      <c r="CP168" s="7">
        <v>6.7</v>
      </c>
      <c r="CQ168" s="7">
        <f t="shared" si="10"/>
        <v>0.3380552</v>
      </c>
      <c r="CR168" s="7">
        <v>3.1</v>
      </c>
      <c r="CS168" s="7">
        <f t="shared" si="11"/>
        <v>0.0104797112</v>
      </c>
      <c r="CT168" s="7">
        <v>0.0</v>
      </c>
      <c r="CU168" s="7">
        <f t="shared" si="12"/>
        <v>0</v>
      </c>
      <c r="CV168" s="7">
        <f t="shared" si="13"/>
        <v>14.92537313</v>
      </c>
      <c r="CW168" s="7">
        <v>4.53</v>
      </c>
      <c r="CX168" s="7">
        <v>126.0</v>
      </c>
      <c r="CY168" s="7" t="str">
        <f t="shared" si="14"/>
        <v>Легкая степень</v>
      </c>
      <c r="CZ168" s="7">
        <v>55.0</v>
      </c>
      <c r="DA168" s="7">
        <v>154.0</v>
      </c>
      <c r="DB168" s="7">
        <v>102.6</v>
      </c>
      <c r="DC168" s="7">
        <v>29.9</v>
      </c>
      <c r="DD168" s="7">
        <v>93.9</v>
      </c>
      <c r="DE168" s="7"/>
      <c r="DF168" s="7">
        <v>2.2</v>
      </c>
      <c r="DG168" s="7"/>
      <c r="DH168" s="7">
        <v>3.1</v>
      </c>
      <c r="DI168" s="7"/>
      <c r="DJ168" s="7">
        <v>0.0</v>
      </c>
      <c r="DK168" s="7"/>
      <c r="DL168" s="7"/>
      <c r="DM168" s="7">
        <v>4.22</v>
      </c>
      <c r="DN168" s="7">
        <v>117.0</v>
      </c>
      <c r="DO168" s="7" t="str">
        <f t="shared" si="15"/>
        <v>Легкая степень</v>
      </c>
      <c r="DP168" s="7">
        <v>24.0</v>
      </c>
      <c r="DQ168" s="7">
        <v>189.0</v>
      </c>
      <c r="DR168" s="7">
        <v>235.5</v>
      </c>
      <c r="DS168" s="7">
        <v>468.0</v>
      </c>
      <c r="DT168" s="6"/>
      <c r="DU168" s="7">
        <v>12.5</v>
      </c>
      <c r="DV168" s="7">
        <v>1.06</v>
      </c>
      <c r="DW168" s="1" t="s">
        <v>458</v>
      </c>
      <c r="DX168" s="7">
        <v>570.0</v>
      </c>
      <c r="DY168" s="6"/>
      <c r="DZ168" s="7">
        <v>12.1</v>
      </c>
      <c r="EA168" s="7">
        <v>1.034</v>
      </c>
      <c r="EB168" s="7"/>
      <c r="EC168" s="7">
        <v>8.42</v>
      </c>
      <c r="ED168" s="7">
        <v>9.98</v>
      </c>
      <c r="EE168" s="7">
        <v>37.53</v>
      </c>
      <c r="EF168" s="7">
        <v>74.91</v>
      </c>
      <c r="EG168" s="7">
        <v>63.7</v>
      </c>
      <c r="EH168" s="7">
        <v>10.41</v>
      </c>
      <c r="EI168" s="7">
        <v>2.73</v>
      </c>
      <c r="EJ168" s="7">
        <v>123.36</v>
      </c>
      <c r="EK168" s="34">
        <f t="shared" si="16"/>
        <v>38.25904096</v>
      </c>
      <c r="EL168" s="11" t="str">
        <f t="shared" si="17"/>
        <v>C3b</v>
      </c>
      <c r="EM168" s="7">
        <v>141.8</v>
      </c>
      <c r="EN168" s="7">
        <v>4.57</v>
      </c>
      <c r="EO168" s="7">
        <v>20.13</v>
      </c>
      <c r="EP168" s="7">
        <v>15.92</v>
      </c>
      <c r="EQ168" s="7">
        <v>48.3</v>
      </c>
      <c r="ER168" s="7">
        <v>5.26</v>
      </c>
      <c r="ES168" s="7">
        <v>1.16</v>
      </c>
      <c r="ET168" s="7">
        <v>101.69</v>
      </c>
      <c r="EU168" s="11">
        <f t="shared" si="18"/>
        <v>48.32417856</v>
      </c>
      <c r="EV168" s="11" t="str">
        <f t="shared" si="19"/>
        <v>C3a</v>
      </c>
      <c r="EW168" s="7">
        <v>155.1</v>
      </c>
      <c r="EX168" s="7">
        <v>5.72</v>
      </c>
      <c r="EY168" s="9">
        <f t="shared" si="20"/>
        <v>-1.166623455</v>
      </c>
      <c r="EZ168" s="9">
        <f t="shared" si="21"/>
        <v>0.7625341472</v>
      </c>
      <c r="FA168" s="9" t="str">
        <f t="shared" si="22"/>
        <v>Неблагоприятный</v>
      </c>
      <c r="FB168" s="1" t="s">
        <v>150</v>
      </c>
      <c r="FC168" s="1" t="s">
        <v>445</v>
      </c>
    </row>
    <row r="169">
      <c r="A169" s="33">
        <v>168.0</v>
      </c>
      <c r="B169" s="7">
        <v>28.0</v>
      </c>
      <c r="C169" s="7">
        <v>8139.0</v>
      </c>
      <c r="D169" s="1" t="s">
        <v>445</v>
      </c>
      <c r="E169" s="7">
        <v>50.0</v>
      </c>
      <c r="F169" s="1" t="s">
        <v>149</v>
      </c>
      <c r="G169" s="7"/>
      <c r="H169" s="7">
        <v>12.0</v>
      </c>
      <c r="I169" s="1" t="s">
        <v>150</v>
      </c>
      <c r="J169" s="1" t="s">
        <v>150</v>
      </c>
      <c r="K169" s="9"/>
      <c r="L169" s="1" t="s">
        <v>150</v>
      </c>
      <c r="M169" s="1" t="s">
        <v>150</v>
      </c>
      <c r="N169" s="9"/>
      <c r="O169" s="1" t="s">
        <v>154</v>
      </c>
      <c r="P169" s="1" t="s">
        <v>150</v>
      </c>
      <c r="Q169" s="1" t="s">
        <v>154</v>
      </c>
      <c r="R169" s="7">
        <v>1.0</v>
      </c>
      <c r="S169" s="1" t="s">
        <v>150</v>
      </c>
      <c r="T169" s="1"/>
      <c r="U169" s="1"/>
      <c r="V169" s="1"/>
      <c r="W169" s="9"/>
      <c r="X169" s="1"/>
      <c r="Y169" s="9"/>
      <c r="Z169" s="9"/>
      <c r="AA169" s="9"/>
      <c r="AB169" s="9"/>
      <c r="AC169" s="9"/>
      <c r="AD169" s="1"/>
      <c r="AE169" s="1" t="s">
        <v>154</v>
      </c>
      <c r="AF169" s="7">
        <v>9.0</v>
      </c>
      <c r="AG169" s="1" t="s">
        <v>446</v>
      </c>
      <c r="AH169" s="1" t="s">
        <v>154</v>
      </c>
      <c r="AI169" s="1" t="s">
        <v>153</v>
      </c>
      <c r="AJ169" s="7">
        <v>2.0</v>
      </c>
      <c r="AK169" s="1" t="s">
        <v>5</v>
      </c>
      <c r="AL169" s="9"/>
      <c r="AM169" s="1" t="s">
        <v>564</v>
      </c>
      <c r="AN169" s="1">
        <v>15.0</v>
      </c>
      <c r="AO169" s="1" t="str">
        <f t="shared" si="2"/>
        <v>нет</v>
      </c>
      <c r="AP169" s="7">
        <v>175.0</v>
      </c>
      <c r="AQ169" s="7">
        <v>135.0</v>
      </c>
      <c r="AR169" s="9">
        <f t="shared" si="3"/>
        <v>44.08163265</v>
      </c>
      <c r="AS169" s="7" t="str">
        <f t="shared" si="4"/>
        <v>Ожирение III степени (морбидное)</v>
      </c>
      <c r="AT169" s="7">
        <v>140.0</v>
      </c>
      <c r="AU169" s="7">
        <v>95.0</v>
      </c>
      <c r="AV169" s="9"/>
      <c r="AW169" s="7">
        <v>92.0</v>
      </c>
      <c r="AX169" s="7">
        <v>38.5</v>
      </c>
      <c r="AY169" s="7">
        <v>23.0</v>
      </c>
      <c r="AZ169" s="7">
        <v>92.0</v>
      </c>
      <c r="BA169" s="10" t="str">
        <f t="shared" si="5"/>
        <v>да</v>
      </c>
      <c r="BB169" s="7">
        <v>96.0</v>
      </c>
      <c r="BC169" s="7">
        <v>40.0</v>
      </c>
      <c r="BD169" s="12">
        <f t="shared" si="6"/>
        <v>0.1</v>
      </c>
      <c r="BE169" s="12">
        <f t="shared" si="7"/>
        <v>1</v>
      </c>
      <c r="BF169" s="12">
        <f t="shared" si="8"/>
        <v>6</v>
      </c>
      <c r="BG169" s="1" t="s">
        <v>150</v>
      </c>
      <c r="BH169" s="9"/>
      <c r="BI169" s="1" t="s">
        <v>154</v>
      </c>
      <c r="BJ169" s="1" t="s">
        <v>237</v>
      </c>
      <c r="BK169" s="9"/>
      <c r="BL169" s="9"/>
      <c r="BM169" s="1" t="s">
        <v>154</v>
      </c>
      <c r="BN169" s="1" t="s">
        <v>155</v>
      </c>
      <c r="BO169" s="1" t="s">
        <v>154</v>
      </c>
      <c r="BP169" s="1" t="s">
        <v>157</v>
      </c>
      <c r="BQ169" s="9"/>
      <c r="BR169" s="1" t="s">
        <v>154</v>
      </c>
      <c r="BS169" s="1" t="s">
        <v>565</v>
      </c>
      <c r="BT169" s="1" t="s">
        <v>566</v>
      </c>
      <c r="BU169" s="1" t="s">
        <v>207</v>
      </c>
      <c r="BV169" s="1">
        <v>6.0</v>
      </c>
      <c r="BW169" s="1" t="s">
        <v>150</v>
      </c>
      <c r="BX169" s="1" t="s">
        <v>154</v>
      </c>
      <c r="BY169" s="1" t="s">
        <v>173</v>
      </c>
      <c r="BZ169" s="1" t="s">
        <v>154</v>
      </c>
      <c r="CA169" s="1" t="s">
        <v>150</v>
      </c>
      <c r="CB169" s="1" t="s">
        <v>150</v>
      </c>
      <c r="CC169" s="1" t="s">
        <v>150</v>
      </c>
      <c r="CD169" s="1" t="s">
        <v>150</v>
      </c>
      <c r="CE169" s="1" t="s">
        <v>150</v>
      </c>
      <c r="CF169" s="1" t="s">
        <v>150</v>
      </c>
      <c r="CG169" s="1" t="s">
        <v>154</v>
      </c>
      <c r="CH169" s="1" t="s">
        <v>150</v>
      </c>
      <c r="CI169" s="1" t="s">
        <v>150</v>
      </c>
      <c r="CJ169" s="1" t="s">
        <v>154</v>
      </c>
      <c r="CK169" s="1" t="s">
        <v>150</v>
      </c>
      <c r="CL169" s="1" t="s">
        <v>567</v>
      </c>
      <c r="CM169" s="7">
        <v>10.1</v>
      </c>
      <c r="CN169" s="7">
        <v>88.3</v>
      </c>
      <c r="CO169" s="7">
        <f t="shared" si="23"/>
        <v>8.9183</v>
      </c>
      <c r="CP169" s="7">
        <v>5.2</v>
      </c>
      <c r="CQ169" s="7">
        <f t="shared" si="10"/>
        <v>0.4637516</v>
      </c>
      <c r="CR169" s="7">
        <v>6.3</v>
      </c>
      <c r="CS169" s="7">
        <f t="shared" si="11"/>
        <v>0.0292163508</v>
      </c>
      <c r="CT169" s="7">
        <v>0.1</v>
      </c>
      <c r="CU169" s="7">
        <f t="shared" si="12"/>
        <v>0.0000292163508</v>
      </c>
      <c r="CV169" s="7">
        <f t="shared" si="13"/>
        <v>19.23076923</v>
      </c>
      <c r="CW169" s="7">
        <v>5.4</v>
      </c>
      <c r="CX169" s="7">
        <v>157.0</v>
      </c>
      <c r="CY169" s="7" t="str">
        <f t="shared" si="14"/>
        <v>Норма</v>
      </c>
      <c r="CZ169" s="7" t="s">
        <v>456</v>
      </c>
      <c r="DA169" s="7">
        <v>132.0</v>
      </c>
      <c r="DB169" s="7">
        <v>120.2</v>
      </c>
      <c r="DC169" s="7">
        <v>13.9</v>
      </c>
      <c r="DD169" s="7">
        <v>95.9</v>
      </c>
      <c r="DE169" s="7"/>
      <c r="DF169" s="7">
        <v>1.8</v>
      </c>
      <c r="DG169" s="7"/>
      <c r="DH169" s="7">
        <v>1.9</v>
      </c>
      <c r="DI169" s="7"/>
      <c r="DJ169" s="7">
        <v>0.1</v>
      </c>
      <c r="DK169" s="7"/>
      <c r="DL169" s="7"/>
      <c r="DM169" s="7">
        <v>4.97</v>
      </c>
      <c r="DN169" s="7">
        <v>145.0</v>
      </c>
      <c r="DO169" s="7" t="str">
        <f t="shared" si="15"/>
        <v>Норма</v>
      </c>
      <c r="DP169" s="7">
        <v>39.0</v>
      </c>
      <c r="DQ169" s="7">
        <v>184.0</v>
      </c>
      <c r="DR169" s="7">
        <v>21.2</v>
      </c>
      <c r="DS169" s="7">
        <v>485.1</v>
      </c>
      <c r="DT169" s="7">
        <v>29.8</v>
      </c>
      <c r="DU169" s="7">
        <v>12.5</v>
      </c>
      <c r="DV169" s="7">
        <v>1.07</v>
      </c>
      <c r="DW169" s="1" t="s">
        <v>456</v>
      </c>
      <c r="DX169" s="7">
        <v>472.8</v>
      </c>
      <c r="DY169" s="7">
        <v>32.1</v>
      </c>
      <c r="DZ169" s="7">
        <v>12.6</v>
      </c>
      <c r="EA169" s="7">
        <v>1.08</v>
      </c>
      <c r="EB169" s="7"/>
      <c r="EC169" s="7">
        <v>9.67</v>
      </c>
      <c r="ED169" s="7">
        <v>9.8</v>
      </c>
      <c r="EE169" s="7">
        <v>31.66</v>
      </c>
      <c r="EF169" s="7">
        <v>23.82</v>
      </c>
      <c r="EG169" s="7">
        <v>66.4</v>
      </c>
      <c r="EH169" s="7">
        <v>9.6</v>
      </c>
      <c r="EI169" s="7">
        <v>1.8</v>
      </c>
      <c r="EJ169" s="7">
        <v>93.58</v>
      </c>
      <c r="EK169" s="34">
        <f t="shared" si="16"/>
        <v>61.49199952</v>
      </c>
      <c r="EL169" s="11" t="str">
        <f t="shared" si="17"/>
        <v>C2</v>
      </c>
      <c r="EM169" s="7">
        <v>142.2</v>
      </c>
      <c r="EN169" s="7">
        <v>4.17</v>
      </c>
      <c r="EO169" s="8">
        <v>17.19</v>
      </c>
      <c r="EP169" s="8">
        <v>14.88</v>
      </c>
      <c r="EQ169" s="7">
        <v>58.0</v>
      </c>
      <c r="ER169" s="7">
        <v>10.65</v>
      </c>
      <c r="ES169" s="7">
        <v>1.8</v>
      </c>
      <c r="ET169" s="7">
        <v>70.32</v>
      </c>
      <c r="EU169" s="11">
        <f t="shared" si="18"/>
        <v>86.86814894</v>
      </c>
      <c r="EV169" s="11" t="str">
        <f t="shared" si="19"/>
        <v>C2</v>
      </c>
      <c r="EW169" s="7">
        <v>135.1</v>
      </c>
      <c r="EX169" s="7">
        <v>4.21</v>
      </c>
      <c r="EY169" s="9">
        <f t="shared" si="20"/>
        <v>-0.2185138367</v>
      </c>
      <c r="EZ169" s="9">
        <f t="shared" si="21"/>
        <v>0.5544121241</v>
      </c>
      <c r="FA169" s="9" t="str">
        <f t="shared" si="22"/>
        <v>Неблагоприятный</v>
      </c>
      <c r="FB169" s="1" t="s">
        <v>150</v>
      </c>
      <c r="FC169" s="1" t="s">
        <v>445</v>
      </c>
    </row>
    <row r="170">
      <c r="A170" s="33">
        <v>169.0</v>
      </c>
      <c r="B170" s="7">
        <v>29.0</v>
      </c>
      <c r="C170" s="7">
        <v>9150.0</v>
      </c>
      <c r="D170" s="1" t="s">
        <v>445</v>
      </c>
      <c r="E170" s="7">
        <v>57.0</v>
      </c>
      <c r="F170" s="1" t="s">
        <v>161</v>
      </c>
      <c r="G170" s="7"/>
      <c r="H170" s="7">
        <v>1.0</v>
      </c>
      <c r="I170" s="1" t="s">
        <v>150</v>
      </c>
      <c r="J170" s="1" t="s">
        <v>150</v>
      </c>
      <c r="K170" s="9"/>
      <c r="L170" s="1" t="s">
        <v>154</v>
      </c>
      <c r="M170" s="1" t="s">
        <v>154</v>
      </c>
      <c r="N170" s="1" t="s">
        <v>459</v>
      </c>
      <c r="O170" s="1" t="str">
        <f t="shared" ref="O170:O172" si="26">IF(EC170&gt;=6.1,IF(EC170&lt;7,"да","нет"),"нет")</f>
        <v>нет</v>
      </c>
      <c r="P170" s="1" t="s">
        <v>150</v>
      </c>
      <c r="Q170" s="1" t="s">
        <v>154</v>
      </c>
      <c r="R170" s="1">
        <v>2.0</v>
      </c>
      <c r="S170" s="1" t="s">
        <v>150</v>
      </c>
      <c r="T170" s="1"/>
      <c r="U170" s="1"/>
      <c r="V170" s="1"/>
      <c r="W170" s="9"/>
      <c r="X170" s="1"/>
      <c r="Y170" s="9"/>
      <c r="Z170" s="9"/>
      <c r="AA170" s="9"/>
      <c r="AB170" s="9"/>
      <c r="AC170" s="9"/>
      <c r="AD170" s="1"/>
      <c r="AE170" s="1" t="s">
        <v>154</v>
      </c>
      <c r="AF170" s="1">
        <v>1.0</v>
      </c>
      <c r="AG170" s="1" t="s">
        <v>446</v>
      </c>
      <c r="AH170" s="1" t="s">
        <v>154</v>
      </c>
      <c r="AI170" s="1" t="s">
        <v>168</v>
      </c>
      <c r="AJ170" s="7">
        <v>3.0</v>
      </c>
      <c r="AK170" s="1" t="s">
        <v>5</v>
      </c>
      <c r="AL170" s="9"/>
      <c r="AM170" s="9"/>
      <c r="AN170" s="1">
        <v>15.0</v>
      </c>
      <c r="AO170" s="1" t="str">
        <f t="shared" si="2"/>
        <v>нет</v>
      </c>
      <c r="AP170" s="7">
        <v>168.0</v>
      </c>
      <c r="AQ170" s="7">
        <v>88.0</v>
      </c>
      <c r="AR170" s="9">
        <f t="shared" si="3"/>
        <v>31.17913832</v>
      </c>
      <c r="AS170" s="7" t="str">
        <f t="shared" si="4"/>
        <v>Ожирение I степени</v>
      </c>
      <c r="AT170" s="7">
        <v>130.0</v>
      </c>
      <c r="AU170" s="7">
        <v>80.0</v>
      </c>
      <c r="AV170" s="9"/>
      <c r="AW170" s="7">
        <v>108.0</v>
      </c>
      <c r="AX170" s="7">
        <v>38.0</v>
      </c>
      <c r="AY170" s="7">
        <v>24.0</v>
      </c>
      <c r="AZ170" s="7">
        <v>50.0</v>
      </c>
      <c r="BA170" s="10" t="str">
        <f t="shared" si="5"/>
        <v>да</v>
      </c>
      <c r="BB170" s="7">
        <v>72.0</v>
      </c>
      <c r="BC170" s="7">
        <v>60.0</v>
      </c>
      <c r="BD170" s="12">
        <f t="shared" si="6"/>
        <v>0.03472222222</v>
      </c>
      <c r="BE170" s="12">
        <f t="shared" si="7"/>
        <v>1</v>
      </c>
      <c r="BF170" s="12">
        <f t="shared" si="8"/>
        <v>6</v>
      </c>
      <c r="BG170" s="1" t="s">
        <v>522</v>
      </c>
      <c r="BH170" s="9"/>
      <c r="BI170" s="1" t="s">
        <v>154</v>
      </c>
      <c r="BJ170" s="1" t="s">
        <v>237</v>
      </c>
      <c r="BK170" s="1" t="s">
        <v>154</v>
      </c>
      <c r="BL170" s="9"/>
      <c r="BM170" s="1" t="s">
        <v>154</v>
      </c>
      <c r="BN170" s="1" t="s">
        <v>568</v>
      </c>
      <c r="BO170" s="1" t="s">
        <v>522</v>
      </c>
      <c r="BP170" s="9"/>
      <c r="BQ170" s="9"/>
      <c r="BR170" s="1" t="s">
        <v>154</v>
      </c>
      <c r="BS170" s="1" t="s">
        <v>170</v>
      </c>
      <c r="BT170" s="7">
        <v>24.0</v>
      </c>
      <c r="BU170" s="1" t="s">
        <v>170</v>
      </c>
      <c r="BV170" s="1">
        <v>24.0</v>
      </c>
      <c r="BW170" s="1" t="s">
        <v>150</v>
      </c>
      <c r="BX170" s="1" t="s">
        <v>154</v>
      </c>
      <c r="BY170" s="1" t="s">
        <v>269</v>
      </c>
      <c r="BZ170" s="1" t="s">
        <v>154</v>
      </c>
      <c r="CA170" s="1" t="s">
        <v>150</v>
      </c>
      <c r="CB170" s="1" t="s">
        <v>150</v>
      </c>
      <c r="CC170" s="1" t="s">
        <v>150</v>
      </c>
      <c r="CD170" s="1" t="s">
        <v>150</v>
      </c>
      <c r="CE170" s="1" t="s">
        <v>150</v>
      </c>
      <c r="CF170" s="1" t="s">
        <v>150</v>
      </c>
      <c r="CG170" s="1" t="s">
        <v>150</v>
      </c>
      <c r="CH170" s="1" t="s">
        <v>150</v>
      </c>
      <c r="CI170" s="1" t="s">
        <v>150</v>
      </c>
      <c r="CJ170" s="1" t="s">
        <v>150</v>
      </c>
      <c r="CK170" s="1" t="s">
        <v>150</v>
      </c>
      <c r="CL170" s="1" t="s">
        <v>569</v>
      </c>
      <c r="CM170" s="7">
        <v>17.5</v>
      </c>
      <c r="CN170" s="7">
        <v>88.3</v>
      </c>
      <c r="CO170" s="7">
        <f t="shared" si="23"/>
        <v>15.4525</v>
      </c>
      <c r="CP170" s="7">
        <v>7.0</v>
      </c>
      <c r="CQ170" s="7">
        <f t="shared" si="10"/>
        <v>1.081675</v>
      </c>
      <c r="CR170" s="7">
        <v>4.4</v>
      </c>
      <c r="CS170" s="7">
        <f t="shared" si="11"/>
        <v>0.0475937</v>
      </c>
      <c r="CT170" s="7">
        <v>0.0</v>
      </c>
      <c r="CU170" s="7">
        <f t="shared" si="12"/>
        <v>0</v>
      </c>
      <c r="CV170" s="7">
        <f t="shared" si="13"/>
        <v>14.28571429</v>
      </c>
      <c r="CW170" s="7">
        <v>5.25</v>
      </c>
      <c r="CX170" s="7">
        <v>145.0</v>
      </c>
      <c r="CY170" s="7" t="str">
        <f t="shared" si="14"/>
        <v>Норма</v>
      </c>
      <c r="CZ170" s="7" t="s">
        <v>456</v>
      </c>
      <c r="DA170" s="7">
        <v>254.0</v>
      </c>
      <c r="DB170" s="7">
        <v>270.5</v>
      </c>
      <c r="DC170" s="18"/>
      <c r="DD170" s="18"/>
      <c r="DE170" s="18"/>
      <c r="DF170" s="18"/>
      <c r="DG170" s="18"/>
      <c r="DH170" s="18"/>
      <c r="DI170" s="18"/>
      <c r="DJ170" s="18"/>
      <c r="DK170" s="18"/>
      <c r="DL170" s="18"/>
      <c r="DM170" s="18"/>
      <c r="DN170" s="18"/>
      <c r="DO170" s="7" t="str">
        <f t="shared" si="15"/>
        <v>Тяжелая степень</v>
      </c>
      <c r="DP170" s="18"/>
      <c r="DQ170" s="18"/>
      <c r="DR170" s="18"/>
      <c r="DS170" s="18"/>
      <c r="DT170" s="7">
        <v>24.4</v>
      </c>
      <c r="DU170" s="18"/>
      <c r="DV170" s="18"/>
      <c r="DW170" s="1" t="s">
        <v>492</v>
      </c>
      <c r="DX170" s="7">
        <v>672.0</v>
      </c>
      <c r="DY170" s="7">
        <v>20.4</v>
      </c>
      <c r="DZ170" s="7">
        <v>11.2</v>
      </c>
      <c r="EA170" s="7">
        <v>0.96</v>
      </c>
      <c r="EB170" s="7"/>
      <c r="EC170" s="7">
        <v>15.28</v>
      </c>
      <c r="ED170" s="18"/>
      <c r="EE170" s="7">
        <v>88.83</v>
      </c>
      <c r="EF170" s="7">
        <v>52.81</v>
      </c>
      <c r="EG170" s="7">
        <v>61.4</v>
      </c>
      <c r="EH170" s="7">
        <v>7.53</v>
      </c>
      <c r="EI170" s="7">
        <v>1.91</v>
      </c>
      <c r="EJ170" s="7">
        <v>77.14</v>
      </c>
      <c r="EK170" s="34">
        <f t="shared" si="16"/>
        <v>73.94393748</v>
      </c>
      <c r="EL170" s="11" t="str">
        <f t="shared" si="17"/>
        <v>C2</v>
      </c>
      <c r="EM170" s="7">
        <v>152.8</v>
      </c>
      <c r="EN170" s="7">
        <v>3.55</v>
      </c>
      <c r="EO170" s="18"/>
      <c r="EP170" s="18"/>
      <c r="EQ170" s="18"/>
      <c r="ER170" s="18"/>
      <c r="ES170" s="18"/>
      <c r="ET170" s="18"/>
      <c r="EU170" s="11" t="str">
        <f t="shared" si="18"/>
        <v>#NUM!</v>
      </c>
      <c r="EV170" s="11" t="str">
        <f t="shared" si="19"/>
        <v>#NUM!</v>
      </c>
      <c r="EW170" s="18"/>
      <c r="EX170" s="18"/>
      <c r="EY170" s="9">
        <f t="shared" si="20"/>
        <v>1.174870247</v>
      </c>
      <c r="EZ170" s="9">
        <f t="shared" si="21"/>
        <v>0.2359757927</v>
      </c>
      <c r="FA170" s="9" t="str">
        <f t="shared" si="22"/>
        <v>Благоприятный</v>
      </c>
      <c r="FB170" s="1" t="s">
        <v>256</v>
      </c>
      <c r="FC170" s="1" t="s">
        <v>445</v>
      </c>
    </row>
    <row r="171">
      <c r="A171" s="33">
        <v>170.0</v>
      </c>
      <c r="B171" s="7">
        <v>30.0</v>
      </c>
      <c r="C171" s="7">
        <v>9196.0</v>
      </c>
      <c r="D171" s="1" t="s">
        <v>445</v>
      </c>
      <c r="E171" s="7">
        <v>67.0</v>
      </c>
      <c r="F171" s="1" t="s">
        <v>161</v>
      </c>
      <c r="G171" s="7"/>
      <c r="H171" s="7">
        <v>6.0</v>
      </c>
      <c r="I171" s="1" t="s">
        <v>154</v>
      </c>
      <c r="J171" s="1" t="s">
        <v>150</v>
      </c>
      <c r="K171" s="9"/>
      <c r="L171" s="1" t="s">
        <v>150</v>
      </c>
      <c r="M171" s="1" t="s">
        <v>150</v>
      </c>
      <c r="N171" s="9"/>
      <c r="O171" s="1" t="str">
        <f t="shared" si="26"/>
        <v>да</v>
      </c>
      <c r="P171" s="1" t="s">
        <v>150</v>
      </c>
      <c r="Q171" s="1" t="s">
        <v>154</v>
      </c>
      <c r="R171" s="7">
        <v>2.0</v>
      </c>
      <c r="S171" s="1" t="s">
        <v>150</v>
      </c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1" t="s">
        <v>570</v>
      </c>
      <c r="AE171" s="1" t="s">
        <v>154</v>
      </c>
      <c r="AF171" s="7">
        <v>1.0</v>
      </c>
      <c r="AG171" s="1" t="s">
        <v>446</v>
      </c>
      <c r="AH171" s="1" t="s">
        <v>154</v>
      </c>
      <c r="AI171" s="1" t="s">
        <v>153</v>
      </c>
      <c r="AJ171" s="7">
        <v>2.0</v>
      </c>
      <c r="AK171" s="1" t="s">
        <v>5</v>
      </c>
      <c r="AL171" s="9"/>
      <c r="AM171" s="9"/>
      <c r="AN171" s="1">
        <v>15.0</v>
      </c>
      <c r="AO171" s="1" t="str">
        <f t="shared" si="2"/>
        <v>нет</v>
      </c>
      <c r="AP171" s="7">
        <v>164.0</v>
      </c>
      <c r="AQ171" s="7">
        <v>96.0</v>
      </c>
      <c r="AR171" s="9">
        <f t="shared" si="3"/>
        <v>35.69303986</v>
      </c>
      <c r="AS171" s="7" t="str">
        <f t="shared" si="4"/>
        <v>Ожирение II степени</v>
      </c>
      <c r="AT171" s="7">
        <v>133.0</v>
      </c>
      <c r="AU171" s="7">
        <v>79.0</v>
      </c>
      <c r="AV171" s="9"/>
      <c r="AW171" s="7">
        <v>97.0</v>
      </c>
      <c r="AX171" s="7">
        <v>37.8</v>
      </c>
      <c r="AY171" s="7">
        <v>24.0</v>
      </c>
      <c r="AZ171" s="7">
        <v>89.0</v>
      </c>
      <c r="BA171" s="10" t="str">
        <f t="shared" si="5"/>
        <v>да</v>
      </c>
      <c r="BB171" s="7">
        <v>90.0</v>
      </c>
      <c r="BC171" s="7">
        <v>60.0</v>
      </c>
      <c r="BD171" s="12">
        <f t="shared" si="6"/>
        <v>0.06180555556</v>
      </c>
      <c r="BE171" s="12">
        <f t="shared" si="7"/>
        <v>1</v>
      </c>
      <c r="BF171" s="12">
        <f t="shared" si="8"/>
        <v>6</v>
      </c>
      <c r="BG171" s="1" t="s">
        <v>154</v>
      </c>
      <c r="BH171" s="1" t="s">
        <v>198</v>
      </c>
      <c r="BI171" s="1" t="s">
        <v>154</v>
      </c>
      <c r="BJ171" s="1" t="s">
        <v>237</v>
      </c>
      <c r="BK171" s="1" t="s">
        <v>150</v>
      </c>
      <c r="BL171" s="9"/>
      <c r="BM171" s="1" t="s">
        <v>154</v>
      </c>
      <c r="BN171" s="1" t="s">
        <v>155</v>
      </c>
      <c r="BO171" s="1" t="s">
        <v>150</v>
      </c>
      <c r="BP171" s="9"/>
      <c r="BQ171" s="9"/>
      <c r="BR171" s="1" t="s">
        <v>154</v>
      </c>
      <c r="BS171" s="1" t="s">
        <v>170</v>
      </c>
      <c r="BT171" s="7">
        <v>32.0</v>
      </c>
      <c r="BU171" s="1" t="s">
        <v>170</v>
      </c>
      <c r="BV171" s="1">
        <v>20.0</v>
      </c>
      <c r="BW171" s="1" t="s">
        <v>150</v>
      </c>
      <c r="BX171" s="1" t="s">
        <v>154</v>
      </c>
      <c r="BY171" s="1" t="s">
        <v>269</v>
      </c>
      <c r="BZ171" s="1" t="s">
        <v>154</v>
      </c>
      <c r="CA171" s="1" t="s">
        <v>150</v>
      </c>
      <c r="CB171" s="1" t="s">
        <v>150</v>
      </c>
      <c r="CC171" s="1" t="s">
        <v>150</v>
      </c>
      <c r="CD171" s="1" t="s">
        <v>150</v>
      </c>
      <c r="CE171" s="1" t="s">
        <v>150</v>
      </c>
      <c r="CF171" s="1" t="s">
        <v>150</v>
      </c>
      <c r="CG171" s="1" t="s">
        <v>150</v>
      </c>
      <c r="CH171" s="1" t="s">
        <v>150</v>
      </c>
      <c r="CI171" s="1" t="s">
        <v>150</v>
      </c>
      <c r="CJ171" s="1" t="s">
        <v>150</v>
      </c>
      <c r="CK171" s="1" t="s">
        <v>150</v>
      </c>
      <c r="CL171" s="1" t="s">
        <v>571</v>
      </c>
      <c r="CM171" s="7">
        <v>6.9</v>
      </c>
      <c r="CN171" s="7">
        <v>85.9</v>
      </c>
      <c r="CO171" s="7">
        <f t="shared" si="23"/>
        <v>5.9271</v>
      </c>
      <c r="CP171" s="7">
        <v>8.3</v>
      </c>
      <c r="CQ171" s="7">
        <f t="shared" si="10"/>
        <v>0.4919493</v>
      </c>
      <c r="CR171" s="7">
        <v>6.1</v>
      </c>
      <c r="CS171" s="7">
        <f t="shared" si="11"/>
        <v>0.0300089073</v>
      </c>
      <c r="CT171" s="7">
        <v>0.0</v>
      </c>
      <c r="CU171" s="7">
        <f t="shared" si="12"/>
        <v>0</v>
      </c>
      <c r="CV171" s="7">
        <f t="shared" si="13"/>
        <v>12.04819277</v>
      </c>
      <c r="CW171" s="7">
        <v>4.9</v>
      </c>
      <c r="CX171" s="7">
        <v>136.0</v>
      </c>
      <c r="CY171" s="7" t="str">
        <f t="shared" si="14"/>
        <v>Норма</v>
      </c>
      <c r="CZ171" s="7" t="s">
        <v>456</v>
      </c>
      <c r="DA171" s="7">
        <v>189.0</v>
      </c>
      <c r="DB171" s="7">
        <v>190.4</v>
      </c>
      <c r="DC171" s="7">
        <v>22.2</v>
      </c>
      <c r="DD171" s="7">
        <v>71.9</v>
      </c>
      <c r="DE171" s="7"/>
      <c r="DF171" s="7">
        <v>13.0</v>
      </c>
      <c r="DG171" s="7"/>
      <c r="DH171" s="7">
        <v>3.8</v>
      </c>
      <c r="DI171" s="7"/>
      <c r="DJ171" s="7">
        <v>0.8</v>
      </c>
      <c r="DK171" s="7"/>
      <c r="DL171" s="7"/>
      <c r="DM171" s="7">
        <v>5.85</v>
      </c>
      <c r="DN171" s="7">
        <v>160.0</v>
      </c>
      <c r="DO171" s="7" t="str">
        <f t="shared" si="15"/>
        <v>Норма</v>
      </c>
      <c r="DP171" s="7" t="s">
        <v>456</v>
      </c>
      <c r="DQ171" s="7">
        <v>394.0</v>
      </c>
      <c r="DR171" s="7">
        <v>14.9</v>
      </c>
      <c r="DS171" s="7">
        <v>710.0</v>
      </c>
      <c r="DT171" s="1" t="s">
        <v>456</v>
      </c>
      <c r="DU171" s="7">
        <v>15.8</v>
      </c>
      <c r="DV171" s="7">
        <v>1.35</v>
      </c>
      <c r="DW171" s="1" t="s">
        <v>458</v>
      </c>
      <c r="DX171" s="7">
        <v>684.1</v>
      </c>
      <c r="DY171" s="7">
        <v>31.1</v>
      </c>
      <c r="DZ171" s="7">
        <v>12.5</v>
      </c>
      <c r="EA171" s="7">
        <v>1.06</v>
      </c>
      <c r="EB171" s="7"/>
      <c r="EC171" s="7">
        <v>6.62</v>
      </c>
      <c r="ED171" s="7">
        <v>12.39</v>
      </c>
      <c r="EE171" s="7">
        <v>39.79</v>
      </c>
      <c r="EF171" s="7">
        <v>60.42</v>
      </c>
      <c r="EG171" s="7">
        <v>69.3</v>
      </c>
      <c r="EH171" s="7">
        <v>10.45</v>
      </c>
      <c r="EI171" s="7">
        <v>2.66</v>
      </c>
      <c r="EJ171" s="7">
        <v>82.98</v>
      </c>
      <c r="EK171" s="34">
        <f t="shared" si="16"/>
        <v>63.10695981</v>
      </c>
      <c r="EL171" s="11" t="str">
        <f t="shared" si="17"/>
        <v>C2</v>
      </c>
      <c r="EM171" s="7">
        <v>154.6</v>
      </c>
      <c r="EN171" s="7">
        <v>4.1</v>
      </c>
      <c r="EO171" s="7">
        <v>47.35</v>
      </c>
      <c r="EP171" s="7">
        <v>50.33</v>
      </c>
      <c r="EQ171" s="7">
        <v>71.0</v>
      </c>
      <c r="ER171" s="7">
        <v>18.9</v>
      </c>
      <c r="ES171" s="7">
        <v>2.62</v>
      </c>
      <c r="ET171" s="7">
        <v>82.95</v>
      </c>
      <c r="EU171" s="11">
        <f t="shared" si="18"/>
        <v>63.13455446</v>
      </c>
      <c r="EV171" s="11" t="str">
        <f t="shared" si="19"/>
        <v>C2</v>
      </c>
      <c r="EW171" s="7">
        <v>140.7</v>
      </c>
      <c r="EX171" s="7">
        <v>4.5</v>
      </c>
      <c r="EY171" s="9">
        <f t="shared" si="20"/>
        <v>-1.362292183</v>
      </c>
      <c r="EZ171" s="9">
        <f t="shared" si="21"/>
        <v>0.796131985</v>
      </c>
      <c r="FA171" s="9" t="str">
        <f t="shared" si="22"/>
        <v>Неблагоприятный</v>
      </c>
      <c r="FB171" s="1" t="s">
        <v>150</v>
      </c>
      <c r="FC171" s="1" t="s">
        <v>445</v>
      </c>
    </row>
    <row r="172">
      <c r="A172" s="33">
        <v>171.0</v>
      </c>
      <c r="B172" s="7">
        <v>31.0</v>
      </c>
      <c r="C172" s="7">
        <v>8244.0</v>
      </c>
      <c r="D172" s="1" t="s">
        <v>445</v>
      </c>
      <c r="E172" s="7">
        <v>57.0</v>
      </c>
      <c r="F172" s="1" t="s">
        <v>161</v>
      </c>
      <c r="G172" s="7"/>
      <c r="H172" s="7">
        <v>15.0</v>
      </c>
      <c r="I172" s="1" t="s">
        <v>150</v>
      </c>
      <c r="J172" s="1" t="s">
        <v>150</v>
      </c>
      <c r="K172" s="9"/>
      <c r="L172" s="1" t="s">
        <v>150</v>
      </c>
      <c r="M172" s="1" t="s">
        <v>150</v>
      </c>
      <c r="N172" s="9"/>
      <c r="O172" s="1" t="str">
        <f t="shared" si="26"/>
        <v>нет</v>
      </c>
      <c r="P172" s="1" t="s">
        <v>150</v>
      </c>
      <c r="Q172" s="1" t="s">
        <v>150</v>
      </c>
      <c r="R172" s="9"/>
      <c r="S172" s="1" t="s">
        <v>150</v>
      </c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1"/>
      <c r="AE172" s="1" t="s">
        <v>154</v>
      </c>
      <c r="AF172" s="7">
        <v>5.0</v>
      </c>
      <c r="AG172" s="1" t="s">
        <v>446</v>
      </c>
      <c r="AH172" s="1" t="s">
        <v>154</v>
      </c>
      <c r="AI172" s="1" t="s">
        <v>168</v>
      </c>
      <c r="AJ172" s="7">
        <v>2.0</v>
      </c>
      <c r="AK172" s="1" t="s">
        <v>5</v>
      </c>
      <c r="AL172" s="9"/>
      <c r="AM172" s="9"/>
      <c r="AN172" s="1">
        <v>15.0</v>
      </c>
      <c r="AO172" s="1" t="str">
        <f t="shared" si="2"/>
        <v>нет</v>
      </c>
      <c r="AP172" s="7">
        <v>164.0</v>
      </c>
      <c r="AQ172" s="7">
        <v>75.0</v>
      </c>
      <c r="AR172" s="9">
        <f t="shared" si="3"/>
        <v>27.88518739</v>
      </c>
      <c r="AS172" s="7" t="str">
        <f t="shared" si="4"/>
        <v>Избыточный вес (предожирение)</v>
      </c>
      <c r="AT172" s="7">
        <v>123.0</v>
      </c>
      <c r="AU172" s="7">
        <v>82.0</v>
      </c>
      <c r="AV172" s="9"/>
      <c r="AW172" s="7">
        <v>80.0</v>
      </c>
      <c r="AX172" s="7">
        <v>37.8</v>
      </c>
      <c r="AY172" s="7">
        <v>21.0</v>
      </c>
      <c r="AZ172" s="7">
        <v>85.0</v>
      </c>
      <c r="BA172" s="10" t="str">
        <f t="shared" si="5"/>
        <v>да</v>
      </c>
      <c r="BB172" s="7">
        <v>96.0</v>
      </c>
      <c r="BC172" s="7">
        <v>52.0</v>
      </c>
      <c r="BD172" s="12">
        <f t="shared" si="6"/>
        <v>0.07783882784</v>
      </c>
      <c r="BE172" s="12">
        <f t="shared" si="7"/>
        <v>0</v>
      </c>
      <c r="BF172" s="12">
        <f t="shared" si="8"/>
        <v>5</v>
      </c>
      <c r="BG172" s="1" t="s">
        <v>150</v>
      </c>
      <c r="BH172" s="9"/>
      <c r="BI172" s="1" t="s">
        <v>154</v>
      </c>
      <c r="BJ172" s="1" t="s">
        <v>506</v>
      </c>
      <c r="BK172" s="1" t="s">
        <v>150</v>
      </c>
      <c r="BL172" s="9"/>
      <c r="BM172" s="1" t="s">
        <v>154</v>
      </c>
      <c r="BN172" s="1" t="s">
        <v>155</v>
      </c>
      <c r="BO172" s="1" t="s">
        <v>154</v>
      </c>
      <c r="BP172" s="1" t="s">
        <v>157</v>
      </c>
      <c r="BQ172" s="9"/>
      <c r="BR172" s="1" t="s">
        <v>154</v>
      </c>
      <c r="BS172" s="1" t="s">
        <v>572</v>
      </c>
      <c r="BT172" s="1" t="s">
        <v>573</v>
      </c>
      <c r="BU172" s="1" t="s">
        <v>207</v>
      </c>
      <c r="BV172" s="1">
        <v>500.0</v>
      </c>
      <c r="BW172" s="1" t="s">
        <v>150</v>
      </c>
      <c r="BX172" s="1" t="s">
        <v>154</v>
      </c>
      <c r="BY172" s="1" t="s">
        <v>173</v>
      </c>
      <c r="BZ172" s="1" t="s">
        <v>154</v>
      </c>
      <c r="CA172" s="1" t="s">
        <v>150</v>
      </c>
      <c r="CB172" s="1" t="s">
        <v>150</v>
      </c>
      <c r="CC172" s="1" t="s">
        <v>150</v>
      </c>
      <c r="CD172" s="1" t="s">
        <v>150</v>
      </c>
      <c r="CE172" s="1" t="s">
        <v>150</v>
      </c>
      <c r="CF172" s="1" t="s">
        <v>150</v>
      </c>
      <c r="CG172" s="1" t="s">
        <v>150</v>
      </c>
      <c r="CH172" s="1" t="s">
        <v>150</v>
      </c>
      <c r="CI172" s="1" t="s">
        <v>150</v>
      </c>
      <c r="CJ172" s="1" t="s">
        <v>150</v>
      </c>
      <c r="CK172" s="1" t="s">
        <v>150</v>
      </c>
      <c r="CL172" s="1" t="s">
        <v>574</v>
      </c>
      <c r="CM172" s="7">
        <v>9.22</v>
      </c>
      <c r="CN172" s="7">
        <v>91.1</v>
      </c>
      <c r="CO172" s="7">
        <f t="shared" si="23"/>
        <v>8.39942</v>
      </c>
      <c r="CP172" s="7">
        <v>4.4</v>
      </c>
      <c r="CQ172" s="7">
        <f t="shared" si="10"/>
        <v>0.36957448</v>
      </c>
      <c r="CR172" s="7">
        <v>4.4</v>
      </c>
      <c r="CS172" s="7">
        <f t="shared" si="11"/>
        <v>0.01626127712</v>
      </c>
      <c r="CT172" s="7">
        <v>0.0</v>
      </c>
      <c r="CU172" s="7">
        <f t="shared" si="12"/>
        <v>0</v>
      </c>
      <c r="CV172" s="7">
        <f t="shared" si="13"/>
        <v>22.72727273</v>
      </c>
      <c r="CW172" s="7">
        <v>4.64</v>
      </c>
      <c r="CX172" s="7">
        <v>129.0</v>
      </c>
      <c r="CY172" s="7" t="str">
        <f t="shared" si="14"/>
        <v>Легкая степень</v>
      </c>
      <c r="CZ172" s="7" t="s">
        <v>456</v>
      </c>
      <c r="DA172" s="7">
        <v>261.0</v>
      </c>
      <c r="DB172" s="7">
        <v>60.4</v>
      </c>
      <c r="DC172" s="7">
        <v>9.0</v>
      </c>
      <c r="DD172" s="7">
        <v>96.2</v>
      </c>
      <c r="DE172" s="7"/>
      <c r="DF172" s="7">
        <v>1.5</v>
      </c>
      <c r="DG172" s="7"/>
      <c r="DH172" s="7">
        <v>0.8</v>
      </c>
      <c r="DI172" s="7"/>
      <c r="DJ172" s="7">
        <v>1.3</v>
      </c>
      <c r="DK172" s="7"/>
      <c r="DL172" s="7"/>
      <c r="DM172" s="7">
        <v>3.42</v>
      </c>
      <c r="DN172" s="7">
        <v>101.0</v>
      </c>
      <c r="DO172" s="7" t="str">
        <f t="shared" si="15"/>
        <v>Средняя степень</v>
      </c>
      <c r="DP172" s="7">
        <v>29.0</v>
      </c>
      <c r="DQ172" s="7">
        <v>71.0</v>
      </c>
      <c r="DR172" s="7">
        <v>15.7</v>
      </c>
      <c r="DS172" s="7">
        <v>875.0</v>
      </c>
      <c r="DT172" s="7">
        <v>28.2</v>
      </c>
      <c r="DU172" s="7">
        <v>11.3</v>
      </c>
      <c r="DV172" s="7">
        <v>1.01</v>
      </c>
      <c r="DW172" s="1" t="s">
        <v>456</v>
      </c>
      <c r="DX172" s="7">
        <v>594.0</v>
      </c>
      <c r="DY172" s="7">
        <v>12.5</v>
      </c>
      <c r="DZ172" s="7">
        <v>10.5</v>
      </c>
      <c r="EA172" s="7">
        <v>0.89</v>
      </c>
      <c r="EB172" s="7"/>
      <c r="EC172" s="7">
        <v>5.58</v>
      </c>
      <c r="ED172" s="7">
        <v>11.45</v>
      </c>
      <c r="EE172" s="7">
        <v>21.94</v>
      </c>
      <c r="EF172" s="7">
        <v>33.84</v>
      </c>
      <c r="EG172" s="7">
        <v>76.0</v>
      </c>
      <c r="EH172" s="7">
        <v>7.68</v>
      </c>
      <c r="EI172" s="7">
        <v>1.64</v>
      </c>
      <c r="EJ172" s="7">
        <v>66.53</v>
      </c>
      <c r="EK172" s="34">
        <f t="shared" si="16"/>
        <v>88.42915298</v>
      </c>
      <c r="EL172" s="11" t="str">
        <f t="shared" si="17"/>
        <v>C2</v>
      </c>
      <c r="EM172" s="7">
        <v>135.4</v>
      </c>
      <c r="EN172" s="7">
        <v>4.02</v>
      </c>
      <c r="EO172" s="7">
        <v>39.6</v>
      </c>
      <c r="EP172" s="7">
        <v>31.6</v>
      </c>
      <c r="EQ172" s="7">
        <v>49.0</v>
      </c>
      <c r="ER172" s="7">
        <v>7.9</v>
      </c>
      <c r="ES172" s="7">
        <v>5.1</v>
      </c>
      <c r="ET172" s="7">
        <v>601.0</v>
      </c>
      <c r="EU172" s="11">
        <f t="shared" si="18"/>
        <v>6.179657626</v>
      </c>
      <c r="EV172" s="11" t="str">
        <f t="shared" si="19"/>
        <v>C5</v>
      </c>
      <c r="EW172" s="7">
        <v>150.0</v>
      </c>
      <c r="EX172" s="7">
        <v>7.09</v>
      </c>
      <c r="EY172" s="9">
        <f t="shared" si="20"/>
        <v>1.077794482</v>
      </c>
      <c r="EZ172" s="9">
        <f t="shared" si="21"/>
        <v>0.2539236174</v>
      </c>
      <c r="FA172" s="9" t="str">
        <f t="shared" si="22"/>
        <v>Благоприятный</v>
      </c>
      <c r="FB172" s="1" t="s">
        <v>256</v>
      </c>
      <c r="FC172" s="1" t="s">
        <v>445</v>
      </c>
    </row>
    <row r="173">
      <c r="A173" s="33">
        <v>172.0</v>
      </c>
      <c r="B173" s="7">
        <v>32.0</v>
      </c>
      <c r="C173" s="7">
        <v>9048.0</v>
      </c>
      <c r="D173" s="1" t="s">
        <v>445</v>
      </c>
      <c r="E173" s="7">
        <v>26.0</v>
      </c>
      <c r="F173" s="1" t="s">
        <v>161</v>
      </c>
      <c r="G173" s="7" t="s">
        <v>154</v>
      </c>
      <c r="H173" s="7">
        <v>16.0</v>
      </c>
      <c r="I173" s="1" t="s">
        <v>150</v>
      </c>
      <c r="J173" s="1" t="s">
        <v>150</v>
      </c>
      <c r="K173" s="9"/>
      <c r="L173" s="1" t="s">
        <v>150</v>
      </c>
      <c r="M173" s="1" t="s">
        <v>150</v>
      </c>
      <c r="N173" s="9"/>
      <c r="O173" s="6"/>
      <c r="P173" s="18"/>
      <c r="Q173" s="1" t="s">
        <v>150</v>
      </c>
      <c r="R173" s="9"/>
      <c r="S173" s="1" t="s">
        <v>150</v>
      </c>
      <c r="T173" s="9"/>
      <c r="U173" s="9"/>
      <c r="V173" s="9"/>
      <c r="W173" s="9"/>
      <c r="X173" s="9"/>
      <c r="Y173" s="1" t="s">
        <v>154</v>
      </c>
      <c r="Z173" s="1" t="s">
        <v>575</v>
      </c>
      <c r="AA173" s="9"/>
      <c r="AB173" s="9"/>
      <c r="AC173" s="9"/>
      <c r="AD173" s="1" t="s">
        <v>497</v>
      </c>
      <c r="AE173" s="1" t="s">
        <v>154</v>
      </c>
      <c r="AF173" s="1">
        <v>10.0</v>
      </c>
      <c r="AG173" s="1" t="s">
        <v>446</v>
      </c>
      <c r="AH173" s="1" t="s">
        <v>154</v>
      </c>
      <c r="AI173" s="1" t="s">
        <v>153</v>
      </c>
      <c r="AJ173" s="16" t="s">
        <v>456</v>
      </c>
      <c r="AK173" s="1" t="s">
        <v>5</v>
      </c>
      <c r="AL173" s="9"/>
      <c r="AM173" s="9"/>
      <c r="AN173" s="1">
        <v>15.0</v>
      </c>
      <c r="AO173" s="1" t="str">
        <f t="shared" si="2"/>
        <v>нет</v>
      </c>
      <c r="AP173" s="7">
        <v>158.0</v>
      </c>
      <c r="AQ173" s="7">
        <v>89.0</v>
      </c>
      <c r="AR173" s="9">
        <f t="shared" si="3"/>
        <v>35.65133793</v>
      </c>
      <c r="AS173" s="8" t="str">
        <f t="shared" si="4"/>
        <v>Ожирение II степени</v>
      </c>
      <c r="AT173" s="7">
        <v>112.0</v>
      </c>
      <c r="AU173" s="7">
        <v>68.0</v>
      </c>
      <c r="AV173" s="9"/>
      <c r="AW173" s="7">
        <v>110.0</v>
      </c>
      <c r="AX173" s="7">
        <v>36.9</v>
      </c>
      <c r="AY173" s="7">
        <v>25.0</v>
      </c>
      <c r="AZ173" s="7">
        <v>93.0</v>
      </c>
      <c r="BA173" s="10" t="str">
        <f t="shared" si="5"/>
        <v>да</v>
      </c>
      <c r="BB173" s="7">
        <v>96.0</v>
      </c>
      <c r="BC173" s="18"/>
      <c r="BD173" s="12" t="str">
        <f t="shared" si="6"/>
        <v>#DIV/0!</v>
      </c>
      <c r="BE173" s="12">
        <f t="shared" si="7"/>
        <v>1</v>
      </c>
      <c r="BF173" s="12">
        <f t="shared" si="8"/>
        <v>6</v>
      </c>
      <c r="BG173" s="1" t="s">
        <v>150</v>
      </c>
      <c r="BH173" s="9"/>
      <c r="BI173" s="1" t="s">
        <v>154</v>
      </c>
      <c r="BJ173" s="1" t="s">
        <v>175</v>
      </c>
      <c r="BK173" s="1" t="s">
        <v>154</v>
      </c>
      <c r="BL173" s="1" t="s">
        <v>189</v>
      </c>
      <c r="BM173" s="1" t="s">
        <v>154</v>
      </c>
      <c r="BN173" s="1" t="s">
        <v>448</v>
      </c>
      <c r="BO173" s="1" t="s">
        <v>154</v>
      </c>
      <c r="BP173" s="1" t="s">
        <v>157</v>
      </c>
      <c r="BQ173" s="7">
        <v>24.0</v>
      </c>
      <c r="BR173" s="1" t="s">
        <v>154</v>
      </c>
      <c r="BS173" s="1" t="s">
        <v>576</v>
      </c>
      <c r="BT173" s="1" t="s">
        <v>577</v>
      </c>
      <c r="BU173" s="1" t="s">
        <v>170</v>
      </c>
      <c r="BV173" s="1">
        <v>16.0</v>
      </c>
      <c r="BW173" s="1" t="s">
        <v>150</v>
      </c>
      <c r="BX173" s="1" t="s">
        <v>154</v>
      </c>
      <c r="BY173" s="1" t="s">
        <v>258</v>
      </c>
      <c r="BZ173" s="1" t="s">
        <v>154</v>
      </c>
      <c r="CA173" s="1" t="s">
        <v>150</v>
      </c>
      <c r="CB173" s="1" t="s">
        <v>150</v>
      </c>
      <c r="CC173" s="1" t="s">
        <v>150</v>
      </c>
      <c r="CD173" s="1" t="s">
        <v>150</v>
      </c>
      <c r="CE173" s="1" t="s">
        <v>150</v>
      </c>
      <c r="CF173" s="1" t="s">
        <v>150</v>
      </c>
      <c r="CG173" s="1" t="s">
        <v>150</v>
      </c>
      <c r="CH173" s="1" t="s">
        <v>150</v>
      </c>
      <c r="CI173" s="1" t="s">
        <v>150</v>
      </c>
      <c r="CJ173" s="1" t="s">
        <v>154</v>
      </c>
      <c r="CK173" s="1" t="s">
        <v>578</v>
      </c>
      <c r="CL173" s="1" t="s">
        <v>579</v>
      </c>
      <c r="CM173" s="8">
        <v>7.3</v>
      </c>
      <c r="CN173" s="8" t="s">
        <v>456</v>
      </c>
      <c r="CO173" s="8" t="str">
        <f t="shared" si="23"/>
        <v>#VALUE!</v>
      </c>
      <c r="CP173" s="8">
        <v>12.0</v>
      </c>
      <c r="CQ173" s="8" t="str">
        <f t="shared" si="10"/>
        <v>#VALUE!</v>
      </c>
      <c r="CR173" s="8">
        <v>3.0</v>
      </c>
      <c r="CS173" s="8" t="str">
        <f t="shared" si="11"/>
        <v>#VALUE!</v>
      </c>
      <c r="CT173" s="8" t="s">
        <v>456</v>
      </c>
      <c r="CU173" s="8" t="str">
        <f t="shared" si="12"/>
        <v>#VALUE!</v>
      </c>
      <c r="CV173" s="8" t="str">
        <f t="shared" si="13"/>
        <v>#VALUE!</v>
      </c>
      <c r="CW173" s="8">
        <v>4.1</v>
      </c>
      <c r="CX173" s="8">
        <v>114.0</v>
      </c>
      <c r="CY173" s="8" t="str">
        <f t="shared" si="14"/>
        <v>Легкая степень</v>
      </c>
      <c r="CZ173" s="3" t="s">
        <v>456</v>
      </c>
      <c r="DA173" s="8">
        <v>147.0</v>
      </c>
      <c r="DB173" s="8">
        <v>43.0</v>
      </c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7" t="str">
        <f t="shared" si="15"/>
        <v>Тяжелая степень</v>
      </c>
      <c r="DP173" s="9"/>
      <c r="DQ173" s="9"/>
      <c r="DR173" s="9"/>
      <c r="DS173" s="8">
        <v>610.0</v>
      </c>
      <c r="DT173" s="3" t="s">
        <v>456</v>
      </c>
      <c r="DU173" s="8">
        <v>10.4</v>
      </c>
      <c r="DV173" s="8">
        <v>0.8</v>
      </c>
      <c r="DW173" s="3" t="s">
        <v>458</v>
      </c>
      <c r="DX173" s="18"/>
      <c r="DY173" s="18"/>
      <c r="DZ173" s="18"/>
      <c r="EA173" s="18"/>
      <c r="EB173" s="16"/>
      <c r="EC173" s="8">
        <v>7.1</v>
      </c>
      <c r="ED173" s="1" t="s">
        <v>456</v>
      </c>
      <c r="EE173" s="7">
        <v>48.0</v>
      </c>
      <c r="EF173" s="7">
        <v>74.0</v>
      </c>
      <c r="EG173" s="7">
        <v>60.0</v>
      </c>
      <c r="EH173" s="7">
        <v>7.0</v>
      </c>
      <c r="EI173" s="7">
        <v>1.0</v>
      </c>
      <c r="EJ173" s="7">
        <v>54.0</v>
      </c>
      <c r="EK173" s="34">
        <f t="shared" si="16"/>
        <v>125.4733893</v>
      </c>
      <c r="EL173" s="11" t="str">
        <f t="shared" si="17"/>
        <v>C1</v>
      </c>
      <c r="EM173" s="8">
        <v>132.0</v>
      </c>
      <c r="EN173" s="8">
        <v>3.34</v>
      </c>
      <c r="EO173" s="18"/>
      <c r="EP173" s="18"/>
      <c r="EQ173" s="18"/>
      <c r="ER173" s="18"/>
      <c r="ES173" s="18"/>
      <c r="ET173" s="18"/>
      <c r="EU173" s="18" t="str">
        <f t="shared" si="18"/>
        <v>#NUM!</v>
      </c>
      <c r="EV173" s="18" t="str">
        <f t="shared" si="19"/>
        <v>#NUM!</v>
      </c>
      <c r="EW173" s="18"/>
      <c r="EX173" s="18"/>
      <c r="EY173" s="9">
        <f t="shared" si="20"/>
        <v>0.7320677936</v>
      </c>
      <c r="EZ173" s="9">
        <f t="shared" si="21"/>
        <v>0.3247411285</v>
      </c>
      <c r="FA173" s="9" t="str">
        <f t="shared" si="22"/>
        <v>Благоприятный</v>
      </c>
      <c r="FB173" s="1" t="s">
        <v>256</v>
      </c>
      <c r="FC173" s="1" t="s">
        <v>445</v>
      </c>
    </row>
    <row r="174">
      <c r="A174" s="33">
        <v>173.0</v>
      </c>
      <c r="B174" s="7">
        <v>33.0</v>
      </c>
      <c r="C174" s="7">
        <v>8474.0</v>
      </c>
      <c r="D174" s="1" t="s">
        <v>445</v>
      </c>
      <c r="E174" s="7">
        <v>71.0</v>
      </c>
      <c r="F174" s="1" t="s">
        <v>149</v>
      </c>
      <c r="G174" s="7"/>
      <c r="H174" s="7">
        <v>4.0</v>
      </c>
      <c r="I174" s="1" t="s">
        <v>150</v>
      </c>
      <c r="J174" s="1" t="s">
        <v>150</v>
      </c>
      <c r="K174" s="9"/>
      <c r="L174" s="1" t="s">
        <v>150</v>
      </c>
      <c r="M174" s="1" t="s">
        <v>154</v>
      </c>
      <c r="N174" s="1" t="s">
        <v>522</v>
      </c>
      <c r="O174" s="1" t="s">
        <v>154</v>
      </c>
      <c r="P174" s="1" t="s">
        <v>154</v>
      </c>
      <c r="Q174" s="1" t="s">
        <v>154</v>
      </c>
      <c r="R174" s="7">
        <v>2.0</v>
      </c>
      <c r="S174" s="1" t="s">
        <v>150</v>
      </c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1" t="s">
        <v>154</v>
      </c>
      <c r="AF174" s="1">
        <v>1.0</v>
      </c>
      <c r="AG174" s="1" t="s">
        <v>446</v>
      </c>
      <c r="AH174" s="1" t="s">
        <v>154</v>
      </c>
      <c r="AI174" s="1" t="s">
        <v>168</v>
      </c>
      <c r="AJ174" s="7">
        <v>3.0</v>
      </c>
      <c r="AK174" s="1" t="s">
        <v>5</v>
      </c>
      <c r="AL174" s="9"/>
      <c r="AM174" s="9"/>
      <c r="AN174" s="1">
        <v>15.0</v>
      </c>
      <c r="AO174" s="1" t="str">
        <f t="shared" si="2"/>
        <v>нет</v>
      </c>
      <c r="AP174" s="7">
        <v>176.0</v>
      </c>
      <c r="AQ174" s="7">
        <v>98.0</v>
      </c>
      <c r="AR174" s="9">
        <f t="shared" si="3"/>
        <v>31.63739669</v>
      </c>
      <c r="AS174" s="7" t="str">
        <f t="shared" si="4"/>
        <v>Ожирение I степени</v>
      </c>
      <c r="AT174" s="7">
        <v>137.0</v>
      </c>
      <c r="AU174" s="7">
        <v>90.0</v>
      </c>
      <c r="AV174" s="9"/>
      <c r="AW174" s="7">
        <v>86.0</v>
      </c>
      <c r="AX174" s="7">
        <v>38.3</v>
      </c>
      <c r="AY174" s="7">
        <v>20.0</v>
      </c>
      <c r="AZ174" s="7">
        <v>85.0</v>
      </c>
      <c r="BA174" s="10" t="str">
        <f t="shared" si="5"/>
        <v>да</v>
      </c>
      <c r="BB174" s="7">
        <v>87.0</v>
      </c>
      <c r="BC174" s="7">
        <v>40.0</v>
      </c>
      <c r="BD174" s="12">
        <f t="shared" si="6"/>
        <v>0.10625</v>
      </c>
      <c r="BE174" s="12">
        <f t="shared" si="7"/>
        <v>0</v>
      </c>
      <c r="BF174" s="12">
        <f t="shared" si="8"/>
        <v>4</v>
      </c>
      <c r="BG174" s="1" t="s">
        <v>154</v>
      </c>
      <c r="BH174" s="1" t="s">
        <v>175</v>
      </c>
      <c r="BI174" s="1" t="s">
        <v>154</v>
      </c>
      <c r="BJ174" s="1" t="s">
        <v>237</v>
      </c>
      <c r="BK174" s="1" t="s">
        <v>150</v>
      </c>
      <c r="BL174" s="9"/>
      <c r="BM174" s="1" t="s">
        <v>154</v>
      </c>
      <c r="BN174" s="1" t="s">
        <v>155</v>
      </c>
      <c r="BO174" s="1" t="s">
        <v>154</v>
      </c>
      <c r="BP174" s="1" t="s">
        <v>170</v>
      </c>
      <c r="BQ174" s="7">
        <v>24.0</v>
      </c>
      <c r="BR174" s="1" t="s">
        <v>154</v>
      </c>
      <c r="BS174" s="1" t="s">
        <v>483</v>
      </c>
      <c r="BT174" s="7">
        <v>24.0</v>
      </c>
      <c r="BU174" s="1" t="s">
        <v>170</v>
      </c>
      <c r="BV174" s="1">
        <v>24.0</v>
      </c>
      <c r="BW174" s="1" t="s">
        <v>154</v>
      </c>
      <c r="BX174" s="1" t="s">
        <v>154</v>
      </c>
      <c r="BY174" s="1" t="s">
        <v>580</v>
      </c>
      <c r="BZ174" s="1" t="s">
        <v>150</v>
      </c>
      <c r="CA174" s="1" t="s">
        <v>150</v>
      </c>
      <c r="CB174" s="1" t="s">
        <v>154</v>
      </c>
      <c r="CC174" s="1" t="s">
        <v>150</v>
      </c>
      <c r="CD174" s="1" t="s">
        <v>154</v>
      </c>
      <c r="CE174" s="1" t="s">
        <v>150</v>
      </c>
      <c r="CF174" s="1" t="s">
        <v>150</v>
      </c>
      <c r="CG174" s="1" t="s">
        <v>150</v>
      </c>
      <c r="CH174" s="1" t="s">
        <v>150</v>
      </c>
      <c r="CI174" s="1" t="s">
        <v>150</v>
      </c>
      <c r="CJ174" s="1" t="s">
        <v>150</v>
      </c>
      <c r="CK174" s="1" t="s">
        <v>150</v>
      </c>
      <c r="CL174" s="1" t="s">
        <v>273</v>
      </c>
      <c r="CM174" s="7">
        <v>13.2</v>
      </c>
      <c r="CN174" s="1">
        <v>92.7</v>
      </c>
      <c r="CO174" s="7">
        <f t="shared" si="23"/>
        <v>12.2364</v>
      </c>
      <c r="CP174" s="1">
        <v>4.4</v>
      </c>
      <c r="CQ174" s="7">
        <f t="shared" si="10"/>
        <v>0.5384016</v>
      </c>
      <c r="CR174" s="1">
        <v>2.7</v>
      </c>
      <c r="CS174" s="7">
        <f t="shared" si="11"/>
        <v>0.0145368432</v>
      </c>
      <c r="CT174" s="1">
        <v>0.0</v>
      </c>
      <c r="CU174" s="7">
        <f t="shared" si="12"/>
        <v>0</v>
      </c>
      <c r="CV174" s="7">
        <f t="shared" si="13"/>
        <v>22.72727273</v>
      </c>
      <c r="CW174" s="1">
        <v>5.01</v>
      </c>
      <c r="CX174" s="7">
        <v>135.0</v>
      </c>
      <c r="CY174" s="7" t="str">
        <f t="shared" si="14"/>
        <v>Норма</v>
      </c>
      <c r="CZ174" s="7" t="s">
        <v>456</v>
      </c>
      <c r="DA174" s="7">
        <v>75.0</v>
      </c>
      <c r="DB174" s="7">
        <v>174.6</v>
      </c>
      <c r="DC174" s="7">
        <v>16.3</v>
      </c>
      <c r="DD174" s="7">
        <v>93.1</v>
      </c>
      <c r="DE174" s="7"/>
      <c r="DF174" s="7">
        <v>43.9</v>
      </c>
      <c r="DG174" s="7"/>
      <c r="DH174" s="7">
        <v>2.7</v>
      </c>
      <c r="DI174" s="7"/>
      <c r="DJ174" s="7">
        <v>0.0</v>
      </c>
      <c r="DK174" s="7"/>
      <c r="DL174" s="7"/>
      <c r="DM174" s="7">
        <v>4.65</v>
      </c>
      <c r="DN174" s="7">
        <v>128.0</v>
      </c>
      <c r="DO174" s="7" t="str">
        <f t="shared" si="15"/>
        <v>Легкая степень</v>
      </c>
      <c r="DP174" s="7" t="s">
        <v>456</v>
      </c>
      <c r="DQ174" s="7">
        <v>216.0</v>
      </c>
      <c r="DR174" s="7">
        <v>151.6</v>
      </c>
      <c r="DS174" s="7">
        <v>620.0</v>
      </c>
      <c r="DT174" s="7">
        <v>22.1</v>
      </c>
      <c r="DU174" s="7">
        <v>12.4</v>
      </c>
      <c r="DV174" s="7">
        <v>1.06</v>
      </c>
      <c r="DW174" s="1" t="s">
        <v>456</v>
      </c>
      <c r="DX174" s="18"/>
      <c r="DY174" s="18"/>
      <c r="DZ174" s="18"/>
      <c r="EA174" s="18"/>
      <c r="EB174" s="16"/>
      <c r="EC174" s="7">
        <v>12.07</v>
      </c>
      <c r="ED174" s="7">
        <v>18.62</v>
      </c>
      <c r="EE174" s="7">
        <v>52.96</v>
      </c>
      <c r="EF174" s="7">
        <v>143.51</v>
      </c>
      <c r="EG174" s="7">
        <v>60.1</v>
      </c>
      <c r="EH174" s="7">
        <v>5.2</v>
      </c>
      <c r="EI174" s="7">
        <v>1.8</v>
      </c>
      <c r="EJ174" s="7">
        <v>84.4</v>
      </c>
      <c r="EK174" s="34">
        <f t="shared" si="16"/>
        <v>60.11254455</v>
      </c>
      <c r="EL174" s="11" t="str">
        <f t="shared" si="17"/>
        <v>C2</v>
      </c>
      <c r="EM174" s="7">
        <v>134.7</v>
      </c>
      <c r="EN174" s="7">
        <v>3.82</v>
      </c>
      <c r="EO174" s="7">
        <v>19.33</v>
      </c>
      <c r="EP174" s="7">
        <v>36.39</v>
      </c>
      <c r="EQ174" s="7">
        <v>56.3</v>
      </c>
      <c r="ER174" s="7">
        <v>9.29</v>
      </c>
      <c r="ES174" s="7">
        <v>2.28</v>
      </c>
      <c r="ET174" s="7">
        <v>89.31</v>
      </c>
      <c r="EU174" s="11">
        <f t="shared" si="18"/>
        <v>56.14032493</v>
      </c>
      <c r="EV174" s="11" t="str">
        <f t="shared" si="19"/>
        <v>C3a</v>
      </c>
      <c r="EW174" s="7">
        <v>135.5</v>
      </c>
      <c r="EX174" s="7">
        <v>5.08</v>
      </c>
      <c r="EY174" s="9">
        <f t="shared" si="20"/>
        <v>-3.041943112</v>
      </c>
      <c r="EZ174" s="9">
        <f t="shared" si="21"/>
        <v>0.9544334103</v>
      </c>
      <c r="FA174" s="9" t="str">
        <f t="shared" si="22"/>
        <v>Неблагоприятный</v>
      </c>
      <c r="FB174" s="1" t="s">
        <v>150</v>
      </c>
      <c r="FC174" s="1" t="s">
        <v>445</v>
      </c>
    </row>
    <row r="175">
      <c r="A175" s="33">
        <v>174.0</v>
      </c>
      <c r="B175" s="7">
        <v>34.0</v>
      </c>
      <c r="C175" s="7">
        <v>9032.0</v>
      </c>
      <c r="D175" s="1" t="s">
        <v>445</v>
      </c>
      <c r="E175" s="7">
        <v>69.0</v>
      </c>
      <c r="F175" s="1" t="s">
        <v>161</v>
      </c>
      <c r="G175" s="7"/>
      <c r="H175" s="7">
        <v>16.0</v>
      </c>
      <c r="I175" s="1" t="s">
        <v>150</v>
      </c>
      <c r="J175" s="1" t="s">
        <v>150</v>
      </c>
      <c r="K175" s="9"/>
      <c r="L175" s="1" t="s">
        <v>150</v>
      </c>
      <c r="M175" s="1" t="s">
        <v>150</v>
      </c>
      <c r="N175" s="9"/>
      <c r="O175" s="1" t="s">
        <v>154</v>
      </c>
      <c r="P175" s="1" t="s">
        <v>150</v>
      </c>
      <c r="Q175" s="1" t="s">
        <v>154</v>
      </c>
      <c r="R175" s="7">
        <v>2.0</v>
      </c>
      <c r="S175" s="1" t="s">
        <v>150</v>
      </c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1" t="s">
        <v>154</v>
      </c>
      <c r="AF175" s="1">
        <v>3.0</v>
      </c>
      <c r="AG175" s="1" t="s">
        <v>446</v>
      </c>
      <c r="AH175" s="1" t="s">
        <v>154</v>
      </c>
      <c r="AI175" s="1" t="s">
        <v>153</v>
      </c>
      <c r="AJ175" s="7">
        <v>1.0</v>
      </c>
      <c r="AK175" s="1" t="s">
        <v>5</v>
      </c>
      <c r="AL175" s="9"/>
      <c r="AM175" s="9"/>
      <c r="AN175" s="1">
        <v>15.0</v>
      </c>
      <c r="AO175" s="1" t="str">
        <f t="shared" si="2"/>
        <v>нет</v>
      </c>
      <c r="AP175" s="7">
        <v>164.0</v>
      </c>
      <c r="AQ175" s="7">
        <v>83.0</v>
      </c>
      <c r="AR175" s="9">
        <f t="shared" si="3"/>
        <v>30.85960738</v>
      </c>
      <c r="AS175" s="7" t="str">
        <f t="shared" si="4"/>
        <v>Ожирение I степени</v>
      </c>
      <c r="AT175" s="7">
        <v>180.0</v>
      </c>
      <c r="AU175" s="7">
        <v>117.0</v>
      </c>
      <c r="AV175" s="9"/>
      <c r="AW175" s="7">
        <v>80.0</v>
      </c>
      <c r="AX175" s="7">
        <v>37.3</v>
      </c>
      <c r="AY175" s="7">
        <v>21.0</v>
      </c>
      <c r="AZ175" s="7">
        <v>89.0</v>
      </c>
      <c r="BA175" s="10" t="str">
        <f t="shared" si="5"/>
        <v>да</v>
      </c>
      <c r="BB175" s="7">
        <v>95.0</v>
      </c>
      <c r="BC175" s="18"/>
      <c r="BD175" s="12" t="str">
        <f t="shared" si="6"/>
        <v>#DIV/0!</v>
      </c>
      <c r="BE175" s="12">
        <f t="shared" si="7"/>
        <v>0</v>
      </c>
      <c r="BF175" s="12">
        <f t="shared" si="8"/>
        <v>5</v>
      </c>
      <c r="BG175" s="1" t="s">
        <v>154</v>
      </c>
      <c r="BH175" s="1" t="s">
        <v>581</v>
      </c>
      <c r="BI175" s="1" t="s">
        <v>154</v>
      </c>
      <c r="BJ175" s="1" t="s">
        <v>175</v>
      </c>
      <c r="BK175" s="1" t="s">
        <v>150</v>
      </c>
      <c r="BL175" s="9"/>
      <c r="BM175" s="1" t="s">
        <v>154</v>
      </c>
      <c r="BN175" s="1" t="s">
        <v>582</v>
      </c>
      <c r="BO175" s="1" t="s">
        <v>154</v>
      </c>
      <c r="BP175" s="1" t="s">
        <v>157</v>
      </c>
      <c r="BQ175" s="9"/>
      <c r="BR175" s="1" t="s">
        <v>154</v>
      </c>
      <c r="BS175" s="1" t="s">
        <v>483</v>
      </c>
      <c r="BT175" s="7">
        <v>32.0</v>
      </c>
      <c r="BU175" s="1" t="s">
        <v>170</v>
      </c>
      <c r="BV175" s="1">
        <v>24.0</v>
      </c>
      <c r="BW175" s="1" t="s">
        <v>150</v>
      </c>
      <c r="BX175" s="1" t="s">
        <v>154</v>
      </c>
      <c r="BY175" s="1" t="s">
        <v>258</v>
      </c>
      <c r="BZ175" s="1" t="s">
        <v>154</v>
      </c>
      <c r="CA175" s="1" t="s">
        <v>150</v>
      </c>
      <c r="CB175" s="1" t="s">
        <v>150</v>
      </c>
      <c r="CC175" s="1" t="s">
        <v>150</v>
      </c>
      <c r="CD175" s="1" t="s">
        <v>150</v>
      </c>
      <c r="CE175" s="1" t="s">
        <v>150</v>
      </c>
      <c r="CF175" s="1" t="s">
        <v>150</v>
      </c>
      <c r="CG175" s="1" t="s">
        <v>150</v>
      </c>
      <c r="CH175" s="1" t="s">
        <v>150</v>
      </c>
      <c r="CI175" s="1" t="s">
        <v>150</v>
      </c>
      <c r="CJ175" s="1" t="s">
        <v>154</v>
      </c>
      <c r="CK175" s="1" t="s">
        <v>150</v>
      </c>
      <c r="CL175" s="1" t="s">
        <v>583</v>
      </c>
      <c r="CM175" s="7">
        <v>16.6</v>
      </c>
      <c r="CN175" s="7">
        <v>89.8</v>
      </c>
      <c r="CO175" s="7">
        <f t="shared" si="23"/>
        <v>14.9068</v>
      </c>
      <c r="CP175" s="7">
        <v>5.0</v>
      </c>
      <c r="CQ175" s="7">
        <f t="shared" si="10"/>
        <v>0.74534</v>
      </c>
      <c r="CR175" s="7">
        <v>4.7</v>
      </c>
      <c r="CS175" s="7">
        <f t="shared" si="11"/>
        <v>0.03503098</v>
      </c>
      <c r="CT175" s="7">
        <v>0.0</v>
      </c>
      <c r="CU175" s="7">
        <f t="shared" si="12"/>
        <v>0</v>
      </c>
      <c r="CV175" s="7">
        <f t="shared" si="13"/>
        <v>20</v>
      </c>
      <c r="CW175" s="7">
        <v>4.09</v>
      </c>
      <c r="CX175" s="7">
        <v>125.0</v>
      </c>
      <c r="CY175" s="7" t="str">
        <f t="shared" si="14"/>
        <v>Легкая степень</v>
      </c>
      <c r="CZ175" s="7" t="s">
        <v>456</v>
      </c>
      <c r="DA175" s="7">
        <v>295.0</v>
      </c>
      <c r="DB175" s="7">
        <v>124.7</v>
      </c>
      <c r="DC175" s="7">
        <v>8.99</v>
      </c>
      <c r="DD175" s="7">
        <v>81.8</v>
      </c>
      <c r="DE175" s="7"/>
      <c r="DF175" s="7">
        <v>8.7</v>
      </c>
      <c r="DG175" s="7"/>
      <c r="DH175" s="7">
        <v>9.3</v>
      </c>
      <c r="DI175" s="7"/>
      <c r="DJ175" s="7">
        <v>0.0</v>
      </c>
      <c r="DK175" s="7"/>
      <c r="DL175" s="7"/>
      <c r="DM175" s="7">
        <v>4.64</v>
      </c>
      <c r="DN175" s="7">
        <v>135.0</v>
      </c>
      <c r="DO175" s="7" t="str">
        <f t="shared" si="15"/>
        <v>Норма</v>
      </c>
      <c r="DP175" s="7">
        <v>32.0</v>
      </c>
      <c r="DQ175" s="7">
        <v>327.0</v>
      </c>
      <c r="DR175" s="7">
        <v>77.2</v>
      </c>
      <c r="DS175" s="7">
        <v>630.0</v>
      </c>
      <c r="DT175" s="1" t="s">
        <v>456</v>
      </c>
      <c r="DU175" s="7">
        <v>14.9</v>
      </c>
      <c r="DV175" s="7">
        <v>1.3</v>
      </c>
      <c r="DW175" s="1" t="s">
        <v>456</v>
      </c>
      <c r="DX175" s="7">
        <v>267.0</v>
      </c>
      <c r="DY175" s="1" t="s">
        <v>456</v>
      </c>
      <c r="DZ175" s="7">
        <v>11.7</v>
      </c>
      <c r="EA175" s="7">
        <v>1.0</v>
      </c>
      <c r="EB175" s="7"/>
      <c r="EC175" s="7">
        <v>8.02</v>
      </c>
      <c r="ED175" s="7">
        <v>14.69</v>
      </c>
      <c r="EE175" s="7">
        <v>51.76</v>
      </c>
      <c r="EF175" s="7">
        <v>66.67</v>
      </c>
      <c r="EG175" s="1" t="s">
        <v>456</v>
      </c>
      <c r="EH175" s="7">
        <v>12.08</v>
      </c>
      <c r="EI175" s="7">
        <v>3.03</v>
      </c>
      <c r="EJ175" s="7">
        <v>76.27</v>
      </c>
      <c r="EK175" s="34">
        <f t="shared" si="16"/>
        <v>68.90471703</v>
      </c>
      <c r="EL175" s="11" t="str">
        <f t="shared" si="17"/>
        <v>C2</v>
      </c>
      <c r="EM175" s="1" t="s">
        <v>456</v>
      </c>
      <c r="EN175" s="1" t="s">
        <v>456</v>
      </c>
      <c r="EO175" s="7" t="s">
        <v>584</v>
      </c>
      <c r="EP175" s="7" t="s">
        <v>585</v>
      </c>
      <c r="EQ175" s="7">
        <v>50.0</v>
      </c>
      <c r="ER175" s="7">
        <v>14.4</v>
      </c>
      <c r="ES175" s="7">
        <v>7.8</v>
      </c>
      <c r="ET175" s="7">
        <v>276.0</v>
      </c>
      <c r="EU175" s="11">
        <f t="shared" si="18"/>
        <v>14.55310131</v>
      </c>
      <c r="EV175" s="11" t="str">
        <f t="shared" si="19"/>
        <v>C5</v>
      </c>
      <c r="EW175" s="7">
        <v>134.7</v>
      </c>
      <c r="EX175" s="7">
        <v>5.91</v>
      </c>
      <c r="EY175" s="9">
        <f t="shared" si="20"/>
        <v>-0.4652408667</v>
      </c>
      <c r="EZ175" s="9">
        <f t="shared" si="21"/>
        <v>0.6142567166</v>
      </c>
      <c r="FA175" s="9" t="str">
        <f t="shared" si="22"/>
        <v>Неблагоприятный</v>
      </c>
      <c r="FB175" s="1" t="s">
        <v>150</v>
      </c>
      <c r="FC175" s="1" t="s">
        <v>445</v>
      </c>
    </row>
    <row r="176">
      <c r="A176" s="33">
        <v>175.0</v>
      </c>
      <c r="B176" s="7">
        <v>35.0</v>
      </c>
      <c r="C176" s="7">
        <v>8536.0</v>
      </c>
      <c r="D176" s="1" t="s">
        <v>445</v>
      </c>
      <c r="E176" s="7">
        <v>82.0</v>
      </c>
      <c r="F176" s="1" t="s">
        <v>161</v>
      </c>
      <c r="G176" s="7"/>
      <c r="H176" s="7">
        <v>11.0</v>
      </c>
      <c r="I176" s="1" t="s">
        <v>150</v>
      </c>
      <c r="J176" s="1" t="s">
        <v>150</v>
      </c>
      <c r="K176" s="9"/>
      <c r="L176" s="1" t="s">
        <v>150</v>
      </c>
      <c r="M176" s="1" t="s">
        <v>150</v>
      </c>
      <c r="N176" s="9"/>
      <c r="O176" s="1" t="str">
        <f>IF(EC176&gt;=6.1,IF(EC176&lt;7,"да","нет"),"нет")</f>
        <v>нет</v>
      </c>
      <c r="P176" s="1" t="s">
        <v>150</v>
      </c>
      <c r="Q176" s="1" t="s">
        <v>154</v>
      </c>
      <c r="R176" s="1">
        <v>2.0</v>
      </c>
      <c r="S176" s="1" t="s">
        <v>150</v>
      </c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1" t="s">
        <v>586</v>
      </c>
      <c r="AE176" s="18"/>
      <c r="AF176" s="1" t="s">
        <v>587</v>
      </c>
      <c r="AG176" s="1" t="s">
        <v>446</v>
      </c>
      <c r="AH176" s="1" t="s">
        <v>154</v>
      </c>
      <c r="AI176" s="6" t="s">
        <v>153</v>
      </c>
      <c r="AJ176" s="7">
        <v>1.0</v>
      </c>
      <c r="AK176" s="1" t="s">
        <v>5</v>
      </c>
      <c r="AL176" s="9"/>
      <c r="AM176" s="9"/>
      <c r="AN176" s="1">
        <v>15.0</v>
      </c>
      <c r="AO176" s="1" t="str">
        <f t="shared" si="2"/>
        <v>нет</v>
      </c>
      <c r="AP176" s="7">
        <v>152.0</v>
      </c>
      <c r="AQ176" s="7">
        <v>60.0</v>
      </c>
      <c r="AR176" s="9">
        <f t="shared" si="3"/>
        <v>25.96952909</v>
      </c>
      <c r="AS176" s="7" t="str">
        <f t="shared" si="4"/>
        <v>Избыточный вес (предожирение)</v>
      </c>
      <c r="AT176" s="7">
        <v>170.0</v>
      </c>
      <c r="AU176" s="7">
        <v>110.0</v>
      </c>
      <c r="AV176" s="9"/>
      <c r="AW176" s="7">
        <v>87.0</v>
      </c>
      <c r="AX176" s="7">
        <v>38.0</v>
      </c>
      <c r="AY176" s="7">
        <v>28.0</v>
      </c>
      <c r="AZ176" s="7">
        <v>88.0</v>
      </c>
      <c r="BA176" s="10" t="str">
        <f t="shared" si="5"/>
        <v>да</v>
      </c>
      <c r="BB176" s="7">
        <v>96.0</v>
      </c>
      <c r="BC176" s="7">
        <v>40.0</v>
      </c>
      <c r="BD176" s="12">
        <f t="shared" si="6"/>
        <v>0.07857142857</v>
      </c>
      <c r="BE176" s="12">
        <f t="shared" si="7"/>
        <v>1</v>
      </c>
      <c r="BF176" s="12">
        <f t="shared" si="8"/>
        <v>6</v>
      </c>
      <c r="BG176" s="1" t="s">
        <v>150</v>
      </c>
      <c r="BH176" s="9"/>
      <c r="BI176" s="1" t="s">
        <v>154</v>
      </c>
      <c r="BJ176" s="1" t="s">
        <v>175</v>
      </c>
      <c r="BK176" s="1" t="s">
        <v>150</v>
      </c>
      <c r="BL176" s="9"/>
      <c r="BM176" s="1" t="s">
        <v>154</v>
      </c>
      <c r="BN176" s="1" t="s">
        <v>448</v>
      </c>
      <c r="BO176" s="1" t="s">
        <v>150</v>
      </c>
      <c r="BP176" s="9"/>
      <c r="BQ176" s="9"/>
      <c r="BR176" s="1" t="s">
        <v>154</v>
      </c>
      <c r="BS176" s="1" t="s">
        <v>541</v>
      </c>
      <c r="BT176" s="1" t="s">
        <v>588</v>
      </c>
      <c r="BU176" s="1" t="s">
        <v>170</v>
      </c>
      <c r="BV176" s="1">
        <v>24.0</v>
      </c>
      <c r="BW176" s="1" t="s">
        <v>150</v>
      </c>
      <c r="BX176" s="1" t="s">
        <v>154</v>
      </c>
      <c r="BY176" s="1" t="s">
        <v>275</v>
      </c>
      <c r="BZ176" s="1" t="s">
        <v>154</v>
      </c>
      <c r="CA176" s="1" t="s">
        <v>154</v>
      </c>
      <c r="CB176" s="1" t="s">
        <v>150</v>
      </c>
      <c r="CC176" s="1" t="s">
        <v>150</v>
      </c>
      <c r="CD176" s="1" t="s">
        <v>150</v>
      </c>
      <c r="CE176" s="1" t="s">
        <v>150</v>
      </c>
      <c r="CF176" s="1" t="s">
        <v>150</v>
      </c>
      <c r="CG176" s="1" t="s">
        <v>150</v>
      </c>
      <c r="CH176" s="1" t="s">
        <v>150</v>
      </c>
      <c r="CI176" s="1" t="s">
        <v>150</v>
      </c>
      <c r="CJ176" s="1" t="s">
        <v>150</v>
      </c>
      <c r="CK176" s="1" t="s">
        <v>150</v>
      </c>
      <c r="CL176" s="1" t="s">
        <v>589</v>
      </c>
      <c r="CM176" s="7">
        <v>4.2</v>
      </c>
      <c r="CN176" s="7">
        <v>75.3</v>
      </c>
      <c r="CO176" s="7">
        <f t="shared" si="23"/>
        <v>3.1626</v>
      </c>
      <c r="CP176" s="7">
        <v>13.8</v>
      </c>
      <c r="CQ176" s="7">
        <f t="shared" si="10"/>
        <v>0.4364388</v>
      </c>
      <c r="CR176" s="7">
        <v>10.4</v>
      </c>
      <c r="CS176" s="7">
        <f t="shared" si="11"/>
        <v>0.0453896352</v>
      </c>
      <c r="CT176" s="7">
        <v>0.2</v>
      </c>
      <c r="CU176" s="7">
        <f t="shared" si="12"/>
        <v>0.0000907792704</v>
      </c>
      <c r="CV176" s="7">
        <f t="shared" si="13"/>
        <v>7.246376812</v>
      </c>
      <c r="CW176" s="7">
        <v>4.03</v>
      </c>
      <c r="CX176" s="7">
        <v>117.0</v>
      </c>
      <c r="CY176" s="7" t="str">
        <f t="shared" si="14"/>
        <v>Легкая степень</v>
      </c>
      <c r="CZ176" s="7" t="s">
        <v>456</v>
      </c>
      <c r="DA176" s="7">
        <v>111.0</v>
      </c>
      <c r="DB176" s="7">
        <v>23.0</v>
      </c>
      <c r="DC176" s="7">
        <v>24.8</v>
      </c>
      <c r="DD176" s="7">
        <v>90.1</v>
      </c>
      <c r="DE176" s="7"/>
      <c r="DF176" s="7">
        <v>5.3</v>
      </c>
      <c r="DG176" s="7"/>
      <c r="DH176" s="7">
        <v>4.4</v>
      </c>
      <c r="DI176" s="7"/>
      <c r="DJ176" s="7">
        <v>0.0</v>
      </c>
      <c r="DK176" s="7"/>
      <c r="DL176" s="7"/>
      <c r="DM176" s="7">
        <v>3.88</v>
      </c>
      <c r="DN176" s="7">
        <v>110.0</v>
      </c>
      <c r="DO176" s="7" t="str">
        <f t="shared" si="15"/>
        <v>Легкая степень</v>
      </c>
      <c r="DP176" s="7" t="s">
        <v>456</v>
      </c>
      <c r="DQ176" s="7">
        <v>22.0</v>
      </c>
      <c r="DR176" s="18"/>
      <c r="DS176" s="7">
        <v>388.0</v>
      </c>
      <c r="DT176" s="7">
        <v>28.9</v>
      </c>
      <c r="DU176" s="7">
        <v>11.2</v>
      </c>
      <c r="DV176" s="7">
        <v>0.96</v>
      </c>
      <c r="DW176" s="18"/>
      <c r="DX176" s="7">
        <v>190.0</v>
      </c>
      <c r="DY176" s="18"/>
      <c r="DZ176" s="7">
        <v>12.7</v>
      </c>
      <c r="EA176" s="7">
        <v>1.09</v>
      </c>
      <c r="EB176" s="7"/>
      <c r="EC176" s="7">
        <v>5.83</v>
      </c>
      <c r="ED176" s="7">
        <v>7.94</v>
      </c>
      <c r="EE176" s="7">
        <v>22.39</v>
      </c>
      <c r="EF176" s="7">
        <v>46.67</v>
      </c>
      <c r="EG176" s="7">
        <v>71.36</v>
      </c>
      <c r="EH176" s="7">
        <v>9.81</v>
      </c>
      <c r="EI176" s="7">
        <v>1.96</v>
      </c>
      <c r="EJ176" s="7">
        <v>136.68</v>
      </c>
      <c r="EK176" s="34">
        <f t="shared" si="16"/>
        <v>31.06615856</v>
      </c>
      <c r="EL176" s="11" t="str">
        <f t="shared" si="17"/>
        <v>C3b</v>
      </c>
      <c r="EM176" s="7">
        <v>140.0</v>
      </c>
      <c r="EN176" s="7">
        <v>2.7</v>
      </c>
      <c r="EO176" s="7">
        <v>33.7</v>
      </c>
      <c r="EP176" s="7">
        <v>15.2</v>
      </c>
      <c r="EQ176" s="7">
        <v>51.5</v>
      </c>
      <c r="ER176" s="7">
        <v>13.9</v>
      </c>
      <c r="ES176" s="7">
        <v>4.3</v>
      </c>
      <c r="ET176" s="7">
        <v>86.0</v>
      </c>
      <c r="EU176" s="11">
        <f t="shared" si="18"/>
        <v>54.39340369</v>
      </c>
      <c r="EV176" s="11" t="str">
        <f t="shared" si="19"/>
        <v>C3a</v>
      </c>
      <c r="EW176" s="7">
        <v>142.1</v>
      </c>
      <c r="EX176" s="7">
        <v>3.51</v>
      </c>
      <c r="EY176" s="9">
        <f t="shared" si="20"/>
        <v>-1.002314668</v>
      </c>
      <c r="EZ176" s="9">
        <f t="shared" si="21"/>
        <v>0.7315134264</v>
      </c>
      <c r="FA176" s="9" t="str">
        <f t="shared" si="22"/>
        <v>Неблагоприятный</v>
      </c>
      <c r="FB176" s="1" t="s">
        <v>150</v>
      </c>
      <c r="FC176" s="1" t="s">
        <v>445</v>
      </c>
    </row>
    <row r="177">
      <c r="A177" s="33">
        <v>176.0</v>
      </c>
      <c r="B177" s="16">
        <v>36.0</v>
      </c>
      <c r="C177" s="7">
        <v>8252.0</v>
      </c>
      <c r="D177" s="1" t="s">
        <v>445</v>
      </c>
      <c r="E177" s="7">
        <v>60.0</v>
      </c>
      <c r="F177" s="1" t="s">
        <v>149</v>
      </c>
      <c r="G177" s="7"/>
      <c r="H177" s="7">
        <v>16.0</v>
      </c>
      <c r="I177" s="1" t="s">
        <v>150</v>
      </c>
      <c r="J177" s="1" t="s">
        <v>150</v>
      </c>
      <c r="K177" s="9"/>
      <c r="L177" s="1" t="s">
        <v>154</v>
      </c>
      <c r="M177" s="1" t="s">
        <v>154</v>
      </c>
      <c r="N177" s="1" t="s">
        <v>459</v>
      </c>
      <c r="O177" s="6"/>
      <c r="P177" s="18"/>
      <c r="Q177" s="1" t="s">
        <v>154</v>
      </c>
      <c r="R177" s="1">
        <v>2.0</v>
      </c>
      <c r="S177" s="1" t="s">
        <v>150</v>
      </c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1" t="s">
        <v>154</v>
      </c>
      <c r="AF177" s="1">
        <v>16.0</v>
      </c>
      <c r="AG177" s="1" t="s">
        <v>446</v>
      </c>
      <c r="AH177" s="1" t="s">
        <v>154</v>
      </c>
      <c r="AI177" s="6" t="s">
        <v>168</v>
      </c>
      <c r="AJ177" s="18"/>
      <c r="AK177" s="1" t="s">
        <v>328</v>
      </c>
      <c r="AL177" s="9"/>
      <c r="AM177" s="9"/>
      <c r="AN177" s="1">
        <v>15.0</v>
      </c>
      <c r="AO177" s="1" t="str">
        <f t="shared" si="2"/>
        <v>нет</v>
      </c>
      <c r="AP177" s="7">
        <v>174.0</v>
      </c>
      <c r="AQ177" s="7">
        <v>115.0</v>
      </c>
      <c r="AR177" s="9">
        <f t="shared" si="3"/>
        <v>37.98388162</v>
      </c>
      <c r="AS177" s="7" t="str">
        <f t="shared" si="4"/>
        <v>Ожирение II степени</v>
      </c>
      <c r="AT177" s="7">
        <v>120.0</v>
      </c>
      <c r="AU177" s="7">
        <v>70.0</v>
      </c>
      <c r="AV177" s="9"/>
      <c r="AW177" s="7">
        <v>97.0</v>
      </c>
      <c r="AX177" s="7">
        <v>38.5</v>
      </c>
      <c r="AY177" s="7">
        <v>27.0</v>
      </c>
      <c r="AZ177" s="7">
        <v>64.0</v>
      </c>
      <c r="BA177" s="10" t="str">
        <f t="shared" si="5"/>
        <v>да</v>
      </c>
      <c r="BB177" s="7">
        <v>85.0</v>
      </c>
      <c r="BC177" s="7">
        <v>95.0</v>
      </c>
      <c r="BD177" s="12">
        <f t="shared" si="6"/>
        <v>0.02495126706</v>
      </c>
      <c r="BE177" s="12">
        <f t="shared" si="7"/>
        <v>1</v>
      </c>
      <c r="BF177" s="12">
        <f t="shared" si="8"/>
        <v>8</v>
      </c>
      <c r="BG177" s="1" t="s">
        <v>150</v>
      </c>
      <c r="BH177" s="9"/>
      <c r="BI177" s="1" t="s">
        <v>154</v>
      </c>
      <c r="BJ177" s="1" t="s">
        <v>506</v>
      </c>
      <c r="BK177" s="1" t="s">
        <v>150</v>
      </c>
      <c r="BL177" s="9"/>
      <c r="BM177" s="1" t="s">
        <v>154</v>
      </c>
      <c r="BN177" s="1" t="s">
        <v>155</v>
      </c>
      <c r="BO177" s="1" t="s">
        <v>150</v>
      </c>
      <c r="BP177" s="9"/>
      <c r="BQ177" s="9"/>
      <c r="BR177" s="1" t="s">
        <v>154</v>
      </c>
      <c r="BS177" s="1" t="s">
        <v>170</v>
      </c>
      <c r="BT177" s="9"/>
      <c r="BU177" s="1" t="s">
        <v>170</v>
      </c>
      <c r="BV177" s="1">
        <v>24.0</v>
      </c>
      <c r="BW177" s="1" t="s">
        <v>154</v>
      </c>
      <c r="BX177" s="1" t="s">
        <v>154</v>
      </c>
      <c r="BY177" s="1" t="s">
        <v>275</v>
      </c>
      <c r="BZ177" s="1" t="s">
        <v>154</v>
      </c>
      <c r="CA177" s="1" t="s">
        <v>150</v>
      </c>
      <c r="CB177" s="1" t="s">
        <v>150</v>
      </c>
      <c r="CC177" s="1" t="s">
        <v>150</v>
      </c>
      <c r="CD177" s="1" t="s">
        <v>150</v>
      </c>
      <c r="CE177" s="1" t="s">
        <v>150</v>
      </c>
      <c r="CF177" s="1" t="s">
        <v>150</v>
      </c>
      <c r="CG177" s="1" t="s">
        <v>150</v>
      </c>
      <c r="CH177" s="1" t="s">
        <v>150</v>
      </c>
      <c r="CI177" s="1" t="s">
        <v>150</v>
      </c>
      <c r="CJ177" s="1" t="s">
        <v>150</v>
      </c>
      <c r="CK177" s="1" t="s">
        <v>150</v>
      </c>
      <c r="CL177" s="1" t="s">
        <v>590</v>
      </c>
      <c r="CM177" s="6">
        <v>6.4</v>
      </c>
      <c r="CN177" s="18"/>
      <c r="CO177" s="16">
        <f t="shared" si="23"/>
        <v>0</v>
      </c>
      <c r="CP177" s="6">
        <v>0.8</v>
      </c>
      <c r="CQ177" s="16">
        <f t="shared" si="10"/>
        <v>0</v>
      </c>
      <c r="CR177" s="18"/>
      <c r="CS177" s="16">
        <f t="shared" si="11"/>
        <v>0</v>
      </c>
      <c r="CT177" s="18"/>
      <c r="CU177" s="16">
        <f t="shared" si="12"/>
        <v>0</v>
      </c>
      <c r="CV177" s="16" t="str">
        <f t="shared" si="13"/>
        <v>#DIV/0!</v>
      </c>
      <c r="CW177" s="18"/>
      <c r="CX177" s="18"/>
      <c r="CY177" s="16" t="str">
        <f t="shared" si="14"/>
        <v>Тяжелая степень</v>
      </c>
      <c r="CZ177" s="18"/>
      <c r="DA177" s="18"/>
      <c r="DB177" s="18"/>
      <c r="DC177" s="18"/>
      <c r="DD177" s="18"/>
      <c r="DE177" s="18"/>
      <c r="DF177" s="18"/>
      <c r="DG177" s="18"/>
      <c r="DH177" s="18"/>
      <c r="DI177" s="18"/>
      <c r="DJ177" s="18"/>
      <c r="DK177" s="18"/>
      <c r="DL177" s="18"/>
      <c r="DM177" s="18"/>
      <c r="DN177" s="18"/>
      <c r="DO177" s="16" t="str">
        <f t="shared" si="15"/>
        <v>Тяжелая степень</v>
      </c>
      <c r="DP177" s="18"/>
      <c r="DQ177" s="18"/>
      <c r="DR177" s="18"/>
      <c r="DS177" s="18"/>
      <c r="DT177" s="18"/>
      <c r="DU177" s="18"/>
      <c r="DV177" s="18"/>
      <c r="DW177" s="18"/>
      <c r="DX177" s="18"/>
      <c r="DY177" s="18"/>
      <c r="DZ177" s="18"/>
      <c r="EA177" s="18"/>
      <c r="EB177" s="18"/>
      <c r="EC177" s="18"/>
      <c r="ED177" s="18"/>
      <c r="EE177" s="18"/>
      <c r="EF177" s="18"/>
      <c r="EG177" s="18"/>
      <c r="EH177" s="18"/>
      <c r="EI177" s="18"/>
      <c r="EJ177" s="18"/>
      <c r="EK177" s="37" t="str">
        <f t="shared" si="16"/>
        <v>#NUM!</v>
      </c>
      <c r="EL177" s="18" t="str">
        <f t="shared" si="17"/>
        <v>#NUM!</v>
      </c>
      <c r="EM177" s="18"/>
      <c r="EN177" s="18"/>
      <c r="EO177" s="18"/>
      <c r="EP177" s="18"/>
      <c r="EQ177" s="18"/>
      <c r="ER177" s="18"/>
      <c r="ES177" s="18"/>
      <c r="ET177" s="18"/>
      <c r="EU177" s="18" t="str">
        <f t="shared" si="18"/>
        <v>#NUM!</v>
      </c>
      <c r="EV177" s="18" t="str">
        <f t="shared" si="19"/>
        <v>#NUM!</v>
      </c>
      <c r="EW177" s="18"/>
      <c r="EX177" s="18"/>
      <c r="EY177" s="9">
        <f t="shared" si="20"/>
        <v>-0.7462060906</v>
      </c>
      <c r="EZ177" s="9">
        <f t="shared" si="21"/>
        <v>0.678351464</v>
      </c>
      <c r="FA177" s="9" t="str">
        <f t="shared" si="22"/>
        <v>Неблагоприятный</v>
      </c>
      <c r="FB177" s="1" t="s">
        <v>150</v>
      </c>
      <c r="FC177" s="1" t="s">
        <v>445</v>
      </c>
    </row>
    <row r="178">
      <c r="A178" s="33">
        <v>177.0</v>
      </c>
      <c r="B178" s="7">
        <v>37.0</v>
      </c>
      <c r="C178" s="7">
        <v>8544.0</v>
      </c>
      <c r="D178" s="1" t="s">
        <v>445</v>
      </c>
      <c r="E178" s="7">
        <v>54.0</v>
      </c>
      <c r="F178" s="1" t="s">
        <v>161</v>
      </c>
      <c r="G178" s="7"/>
      <c r="H178" s="7">
        <v>5.0</v>
      </c>
      <c r="I178" s="1" t="s">
        <v>150</v>
      </c>
      <c r="J178" s="1" t="s">
        <v>150</v>
      </c>
      <c r="K178" s="9"/>
      <c r="L178" s="1" t="s">
        <v>150</v>
      </c>
      <c r="M178" s="1" t="s">
        <v>150</v>
      </c>
      <c r="N178" s="9"/>
      <c r="O178" s="1" t="s">
        <v>154</v>
      </c>
      <c r="P178" s="1" t="s">
        <v>154</v>
      </c>
      <c r="Q178" s="1" t="s">
        <v>154</v>
      </c>
      <c r="R178" s="7">
        <v>2.0</v>
      </c>
      <c r="S178" s="1" t="s">
        <v>150</v>
      </c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1" t="s">
        <v>154</v>
      </c>
      <c r="AF178" s="1">
        <v>1.0</v>
      </c>
      <c r="AG178" s="1" t="s">
        <v>446</v>
      </c>
      <c r="AH178" s="1" t="s">
        <v>154</v>
      </c>
      <c r="AI178" s="1" t="s">
        <v>153</v>
      </c>
      <c r="AJ178" s="16"/>
      <c r="AK178" s="1" t="s">
        <v>328</v>
      </c>
      <c r="AL178" s="9"/>
      <c r="AM178" s="9"/>
      <c r="AN178" s="1">
        <v>15.0</v>
      </c>
      <c r="AO178" s="1" t="str">
        <f t="shared" si="2"/>
        <v>нет</v>
      </c>
      <c r="AP178" s="7">
        <v>162.0</v>
      </c>
      <c r="AQ178" s="7">
        <v>82.0</v>
      </c>
      <c r="AR178" s="9">
        <f t="shared" si="3"/>
        <v>31.24523701</v>
      </c>
      <c r="AS178" s="7" t="str">
        <f t="shared" si="4"/>
        <v>Ожирение I степени</v>
      </c>
      <c r="AT178" s="7">
        <v>130.0</v>
      </c>
      <c r="AU178" s="7">
        <v>80.0</v>
      </c>
      <c r="AV178" s="9"/>
      <c r="AW178" s="7">
        <v>106.0</v>
      </c>
      <c r="AX178" s="7">
        <v>37.0</v>
      </c>
      <c r="AY178" s="7">
        <v>21.0</v>
      </c>
      <c r="AZ178" s="7">
        <v>76.0</v>
      </c>
      <c r="BA178" s="10" t="str">
        <f t="shared" si="5"/>
        <v>да</v>
      </c>
      <c r="BB178" s="7">
        <v>91.0</v>
      </c>
      <c r="BC178" s="7">
        <v>60.0</v>
      </c>
      <c r="BD178" s="12">
        <f t="shared" si="6"/>
        <v>0.06031746032</v>
      </c>
      <c r="BE178" s="12">
        <f t="shared" si="7"/>
        <v>0</v>
      </c>
      <c r="BF178" s="12">
        <f t="shared" si="8"/>
        <v>6</v>
      </c>
      <c r="BG178" s="1" t="s">
        <v>150</v>
      </c>
      <c r="BH178" s="9"/>
      <c r="BI178" s="1" t="s">
        <v>154</v>
      </c>
      <c r="BJ178" s="1" t="s">
        <v>237</v>
      </c>
      <c r="BK178" s="1" t="s">
        <v>150</v>
      </c>
      <c r="BL178" s="9"/>
      <c r="BM178" s="1" t="s">
        <v>154</v>
      </c>
      <c r="BN178" s="1" t="s">
        <v>155</v>
      </c>
      <c r="BO178" s="1" t="s">
        <v>150</v>
      </c>
      <c r="BP178" s="9"/>
      <c r="BQ178" s="9"/>
      <c r="BR178" s="1" t="s">
        <v>154</v>
      </c>
      <c r="BS178" s="1" t="s">
        <v>591</v>
      </c>
      <c r="BU178" s="1" t="s">
        <v>592</v>
      </c>
      <c r="BV178" s="1" t="s">
        <v>593</v>
      </c>
      <c r="BW178" s="1" t="s">
        <v>150</v>
      </c>
      <c r="BX178" s="1" t="s">
        <v>154</v>
      </c>
      <c r="BY178" s="1" t="s">
        <v>275</v>
      </c>
      <c r="BZ178" s="1" t="s">
        <v>154</v>
      </c>
      <c r="CA178" s="1" t="s">
        <v>154</v>
      </c>
      <c r="CB178" s="1" t="s">
        <v>150</v>
      </c>
      <c r="CC178" s="1" t="s">
        <v>150</v>
      </c>
      <c r="CD178" s="1" t="s">
        <v>150</v>
      </c>
      <c r="CE178" s="1" t="s">
        <v>154</v>
      </c>
      <c r="CF178" s="1" t="s">
        <v>150</v>
      </c>
      <c r="CG178" s="1" t="s">
        <v>150</v>
      </c>
      <c r="CH178" s="1" t="s">
        <v>150</v>
      </c>
      <c r="CI178" s="1" t="s">
        <v>150</v>
      </c>
      <c r="CJ178" s="1" t="s">
        <v>150</v>
      </c>
      <c r="CK178" s="1" t="s">
        <v>150</v>
      </c>
      <c r="CL178" s="1" t="s">
        <v>210</v>
      </c>
      <c r="CM178" s="7">
        <v>12.8</v>
      </c>
      <c r="CN178" s="7">
        <v>88.2</v>
      </c>
      <c r="CO178" s="7">
        <f t="shared" si="23"/>
        <v>11.2896</v>
      </c>
      <c r="CP178" s="7">
        <v>8.4</v>
      </c>
      <c r="CQ178" s="7">
        <f t="shared" si="10"/>
        <v>0.9483264</v>
      </c>
      <c r="CR178" s="7">
        <v>1.8</v>
      </c>
      <c r="CS178" s="7">
        <f t="shared" si="11"/>
        <v>0.0170698752</v>
      </c>
      <c r="CT178" s="7">
        <v>0.9</v>
      </c>
      <c r="CU178" s="7">
        <f t="shared" si="12"/>
        <v>0.0001536288768</v>
      </c>
      <c r="CV178" s="7">
        <f t="shared" si="13"/>
        <v>11.9047619</v>
      </c>
      <c r="CW178" s="7">
        <v>4.25</v>
      </c>
      <c r="CX178" s="7">
        <v>116.0</v>
      </c>
      <c r="CY178" s="7" t="str">
        <f t="shared" si="14"/>
        <v>Легкая степень</v>
      </c>
      <c r="CZ178" s="7" t="s">
        <v>456</v>
      </c>
      <c r="DA178" s="7">
        <v>189.0</v>
      </c>
      <c r="DB178" s="7">
        <v>447.2</v>
      </c>
      <c r="DC178" s="7">
        <v>16.6</v>
      </c>
      <c r="DD178" s="7">
        <v>96.8</v>
      </c>
      <c r="DE178" s="7"/>
      <c r="DF178" s="7">
        <v>1.5</v>
      </c>
      <c r="DG178" s="7"/>
      <c r="DH178" s="7">
        <v>0.3</v>
      </c>
      <c r="DI178" s="7"/>
      <c r="DJ178" s="7">
        <v>0.7</v>
      </c>
      <c r="DK178" s="7"/>
      <c r="DL178" s="7"/>
      <c r="DM178" s="7">
        <v>5.07</v>
      </c>
      <c r="DN178" s="7">
        <v>139.0</v>
      </c>
      <c r="DO178" s="7" t="str">
        <f t="shared" si="15"/>
        <v>Норма</v>
      </c>
      <c r="DP178" s="7">
        <v>47.0</v>
      </c>
      <c r="DQ178" s="7">
        <v>187.0</v>
      </c>
      <c r="DR178" s="7">
        <v>111.6</v>
      </c>
      <c r="DS178" s="1" t="s">
        <v>544</v>
      </c>
      <c r="DT178" s="18"/>
      <c r="DU178" s="7">
        <v>14.2</v>
      </c>
      <c r="DV178" s="7">
        <v>1.21</v>
      </c>
      <c r="DW178" s="18"/>
      <c r="DX178" s="1" t="s">
        <v>544</v>
      </c>
      <c r="DY178" s="6"/>
      <c r="DZ178" s="7">
        <v>14.8</v>
      </c>
      <c r="EA178" s="7">
        <v>1.27</v>
      </c>
      <c r="EB178" s="7"/>
      <c r="EC178" s="7">
        <v>11.19</v>
      </c>
      <c r="ED178" s="7">
        <v>12.47</v>
      </c>
      <c r="EE178" s="7">
        <v>19.57</v>
      </c>
      <c r="EF178" s="7">
        <v>14.7</v>
      </c>
      <c r="EG178" s="7">
        <v>63.2</v>
      </c>
      <c r="EH178" s="7">
        <v>9.69</v>
      </c>
      <c r="EI178" s="7">
        <v>1.8</v>
      </c>
      <c r="EJ178" s="7">
        <v>81.26</v>
      </c>
      <c r="EK178" s="34">
        <f t="shared" si="16"/>
        <v>70.91446529</v>
      </c>
      <c r="EL178" s="11" t="str">
        <f t="shared" si="17"/>
        <v>C2</v>
      </c>
      <c r="EM178" s="6"/>
      <c r="EN178" s="6"/>
      <c r="EO178" s="7">
        <v>25.1</v>
      </c>
      <c r="EP178" s="7">
        <v>11.5</v>
      </c>
      <c r="EQ178" s="7">
        <v>67.0</v>
      </c>
      <c r="ER178" s="7">
        <v>10.7</v>
      </c>
      <c r="ES178" s="7">
        <v>4.2</v>
      </c>
      <c r="ET178" s="7">
        <v>69.0</v>
      </c>
      <c r="EU178" s="11">
        <f t="shared" si="18"/>
        <v>86.41862556</v>
      </c>
      <c r="EV178" s="11" t="str">
        <f t="shared" si="19"/>
        <v>C2</v>
      </c>
      <c r="EW178" s="7">
        <v>128.1</v>
      </c>
      <c r="EX178" s="7">
        <v>3.26</v>
      </c>
      <c r="EY178" s="9">
        <f t="shared" si="20"/>
        <v>1.104712652</v>
      </c>
      <c r="EZ178" s="9">
        <f t="shared" si="21"/>
        <v>0.2488579272</v>
      </c>
      <c r="FA178" s="9" t="str">
        <f t="shared" si="22"/>
        <v>Благоприятный</v>
      </c>
      <c r="FB178" s="1" t="s">
        <v>256</v>
      </c>
      <c r="FC178" s="1" t="s">
        <v>445</v>
      </c>
    </row>
    <row r="179">
      <c r="A179" s="33">
        <v>178.0</v>
      </c>
      <c r="B179" s="7">
        <v>38.0</v>
      </c>
      <c r="C179" s="7">
        <v>8562.0</v>
      </c>
      <c r="D179" s="1" t="s">
        <v>445</v>
      </c>
      <c r="E179" s="7">
        <v>60.0</v>
      </c>
      <c r="F179" s="1" t="s">
        <v>161</v>
      </c>
      <c r="G179" s="7"/>
      <c r="H179" s="7">
        <v>12.0</v>
      </c>
      <c r="I179" s="1" t="s">
        <v>150</v>
      </c>
      <c r="J179" s="1" t="s">
        <v>150</v>
      </c>
      <c r="K179" s="9"/>
      <c r="L179" s="1" t="s">
        <v>150</v>
      </c>
      <c r="M179" s="1" t="s">
        <v>150</v>
      </c>
      <c r="N179" s="9"/>
      <c r="O179" s="1" t="str">
        <f t="shared" ref="O179:O180" si="27">IF(EC179&gt;=6.1,IF(EC179&lt;7,"да","нет"),"нет")</f>
        <v>да</v>
      </c>
      <c r="P179" s="1" t="s">
        <v>150</v>
      </c>
      <c r="Q179" s="1" t="s">
        <v>154</v>
      </c>
      <c r="R179" s="1">
        <v>2.0</v>
      </c>
      <c r="S179" s="1" t="s">
        <v>154</v>
      </c>
      <c r="T179" s="1" t="s">
        <v>522</v>
      </c>
      <c r="U179" s="9"/>
      <c r="V179" s="9"/>
      <c r="W179" s="9"/>
      <c r="X179" s="9"/>
      <c r="Y179" s="9"/>
      <c r="Z179" s="9"/>
      <c r="AA179" s="9"/>
      <c r="AB179" s="9"/>
      <c r="AC179" s="9"/>
      <c r="AD179" s="1" t="s">
        <v>453</v>
      </c>
      <c r="AE179" s="1" t="s">
        <v>154</v>
      </c>
      <c r="AF179" s="7">
        <v>5.0</v>
      </c>
      <c r="AG179" s="1" t="s">
        <v>446</v>
      </c>
      <c r="AH179" s="1" t="s">
        <v>154</v>
      </c>
      <c r="AI179" s="1" t="s">
        <v>168</v>
      </c>
      <c r="AJ179" s="18"/>
      <c r="AK179" s="1" t="s">
        <v>5</v>
      </c>
      <c r="AL179" s="9"/>
      <c r="AM179" s="9"/>
      <c r="AN179" s="1">
        <v>15.0</v>
      </c>
      <c r="AO179" s="1" t="str">
        <f t="shared" si="2"/>
        <v>нет</v>
      </c>
      <c r="AP179" s="7">
        <v>162.0</v>
      </c>
      <c r="AQ179" s="7">
        <v>76.0</v>
      </c>
      <c r="AR179" s="9">
        <f t="shared" si="3"/>
        <v>28.95900015</v>
      </c>
      <c r="AS179" s="7" t="str">
        <f t="shared" si="4"/>
        <v>Избыточный вес (предожирение)</v>
      </c>
      <c r="AT179" s="7">
        <v>155.0</v>
      </c>
      <c r="AU179" s="7">
        <v>90.0</v>
      </c>
      <c r="AV179" s="9"/>
      <c r="AW179" s="7">
        <v>115.0</v>
      </c>
      <c r="AX179" s="7">
        <v>38.4</v>
      </c>
      <c r="AY179" s="7">
        <v>20.0</v>
      </c>
      <c r="AZ179" s="7">
        <v>92.0</v>
      </c>
      <c r="BA179" s="10" t="str">
        <f t="shared" si="5"/>
        <v>да</v>
      </c>
      <c r="BB179" s="7">
        <v>99.0</v>
      </c>
      <c r="BC179" s="7">
        <v>40.0</v>
      </c>
      <c r="BD179" s="12">
        <f t="shared" si="6"/>
        <v>0.115</v>
      </c>
      <c r="BE179" s="12">
        <f t="shared" si="7"/>
        <v>0</v>
      </c>
      <c r="BF179" s="12">
        <f t="shared" si="8"/>
        <v>5</v>
      </c>
      <c r="BG179" s="1" t="s">
        <v>150</v>
      </c>
      <c r="BH179" s="9"/>
      <c r="BI179" s="1" t="s">
        <v>154</v>
      </c>
      <c r="BJ179" s="1" t="s">
        <v>237</v>
      </c>
      <c r="BK179" s="1" t="s">
        <v>150</v>
      </c>
      <c r="BL179" s="9"/>
      <c r="BM179" s="1" t="s">
        <v>154</v>
      </c>
      <c r="BN179" s="1" t="s">
        <v>448</v>
      </c>
      <c r="BO179" s="1" t="s">
        <v>150</v>
      </c>
      <c r="BP179" s="9"/>
      <c r="BQ179" s="9"/>
      <c r="BR179" s="1" t="s">
        <v>154</v>
      </c>
      <c r="BS179" s="1" t="s">
        <v>170</v>
      </c>
      <c r="BT179" s="7">
        <v>32.0</v>
      </c>
      <c r="BU179" s="1" t="s">
        <v>170</v>
      </c>
      <c r="BV179" s="1">
        <v>24.0</v>
      </c>
      <c r="BW179" s="1" t="s">
        <v>150</v>
      </c>
      <c r="BX179" s="1" t="s">
        <v>154</v>
      </c>
      <c r="BY179" s="1" t="s">
        <v>275</v>
      </c>
      <c r="BZ179" s="1" t="s">
        <v>154</v>
      </c>
      <c r="CA179" s="1" t="s">
        <v>154</v>
      </c>
      <c r="CB179" s="1" t="s">
        <v>150</v>
      </c>
      <c r="CC179" s="1" t="s">
        <v>150</v>
      </c>
      <c r="CD179" s="1" t="s">
        <v>150</v>
      </c>
      <c r="CE179" s="1" t="s">
        <v>150</v>
      </c>
      <c r="CF179" s="1" t="s">
        <v>150</v>
      </c>
      <c r="CG179" s="1" t="s">
        <v>150</v>
      </c>
      <c r="CH179" s="1" t="s">
        <v>150</v>
      </c>
      <c r="CI179" s="1" t="s">
        <v>150</v>
      </c>
      <c r="CJ179" s="1" t="s">
        <v>150</v>
      </c>
      <c r="CK179" s="1" t="s">
        <v>150</v>
      </c>
      <c r="CL179" s="1" t="s">
        <v>594</v>
      </c>
      <c r="CM179" s="7">
        <v>3.0</v>
      </c>
      <c r="CN179" s="7">
        <v>77.5</v>
      </c>
      <c r="CO179" s="7">
        <f t="shared" si="23"/>
        <v>2.325</v>
      </c>
      <c r="CP179" s="7">
        <v>16.7</v>
      </c>
      <c r="CQ179" s="7">
        <f t="shared" si="10"/>
        <v>0.388275</v>
      </c>
      <c r="CR179" s="7">
        <v>5.6</v>
      </c>
      <c r="CS179" s="7">
        <f t="shared" si="11"/>
        <v>0.0217434</v>
      </c>
      <c r="CT179" s="7">
        <v>0.0</v>
      </c>
      <c r="CU179" s="7">
        <f t="shared" si="12"/>
        <v>0</v>
      </c>
      <c r="CV179" s="7">
        <f t="shared" si="13"/>
        <v>5.988023952</v>
      </c>
      <c r="CW179" s="7">
        <v>4.34</v>
      </c>
      <c r="CX179" s="7">
        <v>125.0</v>
      </c>
      <c r="CY179" s="7" t="str">
        <f t="shared" si="14"/>
        <v>Легкая степень</v>
      </c>
      <c r="CZ179" s="7" t="s">
        <v>456</v>
      </c>
      <c r="DA179" s="7">
        <v>109.0</v>
      </c>
      <c r="DB179" s="7">
        <v>81.5</v>
      </c>
      <c r="DC179" s="7">
        <v>21.1</v>
      </c>
      <c r="DD179" s="7">
        <v>93.6</v>
      </c>
      <c r="DE179" s="7"/>
      <c r="DF179" s="7">
        <v>2.1</v>
      </c>
      <c r="DG179" s="7"/>
      <c r="DH179" s="7">
        <v>2.9</v>
      </c>
      <c r="DI179" s="7"/>
      <c r="DJ179" s="7">
        <v>1.3</v>
      </c>
      <c r="DK179" s="7"/>
      <c r="DL179" s="7"/>
      <c r="DM179" s="7">
        <v>4.24</v>
      </c>
      <c r="DN179" s="7">
        <v>123.0</v>
      </c>
      <c r="DO179" s="7" t="str">
        <f t="shared" si="15"/>
        <v>Легкая степень</v>
      </c>
      <c r="DP179" s="7" t="s">
        <v>456</v>
      </c>
      <c r="DQ179" s="7">
        <v>80.0</v>
      </c>
      <c r="DR179" s="7">
        <v>25.5</v>
      </c>
      <c r="DS179" s="7">
        <v>502.0</v>
      </c>
      <c r="DT179" s="18"/>
      <c r="DU179" s="7">
        <v>11.8</v>
      </c>
      <c r="DV179" s="7">
        <v>1.01</v>
      </c>
      <c r="DW179" s="18"/>
      <c r="DX179" s="1">
        <v>213.0</v>
      </c>
      <c r="DY179" s="7">
        <v>20.4</v>
      </c>
      <c r="DZ179" s="7">
        <v>12.8</v>
      </c>
      <c r="EA179" s="7">
        <v>10.94</v>
      </c>
      <c r="EB179" s="7"/>
      <c r="EC179" s="7">
        <v>6.67</v>
      </c>
      <c r="ED179" s="7">
        <v>9.17</v>
      </c>
      <c r="EE179" s="7">
        <v>37.6</v>
      </c>
      <c r="EF179" s="7">
        <v>61.8</v>
      </c>
      <c r="EG179" s="7">
        <v>66.4</v>
      </c>
      <c r="EH179" s="7">
        <v>9.4</v>
      </c>
      <c r="EI179" s="7">
        <v>4.4</v>
      </c>
      <c r="EJ179" s="7">
        <v>89.0</v>
      </c>
      <c r="EK179" s="34">
        <f t="shared" si="16"/>
        <v>60.90583175</v>
      </c>
      <c r="EL179" s="11" t="str">
        <f t="shared" si="17"/>
        <v>C2</v>
      </c>
      <c r="EM179" s="7">
        <v>134.2</v>
      </c>
      <c r="EN179" s="7">
        <v>3.41</v>
      </c>
      <c r="EO179" s="7">
        <v>49.9</v>
      </c>
      <c r="EP179" s="7">
        <v>62.8</v>
      </c>
      <c r="EQ179" s="7">
        <v>59.0</v>
      </c>
      <c r="ER179" s="7">
        <v>14.5</v>
      </c>
      <c r="ES179" s="7">
        <v>4.8</v>
      </c>
      <c r="ET179" s="7">
        <v>74.0</v>
      </c>
      <c r="EU179" s="11">
        <f t="shared" si="18"/>
        <v>76.13252738</v>
      </c>
      <c r="EV179" s="11" t="str">
        <f t="shared" si="19"/>
        <v>C2</v>
      </c>
      <c r="EW179" s="7">
        <v>142.8</v>
      </c>
      <c r="EX179" s="7">
        <v>3.68</v>
      </c>
      <c r="EY179" s="9">
        <f t="shared" si="20"/>
        <v>0.1282174821</v>
      </c>
      <c r="EZ179" s="9">
        <f t="shared" si="21"/>
        <v>0.4679894712</v>
      </c>
      <c r="FA179" s="9" t="str">
        <f t="shared" si="22"/>
        <v>Благоприятный</v>
      </c>
      <c r="FB179" s="1" t="s">
        <v>256</v>
      </c>
      <c r="FC179" s="1" t="s">
        <v>445</v>
      </c>
    </row>
    <row r="180">
      <c r="A180" s="33">
        <v>179.0</v>
      </c>
      <c r="B180" s="7">
        <v>39.0</v>
      </c>
      <c r="C180" s="7">
        <v>7456.0</v>
      </c>
      <c r="D180" s="1" t="s">
        <v>445</v>
      </c>
      <c r="E180" s="7">
        <v>66.0</v>
      </c>
      <c r="F180" s="1" t="s">
        <v>161</v>
      </c>
      <c r="G180" s="9"/>
      <c r="H180" s="1">
        <v>34.0</v>
      </c>
      <c r="I180" s="1" t="s">
        <v>150</v>
      </c>
      <c r="J180" s="1" t="s">
        <v>150</v>
      </c>
      <c r="K180" s="9"/>
      <c r="L180" s="1" t="s">
        <v>150</v>
      </c>
      <c r="M180" s="1" t="s">
        <v>154</v>
      </c>
      <c r="N180" s="1" t="s">
        <v>192</v>
      </c>
      <c r="O180" s="1" t="str">
        <f t="shared" si="27"/>
        <v>нет</v>
      </c>
      <c r="P180" s="1" t="s">
        <v>154</v>
      </c>
      <c r="Q180" s="1" t="s">
        <v>154</v>
      </c>
      <c r="R180" s="1">
        <v>3.0</v>
      </c>
      <c r="S180" s="1" t="s">
        <v>150</v>
      </c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1" t="s">
        <v>595</v>
      </c>
      <c r="AE180" s="1" t="s">
        <v>154</v>
      </c>
      <c r="AF180" s="1">
        <v>28.0</v>
      </c>
      <c r="AG180" s="1" t="s">
        <v>446</v>
      </c>
      <c r="AH180" s="1" t="s">
        <v>154</v>
      </c>
      <c r="AI180" s="1" t="s">
        <v>153</v>
      </c>
      <c r="AJ180" s="7">
        <v>1.0</v>
      </c>
      <c r="AK180" s="1" t="s">
        <v>5</v>
      </c>
      <c r="AL180" s="9"/>
      <c r="AM180" s="9"/>
      <c r="AN180" s="1">
        <v>15.0</v>
      </c>
      <c r="AO180" s="1" t="str">
        <f t="shared" si="2"/>
        <v>нет</v>
      </c>
      <c r="AP180" s="7">
        <v>156.0</v>
      </c>
      <c r="AQ180" s="7">
        <v>100.0</v>
      </c>
      <c r="AR180" s="9">
        <f t="shared" si="3"/>
        <v>41.09138725</v>
      </c>
      <c r="AS180" s="7" t="str">
        <f t="shared" si="4"/>
        <v>Ожирение III степени (морбидное)</v>
      </c>
      <c r="AT180" s="7">
        <v>140.0</v>
      </c>
      <c r="AU180" s="7">
        <v>90.0</v>
      </c>
      <c r="AV180" s="9"/>
      <c r="AW180" s="7">
        <v>68.0</v>
      </c>
      <c r="AX180" s="7">
        <v>38.0</v>
      </c>
      <c r="AY180" s="7">
        <v>23.0</v>
      </c>
      <c r="AZ180" s="7">
        <v>92.0</v>
      </c>
      <c r="BA180" s="10" t="str">
        <f t="shared" si="5"/>
        <v>да</v>
      </c>
      <c r="BB180" s="7">
        <v>96.0</v>
      </c>
      <c r="BC180" s="18"/>
      <c r="BD180" s="12" t="str">
        <f t="shared" si="6"/>
        <v>#DIV/0!</v>
      </c>
      <c r="BE180" s="12">
        <f t="shared" si="7"/>
        <v>1</v>
      </c>
      <c r="BF180" s="12">
        <f t="shared" si="8"/>
        <v>4</v>
      </c>
      <c r="BG180" s="1" t="s">
        <v>154</v>
      </c>
      <c r="BH180" s="1" t="s">
        <v>198</v>
      </c>
      <c r="BI180" s="1" t="s">
        <v>154</v>
      </c>
      <c r="BJ180" s="1" t="s">
        <v>596</v>
      </c>
      <c r="BK180" s="1" t="s">
        <v>150</v>
      </c>
      <c r="BL180" s="9"/>
      <c r="BM180" s="1" t="s">
        <v>154</v>
      </c>
      <c r="BN180" s="1" t="s">
        <v>155</v>
      </c>
      <c r="BO180" s="1" t="s">
        <v>150</v>
      </c>
      <c r="BP180" s="9"/>
      <c r="BQ180" s="9"/>
      <c r="BR180" s="1" t="s">
        <v>154</v>
      </c>
      <c r="BS180" s="1" t="s">
        <v>597</v>
      </c>
      <c r="BT180" s="9"/>
      <c r="BU180" s="1" t="s">
        <v>592</v>
      </c>
      <c r="BV180" s="1" t="s">
        <v>598</v>
      </c>
      <c r="BW180" s="1" t="s">
        <v>154</v>
      </c>
      <c r="BX180" s="1" t="s">
        <v>154</v>
      </c>
      <c r="BY180" s="1" t="s">
        <v>275</v>
      </c>
      <c r="BZ180" s="1" t="s">
        <v>154</v>
      </c>
      <c r="CA180" s="1" t="s">
        <v>150</v>
      </c>
      <c r="CB180" s="1" t="s">
        <v>154</v>
      </c>
      <c r="CC180" s="1" t="s">
        <v>150</v>
      </c>
      <c r="CD180" s="1" t="s">
        <v>150</v>
      </c>
      <c r="CE180" s="1" t="s">
        <v>150</v>
      </c>
      <c r="CF180" s="1" t="s">
        <v>154</v>
      </c>
      <c r="CG180" s="1" t="s">
        <v>150</v>
      </c>
      <c r="CH180" s="1" t="s">
        <v>150</v>
      </c>
      <c r="CI180" s="1" t="s">
        <v>150</v>
      </c>
      <c r="CJ180" s="1" t="s">
        <v>150</v>
      </c>
      <c r="CK180" s="1" t="s">
        <v>150</v>
      </c>
      <c r="CL180" s="1" t="s">
        <v>599</v>
      </c>
      <c r="CM180" s="7">
        <v>4.9</v>
      </c>
      <c r="CN180" s="7">
        <v>70.8</v>
      </c>
      <c r="CO180" s="7">
        <f t="shared" si="23"/>
        <v>3.4692</v>
      </c>
      <c r="CP180" s="7">
        <v>20.3</v>
      </c>
      <c r="CQ180" s="7">
        <f t="shared" si="10"/>
        <v>0.7042476</v>
      </c>
      <c r="CR180" s="7">
        <v>8.4</v>
      </c>
      <c r="CS180" s="7">
        <f t="shared" si="11"/>
        <v>0.0591567984</v>
      </c>
      <c r="CT180" s="7">
        <v>0.1</v>
      </c>
      <c r="CU180" s="7">
        <f t="shared" si="12"/>
        <v>0.0000591567984</v>
      </c>
      <c r="CV180" s="7">
        <f t="shared" si="13"/>
        <v>4.926108374</v>
      </c>
      <c r="CW180" s="7">
        <v>4.68</v>
      </c>
      <c r="CX180" s="7">
        <v>121.0</v>
      </c>
      <c r="CY180" s="7" t="str">
        <f t="shared" si="14"/>
        <v>Легкая степень</v>
      </c>
      <c r="CZ180" s="7" t="s">
        <v>456</v>
      </c>
      <c r="DA180" s="7">
        <v>137.0</v>
      </c>
      <c r="DB180" s="7">
        <v>64.5</v>
      </c>
      <c r="DC180" s="7">
        <v>9.2</v>
      </c>
      <c r="DD180" s="7">
        <v>94.2</v>
      </c>
      <c r="DE180" s="7"/>
      <c r="DF180" s="7">
        <v>3.3</v>
      </c>
      <c r="DG180" s="7"/>
      <c r="DH180" s="7">
        <v>2.3</v>
      </c>
      <c r="DI180" s="7"/>
      <c r="DJ180" s="7">
        <v>0.1</v>
      </c>
      <c r="DK180" s="7"/>
      <c r="DL180" s="7"/>
      <c r="DM180" s="7">
        <v>3.88</v>
      </c>
      <c r="DN180" s="7">
        <v>104.0</v>
      </c>
      <c r="DO180" s="7" t="str">
        <f t="shared" si="15"/>
        <v>Средняя степень</v>
      </c>
      <c r="DP180" s="7" t="s">
        <v>456</v>
      </c>
      <c r="DQ180" s="7">
        <v>155.0</v>
      </c>
      <c r="DR180" s="1">
        <v>61.0</v>
      </c>
      <c r="DS180" s="7">
        <v>677.0</v>
      </c>
      <c r="DT180" s="18"/>
      <c r="DU180" s="7">
        <v>12.7</v>
      </c>
      <c r="DV180" s="7">
        <v>1.08</v>
      </c>
      <c r="DW180" s="18"/>
      <c r="DX180" s="7">
        <v>321.0</v>
      </c>
      <c r="DY180" s="7">
        <v>29.2</v>
      </c>
      <c r="DZ180" s="7">
        <v>14.1</v>
      </c>
      <c r="EA180" s="7">
        <v>1.24</v>
      </c>
      <c r="EB180" s="7"/>
      <c r="EC180" s="7">
        <v>5.92</v>
      </c>
      <c r="ED180" s="7">
        <v>22.86</v>
      </c>
      <c r="EE180" s="7">
        <v>21.8</v>
      </c>
      <c r="EF180" s="7">
        <v>40.8</v>
      </c>
      <c r="EG180" s="1" t="s">
        <v>456</v>
      </c>
      <c r="EH180" s="7">
        <v>19.5</v>
      </c>
      <c r="EI180" s="7">
        <v>9.1</v>
      </c>
      <c r="EJ180" s="7">
        <v>182.0</v>
      </c>
      <c r="EK180" s="34">
        <f t="shared" si="16"/>
        <v>24.58898372</v>
      </c>
      <c r="EL180" s="11" t="str">
        <f t="shared" si="17"/>
        <v>C4</v>
      </c>
      <c r="EM180" s="7">
        <v>139.9</v>
      </c>
      <c r="EN180" s="7">
        <v>3.65</v>
      </c>
      <c r="EO180" s="7">
        <v>35.2</v>
      </c>
      <c r="EP180" s="7">
        <v>14.9</v>
      </c>
      <c r="EQ180" s="7">
        <v>55.5</v>
      </c>
      <c r="ER180" s="7">
        <v>37.6</v>
      </c>
      <c r="ES180" s="7">
        <v>16.0</v>
      </c>
      <c r="ET180" s="7">
        <v>77.0</v>
      </c>
      <c r="EU180" s="11">
        <f t="shared" si="18"/>
        <v>69.5664114</v>
      </c>
      <c r="EV180" s="11" t="str">
        <f t="shared" si="19"/>
        <v>C2</v>
      </c>
      <c r="EW180" s="7">
        <v>141.2</v>
      </c>
      <c r="EX180" s="7">
        <v>4.69</v>
      </c>
      <c r="EY180" s="9">
        <f t="shared" si="20"/>
        <v>-0.8620580013</v>
      </c>
      <c r="EZ180" s="9">
        <f t="shared" si="21"/>
        <v>0.7030904504</v>
      </c>
      <c r="FA180" s="9" t="str">
        <f t="shared" si="22"/>
        <v>Неблагоприятный</v>
      </c>
      <c r="FB180" s="1" t="s">
        <v>150</v>
      </c>
      <c r="FC180" s="1" t="s">
        <v>445</v>
      </c>
    </row>
    <row r="181">
      <c r="A181" s="33">
        <v>180.0</v>
      </c>
      <c r="B181" s="7">
        <v>40.0</v>
      </c>
      <c r="C181" s="7">
        <v>8306.0</v>
      </c>
      <c r="D181" s="1" t="s">
        <v>445</v>
      </c>
      <c r="E181" s="7">
        <v>71.0</v>
      </c>
      <c r="F181" s="1" t="s">
        <v>161</v>
      </c>
      <c r="G181" s="7"/>
      <c r="H181" s="7">
        <v>6.0</v>
      </c>
      <c r="I181" s="1" t="s">
        <v>150</v>
      </c>
      <c r="J181" s="1" t="s">
        <v>150</v>
      </c>
      <c r="K181" s="9"/>
      <c r="L181" s="1" t="s">
        <v>154</v>
      </c>
      <c r="M181" s="1" t="s">
        <v>154</v>
      </c>
      <c r="N181" s="1" t="s">
        <v>459</v>
      </c>
      <c r="O181" s="1" t="s">
        <v>154</v>
      </c>
      <c r="P181" s="1" t="s">
        <v>154</v>
      </c>
      <c r="Q181" s="1" t="s">
        <v>154</v>
      </c>
      <c r="R181" s="7">
        <v>3.0</v>
      </c>
      <c r="S181" s="1" t="s">
        <v>150</v>
      </c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1" t="s">
        <v>154</v>
      </c>
      <c r="AF181" s="1">
        <v>6.0</v>
      </c>
      <c r="AG181" s="1" t="s">
        <v>446</v>
      </c>
      <c r="AH181" s="1" t="s">
        <v>154</v>
      </c>
      <c r="AI181" s="1" t="s">
        <v>168</v>
      </c>
      <c r="AJ181" s="7">
        <v>2.0</v>
      </c>
      <c r="AK181" s="1" t="s">
        <v>5</v>
      </c>
      <c r="AL181" s="9"/>
      <c r="AM181" s="9"/>
      <c r="AN181" s="1">
        <v>15.0</v>
      </c>
      <c r="AO181" s="1" t="str">
        <f t="shared" si="2"/>
        <v>нет</v>
      </c>
      <c r="AP181" s="7">
        <v>158.0</v>
      </c>
      <c r="AQ181" s="7">
        <v>75.0</v>
      </c>
      <c r="AR181" s="9">
        <f t="shared" si="3"/>
        <v>30.0432623</v>
      </c>
      <c r="AS181" s="7" t="str">
        <f t="shared" si="4"/>
        <v>Ожирение I степени</v>
      </c>
      <c r="AT181" s="7">
        <v>140.0</v>
      </c>
      <c r="AU181" s="7">
        <v>69.0</v>
      </c>
      <c r="AV181" s="9"/>
      <c r="AW181" s="7">
        <v>77.0</v>
      </c>
      <c r="AX181" s="7">
        <v>37.8</v>
      </c>
      <c r="AY181" s="7">
        <v>20.0</v>
      </c>
      <c r="AZ181" s="7">
        <v>63.0</v>
      </c>
      <c r="BA181" s="10" t="str">
        <f t="shared" si="5"/>
        <v>да</v>
      </c>
      <c r="BB181" s="7">
        <v>80.0</v>
      </c>
      <c r="BC181" s="1">
        <v>60.0</v>
      </c>
      <c r="BD181" s="12">
        <f t="shared" si="6"/>
        <v>0.0525</v>
      </c>
      <c r="BE181" s="12">
        <f t="shared" si="7"/>
        <v>0</v>
      </c>
      <c r="BF181" s="12">
        <f t="shared" si="8"/>
        <v>3</v>
      </c>
      <c r="BG181" s="1" t="s">
        <v>522</v>
      </c>
      <c r="BH181" s="9"/>
      <c r="BI181" s="1" t="s">
        <v>154</v>
      </c>
      <c r="BJ181" s="1" t="s">
        <v>237</v>
      </c>
      <c r="BK181" s="1" t="s">
        <v>150</v>
      </c>
      <c r="BL181" s="9"/>
      <c r="BM181" s="1" t="s">
        <v>154</v>
      </c>
      <c r="BN181" s="1" t="s">
        <v>155</v>
      </c>
      <c r="BO181" s="1" t="s">
        <v>522</v>
      </c>
      <c r="BP181" s="9"/>
      <c r="BQ181" s="9"/>
      <c r="BR181" s="1" t="s">
        <v>154</v>
      </c>
      <c r="BS181" s="1" t="s">
        <v>600</v>
      </c>
      <c r="BT181" s="1" t="s">
        <v>601</v>
      </c>
      <c r="BU181" s="1" t="s">
        <v>592</v>
      </c>
      <c r="BV181" s="1" t="s">
        <v>598</v>
      </c>
      <c r="BW181" s="1" t="s">
        <v>154</v>
      </c>
      <c r="BX181" s="1" t="s">
        <v>154</v>
      </c>
      <c r="BY181" s="1" t="s">
        <v>258</v>
      </c>
      <c r="BZ181" s="1" t="s">
        <v>154</v>
      </c>
      <c r="CA181" s="1" t="s">
        <v>154</v>
      </c>
      <c r="CB181" s="1" t="s">
        <v>154</v>
      </c>
      <c r="CC181" s="1" t="s">
        <v>150</v>
      </c>
      <c r="CD181" s="1" t="s">
        <v>150</v>
      </c>
      <c r="CE181" s="1" t="s">
        <v>150</v>
      </c>
      <c r="CF181" s="1" t="s">
        <v>154</v>
      </c>
      <c r="CG181" s="1" t="s">
        <v>150</v>
      </c>
      <c r="CH181" s="1" t="s">
        <v>154</v>
      </c>
      <c r="CI181" s="1" t="s">
        <v>150</v>
      </c>
      <c r="CJ181" s="1" t="s">
        <v>150</v>
      </c>
      <c r="CK181" s="1" t="s">
        <v>150</v>
      </c>
      <c r="CL181" s="1" t="s">
        <v>602</v>
      </c>
      <c r="CM181" s="7">
        <v>9.1</v>
      </c>
      <c r="CN181" s="7">
        <v>87.4</v>
      </c>
      <c r="CO181" s="7">
        <f t="shared" si="23"/>
        <v>7.9534</v>
      </c>
      <c r="CP181" s="7">
        <v>6.4</v>
      </c>
      <c r="CQ181" s="7">
        <f t="shared" si="10"/>
        <v>0.5090176</v>
      </c>
      <c r="CR181" s="7">
        <v>6.1</v>
      </c>
      <c r="CS181" s="7">
        <f t="shared" si="11"/>
        <v>0.0310500736</v>
      </c>
      <c r="CT181" s="7">
        <v>0.0</v>
      </c>
      <c r="CU181" s="7">
        <f t="shared" si="12"/>
        <v>0</v>
      </c>
      <c r="CV181" s="7">
        <f t="shared" si="13"/>
        <v>15.625</v>
      </c>
      <c r="CW181" s="7">
        <v>4.02</v>
      </c>
      <c r="CX181" s="7">
        <v>110.0</v>
      </c>
      <c r="CY181" s="7" t="str">
        <f t="shared" si="14"/>
        <v>Легкая степень</v>
      </c>
      <c r="CZ181" s="7" t="s">
        <v>456</v>
      </c>
      <c r="DA181" s="7">
        <v>234.0</v>
      </c>
      <c r="DB181" s="7">
        <v>43.9</v>
      </c>
      <c r="DC181" s="7">
        <v>12.76</v>
      </c>
      <c r="DD181" s="7">
        <v>92.1</v>
      </c>
      <c r="DE181" s="7"/>
      <c r="DF181" s="7">
        <v>4.5</v>
      </c>
      <c r="DG181" s="7"/>
      <c r="DH181" s="7">
        <v>3.3</v>
      </c>
      <c r="DI181" s="7"/>
      <c r="DJ181" s="7">
        <v>0.0</v>
      </c>
      <c r="DK181" s="7"/>
      <c r="DL181" s="7"/>
      <c r="DM181" s="7">
        <v>4.22</v>
      </c>
      <c r="DN181" s="7">
        <v>113.0</v>
      </c>
      <c r="DO181" s="7" t="str">
        <f t="shared" si="15"/>
        <v>Легкая степень</v>
      </c>
      <c r="DP181" s="7">
        <v>58.0</v>
      </c>
      <c r="DQ181" s="7">
        <v>234.0</v>
      </c>
      <c r="DR181" s="7">
        <v>157.9</v>
      </c>
      <c r="DS181" s="7">
        <v>697.3</v>
      </c>
      <c r="DT181" s="7">
        <v>34.5</v>
      </c>
      <c r="DU181" s="7">
        <v>12.4</v>
      </c>
      <c r="DV181" s="7">
        <v>1.06</v>
      </c>
      <c r="DW181" s="1" t="s">
        <v>458</v>
      </c>
      <c r="DX181" s="7">
        <v>570.0</v>
      </c>
      <c r="DY181" s="7">
        <v>79.4</v>
      </c>
      <c r="DZ181" s="7">
        <v>15.7</v>
      </c>
      <c r="EA181" s="7">
        <v>1.34</v>
      </c>
      <c r="EB181" s="7"/>
      <c r="EC181" s="7">
        <v>12.66</v>
      </c>
      <c r="ED181" s="7">
        <v>8.94</v>
      </c>
      <c r="EE181" s="7">
        <v>60.2</v>
      </c>
      <c r="EF181" s="7">
        <v>60.2</v>
      </c>
      <c r="EG181" s="7">
        <v>58.4</v>
      </c>
      <c r="EH181" s="7">
        <v>6.6</v>
      </c>
      <c r="EI181" s="7">
        <v>3.4</v>
      </c>
      <c r="EJ181" s="7">
        <v>103.0</v>
      </c>
      <c r="EK181" s="34">
        <f t="shared" si="16"/>
        <v>47.24903307</v>
      </c>
      <c r="EL181" s="11" t="str">
        <f t="shared" si="17"/>
        <v>C3a</v>
      </c>
      <c r="EM181" s="7">
        <v>143.1</v>
      </c>
      <c r="EN181" s="7">
        <v>3.5</v>
      </c>
      <c r="EO181" s="7">
        <v>58.9</v>
      </c>
      <c r="EP181" s="7">
        <v>47.1</v>
      </c>
      <c r="EQ181" s="7">
        <v>66.9</v>
      </c>
      <c r="ER181" s="7">
        <v>8.5</v>
      </c>
      <c r="ES181" s="7">
        <v>5.0</v>
      </c>
      <c r="ET181" s="7">
        <v>68.0</v>
      </c>
      <c r="EU181" s="11">
        <f t="shared" si="18"/>
        <v>78.05664029</v>
      </c>
      <c r="EV181" s="11" t="str">
        <f t="shared" si="19"/>
        <v>C2</v>
      </c>
      <c r="EW181" s="7">
        <v>140.2</v>
      </c>
      <c r="EX181" s="7">
        <v>3.27</v>
      </c>
      <c r="EY181" s="9">
        <f t="shared" si="20"/>
        <v>0.73143668</v>
      </c>
      <c r="EZ181" s="9">
        <f t="shared" si="21"/>
        <v>0.3248795371</v>
      </c>
      <c r="FA181" s="9" t="str">
        <f t="shared" si="22"/>
        <v>Благоприятный</v>
      </c>
      <c r="FB181" s="1" t="s">
        <v>256</v>
      </c>
      <c r="FC181" s="1" t="s">
        <v>445</v>
      </c>
    </row>
    <row r="182">
      <c r="A182" s="33">
        <v>181.0</v>
      </c>
      <c r="B182" s="7">
        <v>41.0</v>
      </c>
      <c r="C182" s="7">
        <v>8268.0</v>
      </c>
      <c r="D182" s="1" t="s">
        <v>445</v>
      </c>
      <c r="E182" s="7">
        <v>67.0</v>
      </c>
      <c r="F182" s="1" t="s">
        <v>161</v>
      </c>
      <c r="G182" s="7"/>
      <c r="H182" s="7">
        <v>4.0</v>
      </c>
      <c r="I182" s="1" t="s">
        <v>150</v>
      </c>
      <c r="J182" s="1" t="s">
        <v>150</v>
      </c>
      <c r="K182" s="9"/>
      <c r="L182" s="1" t="s">
        <v>150</v>
      </c>
      <c r="M182" s="1" t="s">
        <v>150</v>
      </c>
      <c r="N182" s="9"/>
      <c r="O182" s="1" t="s">
        <v>154</v>
      </c>
      <c r="P182" s="1" t="s">
        <v>150</v>
      </c>
      <c r="Q182" s="1" t="s">
        <v>154</v>
      </c>
      <c r="R182" s="1">
        <v>3.0</v>
      </c>
      <c r="S182" s="1" t="s">
        <v>150</v>
      </c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1" t="s">
        <v>150</v>
      </c>
      <c r="AF182" s="9"/>
      <c r="AG182" s="1" t="s">
        <v>446</v>
      </c>
      <c r="AH182" s="1" t="s">
        <v>154</v>
      </c>
      <c r="AI182" s="1" t="s">
        <v>168</v>
      </c>
      <c r="AJ182" s="7">
        <v>2.0</v>
      </c>
      <c r="AK182" s="1" t="s">
        <v>5</v>
      </c>
      <c r="AL182" s="9"/>
      <c r="AM182" s="9"/>
      <c r="AN182" s="1">
        <v>15.0</v>
      </c>
      <c r="AO182" s="1" t="str">
        <f t="shared" si="2"/>
        <v>нет</v>
      </c>
      <c r="AP182" s="7">
        <v>164.0</v>
      </c>
      <c r="AQ182" s="7">
        <v>70.0</v>
      </c>
      <c r="AR182" s="9">
        <f t="shared" si="3"/>
        <v>26.0261749</v>
      </c>
      <c r="AS182" s="7" t="str">
        <f t="shared" si="4"/>
        <v>Избыточный вес (предожирение)</v>
      </c>
      <c r="AT182" s="7">
        <v>128.0</v>
      </c>
      <c r="AU182" s="7">
        <v>89.0</v>
      </c>
      <c r="AV182" s="9"/>
      <c r="AW182" s="7">
        <v>100.0</v>
      </c>
      <c r="AX182" s="7">
        <v>38.0</v>
      </c>
      <c r="AY182" s="7">
        <v>20.0</v>
      </c>
      <c r="AZ182" s="7">
        <v>75.0</v>
      </c>
      <c r="BA182" s="10" t="str">
        <f t="shared" si="5"/>
        <v>да</v>
      </c>
      <c r="BB182" s="7">
        <v>89.0</v>
      </c>
      <c r="BC182" s="7">
        <v>60.0</v>
      </c>
      <c r="BD182" s="12">
        <f t="shared" si="6"/>
        <v>0.0625</v>
      </c>
      <c r="BE182" s="12">
        <f t="shared" si="7"/>
        <v>0</v>
      </c>
      <c r="BF182" s="12">
        <f t="shared" si="8"/>
        <v>4</v>
      </c>
      <c r="BG182" s="1" t="s">
        <v>154</v>
      </c>
      <c r="BH182" s="1" t="s">
        <v>603</v>
      </c>
      <c r="BI182" s="1" t="s">
        <v>154</v>
      </c>
      <c r="BJ182" s="1" t="s">
        <v>175</v>
      </c>
      <c r="BK182" s="1" t="s">
        <v>150</v>
      </c>
      <c r="BL182" s="9"/>
      <c r="BM182" s="1" t="s">
        <v>154</v>
      </c>
      <c r="BN182" s="1" t="s">
        <v>448</v>
      </c>
      <c r="BO182" s="1" t="s">
        <v>154</v>
      </c>
      <c r="BP182" s="1" t="s">
        <v>170</v>
      </c>
      <c r="BQ182" s="9"/>
      <c r="BR182" s="1" t="s">
        <v>154</v>
      </c>
      <c r="BS182" s="1" t="s">
        <v>170</v>
      </c>
      <c r="BT182" s="7">
        <v>24.0</v>
      </c>
      <c r="BU182" s="1" t="s">
        <v>170</v>
      </c>
      <c r="BV182" s="1">
        <v>24.0</v>
      </c>
      <c r="BW182" s="1" t="s">
        <v>150</v>
      </c>
      <c r="BX182" s="1" t="s">
        <v>154</v>
      </c>
      <c r="BY182" s="1" t="s">
        <v>173</v>
      </c>
      <c r="BZ182" s="1" t="s">
        <v>154</v>
      </c>
      <c r="CA182" s="1" t="s">
        <v>154</v>
      </c>
      <c r="CB182" s="1" t="s">
        <v>150</v>
      </c>
      <c r="CC182" s="1" t="s">
        <v>150</v>
      </c>
      <c r="CD182" s="1" t="s">
        <v>150</v>
      </c>
      <c r="CE182" s="1" t="s">
        <v>150</v>
      </c>
      <c r="CF182" s="1" t="s">
        <v>150</v>
      </c>
      <c r="CG182" s="1" t="s">
        <v>150</v>
      </c>
      <c r="CH182" s="1" t="s">
        <v>150</v>
      </c>
      <c r="CI182" s="1" t="s">
        <v>150</v>
      </c>
      <c r="CJ182" s="1" t="s">
        <v>150</v>
      </c>
      <c r="CK182" s="1" t="s">
        <v>150</v>
      </c>
      <c r="CL182" s="9"/>
      <c r="CM182" s="7">
        <v>12.4</v>
      </c>
      <c r="CN182" s="7">
        <v>93.4</v>
      </c>
      <c r="CO182" s="7">
        <f t="shared" si="23"/>
        <v>11.5816</v>
      </c>
      <c r="CP182" s="7">
        <v>4.8</v>
      </c>
      <c r="CQ182" s="7">
        <f t="shared" si="10"/>
        <v>0.5559168</v>
      </c>
      <c r="CR182" s="7">
        <v>1.6</v>
      </c>
      <c r="CS182" s="7">
        <f t="shared" si="11"/>
        <v>0.0088946688</v>
      </c>
      <c r="CT182" s="7">
        <v>0.2</v>
      </c>
      <c r="CU182" s="7">
        <f t="shared" si="12"/>
        <v>0.0000177893376</v>
      </c>
      <c r="CV182" s="7">
        <f t="shared" si="13"/>
        <v>20.83333333</v>
      </c>
      <c r="CW182" s="7">
        <v>4.68</v>
      </c>
      <c r="CX182" s="7">
        <v>130.0</v>
      </c>
      <c r="CY182" s="7" t="str">
        <f t="shared" si="14"/>
        <v>Норма</v>
      </c>
      <c r="CZ182" s="7" t="s">
        <v>456</v>
      </c>
      <c r="DA182" s="7">
        <v>311.0</v>
      </c>
      <c r="DB182" s="1" t="s">
        <v>456</v>
      </c>
      <c r="DC182" s="7">
        <v>13.8</v>
      </c>
      <c r="DD182" s="7">
        <v>81.4</v>
      </c>
      <c r="DE182" s="7"/>
      <c r="DF182" s="7">
        <v>7.5</v>
      </c>
      <c r="DG182" s="7"/>
      <c r="DH182" s="7">
        <v>1.0</v>
      </c>
      <c r="DI182" s="7"/>
      <c r="DJ182" s="7">
        <v>0.0</v>
      </c>
      <c r="DK182" s="7"/>
      <c r="DL182" s="7"/>
      <c r="DM182" s="7">
        <v>4.35</v>
      </c>
      <c r="DN182" s="7">
        <v>134.0</v>
      </c>
      <c r="DO182" s="7" t="str">
        <f t="shared" si="15"/>
        <v>Норма</v>
      </c>
      <c r="DP182" s="7" t="s">
        <v>456</v>
      </c>
      <c r="DQ182" s="7">
        <v>301.0</v>
      </c>
      <c r="DR182" s="18"/>
      <c r="DS182" s="7">
        <v>740.0</v>
      </c>
      <c r="DT182" s="7">
        <v>21.0</v>
      </c>
      <c r="DU182" s="7">
        <v>15.3</v>
      </c>
      <c r="DV182" s="7">
        <v>1.3</v>
      </c>
      <c r="DW182" s="1" t="s">
        <v>456</v>
      </c>
      <c r="DX182" s="7">
        <v>484.0</v>
      </c>
      <c r="DY182" s="7">
        <v>38.4</v>
      </c>
      <c r="DZ182" s="7">
        <v>12.0</v>
      </c>
      <c r="EA182" s="7">
        <v>1.05</v>
      </c>
      <c r="EB182" s="7"/>
      <c r="EC182" s="7">
        <v>14.56</v>
      </c>
      <c r="ED182" s="7">
        <v>9.26</v>
      </c>
      <c r="EE182" s="7">
        <v>83.8</v>
      </c>
      <c r="EF182" s="7">
        <v>107.38</v>
      </c>
      <c r="EG182" s="7">
        <v>65.3</v>
      </c>
      <c r="EH182" s="7">
        <v>18.11</v>
      </c>
      <c r="EI182" s="7">
        <v>6.12</v>
      </c>
      <c r="EJ182" s="7">
        <v>70.73</v>
      </c>
      <c r="EK182" s="34">
        <f t="shared" si="16"/>
        <v>76.55002085</v>
      </c>
      <c r="EL182" s="11" t="str">
        <f t="shared" si="17"/>
        <v>C2</v>
      </c>
      <c r="EM182" s="7">
        <v>135.5</v>
      </c>
      <c r="EN182" s="7">
        <v>4.2</v>
      </c>
      <c r="EO182" s="7">
        <v>86.72</v>
      </c>
      <c r="EP182" s="7">
        <v>82.61</v>
      </c>
      <c r="EQ182" s="7">
        <v>64.1</v>
      </c>
      <c r="ER182" s="7">
        <v>14.54</v>
      </c>
      <c r="ES182" s="7">
        <v>3.72</v>
      </c>
      <c r="ET182" s="7">
        <v>57.03</v>
      </c>
      <c r="EU182" s="11">
        <f t="shared" si="18"/>
        <v>92.39965626</v>
      </c>
      <c r="EV182" s="11" t="str">
        <f t="shared" si="19"/>
        <v>C1</v>
      </c>
      <c r="EW182" s="1" t="s">
        <v>456</v>
      </c>
      <c r="EX182" s="1" t="s">
        <v>456</v>
      </c>
      <c r="EY182" s="9">
        <f t="shared" si="20"/>
        <v>-0.1162495503</v>
      </c>
      <c r="EZ182" s="9">
        <f t="shared" si="21"/>
        <v>0.5290297027</v>
      </c>
      <c r="FA182" s="9" t="str">
        <f t="shared" si="22"/>
        <v>Неблагоприятный</v>
      </c>
      <c r="FB182" s="1" t="s">
        <v>150</v>
      </c>
      <c r="FC182" s="1" t="s">
        <v>445</v>
      </c>
    </row>
    <row r="183">
      <c r="A183" s="33">
        <v>182.0</v>
      </c>
      <c r="B183" s="7">
        <v>42.0</v>
      </c>
      <c r="C183" s="7">
        <v>7464.0</v>
      </c>
      <c r="D183" s="1" t="s">
        <v>445</v>
      </c>
      <c r="E183" s="7">
        <v>47.0</v>
      </c>
      <c r="F183" s="1" t="s">
        <v>149</v>
      </c>
      <c r="G183" s="7"/>
      <c r="H183" s="7">
        <v>7.0</v>
      </c>
      <c r="I183" s="1" t="s">
        <v>150</v>
      </c>
      <c r="J183" s="1" t="s">
        <v>150</v>
      </c>
      <c r="K183" s="9"/>
      <c r="L183" s="1" t="s">
        <v>150</v>
      </c>
      <c r="M183" s="1" t="s">
        <v>150</v>
      </c>
      <c r="N183" s="9"/>
      <c r="O183" s="6"/>
      <c r="P183" s="18"/>
      <c r="Q183" s="1" t="s">
        <v>154</v>
      </c>
      <c r="R183" s="1" t="s">
        <v>604</v>
      </c>
      <c r="S183" s="1" t="s">
        <v>150</v>
      </c>
      <c r="T183" s="1"/>
      <c r="U183" s="9"/>
      <c r="V183" s="9"/>
      <c r="W183" s="9"/>
      <c r="X183" s="9"/>
      <c r="Y183" s="9"/>
      <c r="Z183" s="9"/>
      <c r="AA183" s="9"/>
      <c r="AB183" s="9"/>
      <c r="AC183" s="9"/>
      <c r="AD183" s="1"/>
      <c r="AE183" s="1" t="s">
        <v>154</v>
      </c>
      <c r="AF183" s="7">
        <v>6.0</v>
      </c>
      <c r="AG183" s="1" t="s">
        <v>446</v>
      </c>
      <c r="AH183" s="1" t="s">
        <v>154</v>
      </c>
      <c r="AI183" s="1" t="s">
        <v>168</v>
      </c>
      <c r="AJ183" s="7">
        <v>3.0</v>
      </c>
      <c r="AK183" s="1" t="s">
        <v>5</v>
      </c>
      <c r="AL183" s="9"/>
      <c r="AM183" s="9"/>
      <c r="AN183" s="1">
        <v>15.0</v>
      </c>
      <c r="AO183" s="1" t="str">
        <f t="shared" si="2"/>
        <v>нет</v>
      </c>
      <c r="AP183" s="7">
        <v>180.0</v>
      </c>
      <c r="AQ183" s="7">
        <v>100.0</v>
      </c>
      <c r="AR183" s="9">
        <f t="shared" si="3"/>
        <v>30.86419753</v>
      </c>
      <c r="AS183" s="7" t="str">
        <f t="shared" si="4"/>
        <v>Ожирение I степени</v>
      </c>
      <c r="AT183" s="7">
        <v>160.0</v>
      </c>
      <c r="AU183" s="7">
        <v>94.0</v>
      </c>
      <c r="AV183" s="9"/>
      <c r="AW183" s="7">
        <v>100.0</v>
      </c>
      <c r="AX183" s="7">
        <v>37.0</v>
      </c>
      <c r="AY183" s="7">
        <v>20.0</v>
      </c>
      <c r="AZ183" s="7">
        <v>82.0</v>
      </c>
      <c r="BA183" s="10" t="str">
        <f t="shared" si="5"/>
        <v>да</v>
      </c>
      <c r="BB183" s="7">
        <v>92.0</v>
      </c>
      <c r="BC183" s="7">
        <v>60.0</v>
      </c>
      <c r="BD183" s="12">
        <f t="shared" si="6"/>
        <v>0.06833333333</v>
      </c>
      <c r="BE183" s="12">
        <f t="shared" si="7"/>
        <v>0</v>
      </c>
      <c r="BF183" s="12">
        <f t="shared" si="8"/>
        <v>4</v>
      </c>
      <c r="BG183" s="1" t="s">
        <v>154</v>
      </c>
      <c r="BH183" s="18"/>
      <c r="BI183" s="1" t="s">
        <v>154</v>
      </c>
      <c r="BJ183" s="1" t="s">
        <v>237</v>
      </c>
      <c r="BK183" s="1" t="s">
        <v>150</v>
      </c>
      <c r="BL183" s="9"/>
      <c r="BM183" s="1" t="s">
        <v>154</v>
      </c>
      <c r="BN183" s="1" t="s">
        <v>582</v>
      </c>
      <c r="BO183" s="1" t="s">
        <v>154</v>
      </c>
      <c r="BP183" s="18"/>
      <c r="BQ183" s="18"/>
      <c r="BR183" s="1" t="s">
        <v>154</v>
      </c>
      <c r="BS183" s="1" t="s">
        <v>605</v>
      </c>
      <c r="BT183" s="1" t="s">
        <v>606</v>
      </c>
      <c r="BU183" s="1" t="s">
        <v>443</v>
      </c>
      <c r="BV183" s="1">
        <v>1000.0</v>
      </c>
      <c r="BW183" s="1" t="s">
        <v>154</v>
      </c>
      <c r="BX183" s="1" t="s">
        <v>154</v>
      </c>
      <c r="BY183" s="1" t="s">
        <v>275</v>
      </c>
      <c r="BZ183" s="1" t="s">
        <v>154</v>
      </c>
      <c r="CA183" s="1" t="s">
        <v>150</v>
      </c>
      <c r="CB183" s="1" t="s">
        <v>150</v>
      </c>
      <c r="CC183" s="1" t="s">
        <v>150</v>
      </c>
      <c r="CD183" s="1" t="s">
        <v>150</v>
      </c>
      <c r="CE183" s="1" t="s">
        <v>150</v>
      </c>
      <c r="CF183" s="1" t="s">
        <v>150</v>
      </c>
      <c r="CG183" s="1" t="s">
        <v>150</v>
      </c>
      <c r="CH183" s="1" t="s">
        <v>150</v>
      </c>
      <c r="CI183" s="1" t="s">
        <v>150</v>
      </c>
      <c r="CJ183" s="1" t="s">
        <v>150</v>
      </c>
      <c r="CK183" s="1" t="s">
        <v>150</v>
      </c>
      <c r="CL183" s="1" t="s">
        <v>569</v>
      </c>
      <c r="CM183" s="7">
        <v>8.6</v>
      </c>
      <c r="CN183" s="16"/>
      <c r="CO183" s="16">
        <f t="shared" si="23"/>
        <v>0</v>
      </c>
      <c r="CP183" s="16"/>
      <c r="CQ183" s="16">
        <f t="shared" si="10"/>
        <v>0</v>
      </c>
      <c r="CR183" s="16"/>
      <c r="CS183" s="16">
        <f t="shared" si="11"/>
        <v>0</v>
      </c>
      <c r="CT183" s="16"/>
      <c r="CU183" s="16">
        <f t="shared" si="12"/>
        <v>0</v>
      </c>
      <c r="CV183" s="16" t="str">
        <f t="shared" si="13"/>
        <v>#DIV/0!</v>
      </c>
      <c r="CW183" s="7">
        <v>4.53</v>
      </c>
      <c r="CX183" s="7">
        <v>145.0</v>
      </c>
      <c r="CY183" s="7" t="str">
        <f t="shared" si="14"/>
        <v>Норма</v>
      </c>
      <c r="CZ183" s="16"/>
      <c r="DA183" s="7">
        <v>30.0</v>
      </c>
      <c r="DB183" s="18"/>
      <c r="DC183" s="7">
        <v>16.3</v>
      </c>
      <c r="DD183" s="16"/>
      <c r="DE183" s="16"/>
      <c r="DF183" s="16"/>
      <c r="DG183" s="16"/>
      <c r="DH183" s="16"/>
      <c r="DI183" s="16"/>
      <c r="DJ183" s="16"/>
      <c r="DK183" s="16"/>
      <c r="DL183" s="16"/>
      <c r="DM183" s="7">
        <v>4.87</v>
      </c>
      <c r="DN183" s="7">
        <v>151.0</v>
      </c>
      <c r="DO183" s="7" t="str">
        <f t="shared" si="15"/>
        <v>Норма</v>
      </c>
      <c r="DP183" s="16"/>
      <c r="DQ183" s="7">
        <v>265.0</v>
      </c>
      <c r="DR183" s="18"/>
      <c r="DS183" s="18"/>
      <c r="DT183" s="18"/>
      <c r="DU183" s="18"/>
      <c r="DV183" s="18"/>
      <c r="DW183" s="18"/>
      <c r="DX183" s="18"/>
      <c r="DY183" s="18"/>
      <c r="DZ183" s="18"/>
      <c r="EA183" s="18"/>
      <c r="EB183" s="18"/>
      <c r="EC183" s="18"/>
      <c r="ED183" s="18"/>
      <c r="EE183" s="18"/>
      <c r="EF183" s="18"/>
      <c r="EG183" s="18"/>
      <c r="EH183" s="18"/>
      <c r="EI183" s="18"/>
      <c r="EJ183" s="18"/>
      <c r="EK183" s="37" t="str">
        <f t="shared" si="16"/>
        <v>#NUM!</v>
      </c>
      <c r="EL183" s="11" t="str">
        <f t="shared" si="17"/>
        <v>#NUM!</v>
      </c>
      <c r="EM183" s="18"/>
      <c r="EN183" s="18"/>
      <c r="EO183" s="18"/>
      <c r="EP183" s="18"/>
      <c r="EQ183" s="18"/>
      <c r="ER183" s="18"/>
      <c r="ES183" s="18"/>
      <c r="ET183" s="18"/>
      <c r="EU183" s="11" t="str">
        <f t="shared" si="18"/>
        <v>#NUM!</v>
      </c>
      <c r="EV183" s="11" t="str">
        <f t="shared" si="19"/>
        <v>#NUM!</v>
      </c>
      <c r="EW183" s="18"/>
      <c r="EX183" s="18"/>
      <c r="EY183" s="9">
        <f t="shared" si="20"/>
        <v>2.41825679</v>
      </c>
      <c r="EZ183" s="9">
        <f t="shared" si="21"/>
        <v>0.08179107738</v>
      </c>
      <c r="FA183" s="9" t="str">
        <f t="shared" si="22"/>
        <v>Благоприятный</v>
      </c>
      <c r="FB183" s="1" t="s">
        <v>256</v>
      </c>
      <c r="FC183" s="1" t="s">
        <v>445</v>
      </c>
    </row>
    <row r="184">
      <c r="A184" s="33">
        <v>183.0</v>
      </c>
      <c r="B184" s="7">
        <v>43.0</v>
      </c>
      <c r="C184" s="7">
        <v>6963.0</v>
      </c>
      <c r="D184" s="1" t="s">
        <v>445</v>
      </c>
      <c r="E184" s="7">
        <v>62.0</v>
      </c>
      <c r="F184" s="1" t="s">
        <v>149</v>
      </c>
      <c r="G184" s="7"/>
      <c r="H184" s="7">
        <v>35.0</v>
      </c>
      <c r="I184" s="6" t="s">
        <v>150</v>
      </c>
      <c r="J184" s="1" t="s">
        <v>150</v>
      </c>
      <c r="K184" s="9"/>
      <c r="L184" s="1" t="s">
        <v>150</v>
      </c>
      <c r="M184" s="1" t="s">
        <v>150</v>
      </c>
      <c r="N184" s="9"/>
      <c r="O184" s="1" t="str">
        <f t="shared" ref="O184:O188" si="28">IF(EC184&gt;=6.1,IF(EC184&lt;7,"да","нет"),"нет")</f>
        <v>да</v>
      </c>
      <c r="P184" s="1" t="s">
        <v>150</v>
      </c>
      <c r="Q184" s="1" t="s">
        <v>150</v>
      </c>
      <c r="R184" s="9"/>
      <c r="S184" s="1" t="s">
        <v>150</v>
      </c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1"/>
      <c r="AE184" s="1" t="s">
        <v>154</v>
      </c>
      <c r="AF184" s="1">
        <v>22.0</v>
      </c>
      <c r="AG184" s="1" t="s">
        <v>446</v>
      </c>
      <c r="AH184" s="1" t="s">
        <v>154</v>
      </c>
      <c r="AI184" s="1" t="s">
        <v>168</v>
      </c>
      <c r="AJ184" s="7">
        <v>2.0</v>
      </c>
      <c r="AK184" s="1" t="s">
        <v>5</v>
      </c>
      <c r="AL184" s="9"/>
      <c r="AM184" s="9"/>
      <c r="AN184" s="1">
        <v>15.0</v>
      </c>
      <c r="AO184" s="1" t="str">
        <f t="shared" si="2"/>
        <v>нет</v>
      </c>
      <c r="AP184" s="7">
        <v>182.0</v>
      </c>
      <c r="AQ184" s="7">
        <v>85.0</v>
      </c>
      <c r="AR184" s="9">
        <f t="shared" si="3"/>
        <v>25.66115203</v>
      </c>
      <c r="AS184" s="7" t="str">
        <f t="shared" si="4"/>
        <v>Избыточный вес (предожирение)</v>
      </c>
      <c r="AT184" s="7">
        <v>120.0</v>
      </c>
      <c r="AU184" s="7">
        <v>75.0</v>
      </c>
      <c r="AV184" s="9"/>
      <c r="AW184" s="7">
        <v>999.0</v>
      </c>
      <c r="AX184" s="7">
        <v>37.1</v>
      </c>
      <c r="AY184" s="7">
        <v>21.0</v>
      </c>
      <c r="AZ184" s="7">
        <v>82.0</v>
      </c>
      <c r="BA184" s="10" t="str">
        <f t="shared" si="5"/>
        <v>да</v>
      </c>
      <c r="BB184" s="7">
        <v>85.0</v>
      </c>
      <c r="BC184" s="18"/>
      <c r="BD184" s="12" t="str">
        <f t="shared" si="6"/>
        <v>#DIV/0!</v>
      </c>
      <c r="BE184" s="12">
        <f t="shared" si="7"/>
        <v>0</v>
      </c>
      <c r="BF184" s="12">
        <f t="shared" si="8"/>
        <v>8</v>
      </c>
      <c r="BG184" s="1" t="s">
        <v>154</v>
      </c>
      <c r="BH184" s="1" t="s">
        <v>169</v>
      </c>
      <c r="BI184" s="1" t="s">
        <v>154</v>
      </c>
      <c r="BJ184" s="1" t="s">
        <v>607</v>
      </c>
      <c r="BK184" s="1" t="s">
        <v>150</v>
      </c>
      <c r="BL184" s="9"/>
      <c r="BM184" s="1" t="s">
        <v>154</v>
      </c>
      <c r="BN184" s="1" t="s">
        <v>608</v>
      </c>
      <c r="BO184" s="1" t="s">
        <v>154</v>
      </c>
      <c r="BP184" s="1" t="s">
        <v>157</v>
      </c>
      <c r="BQ184" s="9"/>
      <c r="BR184" s="1" t="s">
        <v>154</v>
      </c>
      <c r="BS184" s="1" t="s">
        <v>609</v>
      </c>
      <c r="BT184" s="1" t="s">
        <v>546</v>
      </c>
      <c r="BU184" s="1" t="s">
        <v>592</v>
      </c>
      <c r="BV184" s="1" t="s">
        <v>610</v>
      </c>
      <c r="BW184" s="1" t="s">
        <v>150</v>
      </c>
      <c r="BX184" s="1" t="s">
        <v>154</v>
      </c>
      <c r="BY184" s="1" t="s">
        <v>269</v>
      </c>
      <c r="BZ184" s="1" t="s">
        <v>154</v>
      </c>
      <c r="CA184" s="1" t="s">
        <v>150</v>
      </c>
      <c r="CB184" s="1" t="s">
        <v>150</v>
      </c>
      <c r="CC184" s="1" t="s">
        <v>154</v>
      </c>
      <c r="CD184" s="1" t="s">
        <v>150</v>
      </c>
      <c r="CE184" s="1" t="s">
        <v>150</v>
      </c>
      <c r="CF184" s="1" t="s">
        <v>150</v>
      </c>
      <c r="CG184" s="1" t="s">
        <v>150</v>
      </c>
      <c r="CH184" s="1" t="s">
        <v>150</v>
      </c>
      <c r="CI184" s="1" t="s">
        <v>150</v>
      </c>
      <c r="CJ184" s="1" t="s">
        <v>150</v>
      </c>
      <c r="CK184" s="1" t="s">
        <v>150</v>
      </c>
      <c r="CL184" s="1" t="s">
        <v>611</v>
      </c>
      <c r="CM184" s="7">
        <v>6.8</v>
      </c>
      <c r="CN184" s="7">
        <v>86.3</v>
      </c>
      <c r="CO184" s="7">
        <f t="shared" si="23"/>
        <v>5.8684</v>
      </c>
      <c r="CP184" s="7">
        <v>6.9</v>
      </c>
      <c r="CQ184" s="7">
        <f t="shared" si="10"/>
        <v>0.4049196</v>
      </c>
      <c r="CR184" s="7">
        <v>6.9</v>
      </c>
      <c r="CS184" s="7">
        <f t="shared" si="11"/>
        <v>0.0279394524</v>
      </c>
      <c r="CT184" s="7">
        <v>0.0</v>
      </c>
      <c r="CU184" s="7">
        <f t="shared" si="12"/>
        <v>0</v>
      </c>
      <c r="CV184" s="7">
        <f t="shared" si="13"/>
        <v>14.49275362</v>
      </c>
      <c r="CW184" s="7">
        <v>4.7</v>
      </c>
      <c r="CX184" s="7">
        <v>141.0</v>
      </c>
      <c r="CY184" s="7" t="str">
        <f t="shared" si="14"/>
        <v>Норма</v>
      </c>
      <c r="CZ184" s="7" t="s">
        <v>456</v>
      </c>
      <c r="DA184" s="7">
        <v>128.0</v>
      </c>
      <c r="DB184" s="7">
        <v>116.2</v>
      </c>
      <c r="DC184" s="7">
        <v>8.3</v>
      </c>
      <c r="DD184" s="7">
        <v>96.3</v>
      </c>
      <c r="DE184" s="7"/>
      <c r="DF184" s="7">
        <v>1.5</v>
      </c>
      <c r="DG184" s="7"/>
      <c r="DH184" s="7">
        <v>1.8</v>
      </c>
      <c r="DI184" s="7"/>
      <c r="DJ184" s="7">
        <v>0.0</v>
      </c>
      <c r="DK184" s="7"/>
      <c r="DL184" s="7"/>
      <c r="DM184" s="7">
        <v>3.39</v>
      </c>
      <c r="DN184" s="7">
        <v>101.0</v>
      </c>
      <c r="DO184" s="7" t="str">
        <f t="shared" si="15"/>
        <v>Средняя степень</v>
      </c>
      <c r="DP184" s="7">
        <v>20.0</v>
      </c>
      <c r="DQ184" s="7">
        <v>28.0</v>
      </c>
      <c r="DR184" s="7">
        <v>164.4</v>
      </c>
      <c r="DS184" s="7">
        <v>580.0</v>
      </c>
      <c r="DT184" s="18"/>
      <c r="DU184" s="7">
        <v>13.8</v>
      </c>
      <c r="DV184" s="7">
        <v>1.18</v>
      </c>
      <c r="DW184" s="1" t="s">
        <v>458</v>
      </c>
      <c r="DX184" s="7">
        <v>578.0</v>
      </c>
      <c r="DY184" s="18"/>
      <c r="DZ184" s="7">
        <v>14.4</v>
      </c>
      <c r="EA184" s="7">
        <v>1.23</v>
      </c>
      <c r="EB184" s="7"/>
      <c r="EC184" s="7">
        <v>6.2</v>
      </c>
      <c r="ED184" s="7">
        <v>8.08</v>
      </c>
      <c r="EE184" s="7">
        <v>67.0</v>
      </c>
      <c r="EF184" s="7">
        <v>90.0</v>
      </c>
      <c r="EG184" s="7">
        <v>65.0</v>
      </c>
      <c r="EH184" s="7">
        <v>10.9</v>
      </c>
      <c r="EI184" s="7">
        <v>5.5</v>
      </c>
      <c r="EJ184" s="7">
        <v>91.0</v>
      </c>
      <c r="EK184" s="34">
        <f t="shared" si="16"/>
        <v>58.46404368</v>
      </c>
      <c r="EL184" s="11" t="str">
        <f t="shared" si="17"/>
        <v>C3a</v>
      </c>
      <c r="EM184" s="7">
        <v>135.7</v>
      </c>
      <c r="EN184" s="7">
        <v>3.91</v>
      </c>
      <c r="EO184" s="7">
        <v>46.76</v>
      </c>
      <c r="EP184" s="7">
        <v>20.5</v>
      </c>
      <c r="EQ184" s="7">
        <v>0.1</v>
      </c>
      <c r="ER184" s="7">
        <v>26.21</v>
      </c>
      <c r="ES184" s="7">
        <v>11.18</v>
      </c>
      <c r="ET184" s="7">
        <v>40.11</v>
      </c>
      <c r="EU184" s="11">
        <f t="shared" si="18"/>
        <v>107.4513798</v>
      </c>
      <c r="EV184" s="11" t="str">
        <f t="shared" si="19"/>
        <v>C1</v>
      </c>
      <c r="EW184" s="7">
        <v>136.3</v>
      </c>
      <c r="EX184" s="7">
        <v>4.08</v>
      </c>
      <c r="EY184" s="9">
        <f t="shared" si="20"/>
        <v>-1.114085364</v>
      </c>
      <c r="EZ184" s="9">
        <f t="shared" si="21"/>
        <v>0.7528899648</v>
      </c>
      <c r="FA184" s="9" t="str">
        <f t="shared" si="22"/>
        <v>Неблагоприятный</v>
      </c>
      <c r="FB184" s="1" t="s">
        <v>150</v>
      </c>
      <c r="FC184" s="1" t="s">
        <v>445</v>
      </c>
    </row>
    <row r="185">
      <c r="A185" s="33">
        <v>184.0</v>
      </c>
      <c r="B185" s="7">
        <v>44.0</v>
      </c>
      <c r="C185" s="7">
        <v>8283.0</v>
      </c>
      <c r="D185" s="1" t="s">
        <v>445</v>
      </c>
      <c r="E185" s="7">
        <v>37.0</v>
      </c>
      <c r="F185" s="1" t="s">
        <v>161</v>
      </c>
      <c r="G185" s="7"/>
      <c r="H185" s="7">
        <v>2.0</v>
      </c>
      <c r="I185" s="1" t="s">
        <v>150</v>
      </c>
      <c r="J185" s="1" t="s">
        <v>150</v>
      </c>
      <c r="K185" s="9"/>
      <c r="L185" s="1" t="s">
        <v>150</v>
      </c>
      <c r="M185" s="1" t="s">
        <v>150</v>
      </c>
      <c r="N185" s="9"/>
      <c r="O185" s="1" t="str">
        <f t="shared" si="28"/>
        <v>нет</v>
      </c>
      <c r="P185" s="1" t="s">
        <v>150</v>
      </c>
      <c r="Q185" s="1" t="s">
        <v>154</v>
      </c>
      <c r="R185" s="7">
        <v>2.0</v>
      </c>
      <c r="S185" s="1" t="s">
        <v>150</v>
      </c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1"/>
      <c r="AE185" s="1" t="s">
        <v>154</v>
      </c>
      <c r="AF185" s="7">
        <v>1.0</v>
      </c>
      <c r="AG185" s="1" t="s">
        <v>446</v>
      </c>
      <c r="AH185" s="1" t="s">
        <v>154</v>
      </c>
      <c r="AI185" s="1" t="s">
        <v>153</v>
      </c>
      <c r="AJ185" s="18"/>
      <c r="AK185" s="1" t="s">
        <v>328</v>
      </c>
      <c r="AL185" s="9"/>
      <c r="AM185" s="9"/>
      <c r="AN185" s="1">
        <v>15.0</v>
      </c>
      <c r="AO185" s="1" t="str">
        <f t="shared" si="2"/>
        <v>нет</v>
      </c>
      <c r="AP185" s="7">
        <v>167.0</v>
      </c>
      <c r="AQ185" s="7">
        <v>72.0</v>
      </c>
      <c r="AR185" s="9">
        <f t="shared" si="3"/>
        <v>25.81663021</v>
      </c>
      <c r="AS185" s="7" t="str">
        <f t="shared" si="4"/>
        <v>Избыточный вес (предожирение)</v>
      </c>
      <c r="AT185" s="7">
        <v>115.0</v>
      </c>
      <c r="AU185" s="7">
        <v>75.0</v>
      </c>
      <c r="AV185" s="9"/>
      <c r="AW185" s="7">
        <v>100.0</v>
      </c>
      <c r="AX185" s="7">
        <v>38.3</v>
      </c>
      <c r="AY185" s="7">
        <v>25.0</v>
      </c>
      <c r="AZ185" s="7">
        <v>77.0</v>
      </c>
      <c r="BA185" s="10" t="str">
        <f t="shared" si="5"/>
        <v>да</v>
      </c>
      <c r="BB185" s="7">
        <v>91.0</v>
      </c>
      <c r="BC185" s="7">
        <v>60.0</v>
      </c>
      <c r="BD185" s="12">
        <f t="shared" si="6"/>
        <v>0.05133333333</v>
      </c>
      <c r="BE185" s="12">
        <f t="shared" si="7"/>
        <v>1</v>
      </c>
      <c r="BF185" s="12">
        <f t="shared" si="8"/>
        <v>8</v>
      </c>
      <c r="BG185" s="1" t="s">
        <v>154</v>
      </c>
      <c r="BH185" s="1" t="s">
        <v>612</v>
      </c>
      <c r="BI185" s="1" t="s">
        <v>154</v>
      </c>
      <c r="BJ185" s="1" t="s">
        <v>175</v>
      </c>
      <c r="BK185" s="1" t="s">
        <v>150</v>
      </c>
      <c r="BL185" s="9"/>
      <c r="BM185" s="1" t="s">
        <v>154</v>
      </c>
      <c r="BN185" s="1" t="s">
        <v>155</v>
      </c>
      <c r="BO185" s="1" t="s">
        <v>150</v>
      </c>
      <c r="BP185" s="9"/>
      <c r="BQ185" s="9"/>
      <c r="BR185" s="1" t="s">
        <v>154</v>
      </c>
      <c r="BS185" s="1" t="s">
        <v>477</v>
      </c>
      <c r="BT185" s="9"/>
      <c r="BU185" s="1" t="s">
        <v>592</v>
      </c>
      <c r="BV185" s="1" t="s">
        <v>613</v>
      </c>
      <c r="BW185" s="1" t="s">
        <v>154</v>
      </c>
      <c r="BX185" s="1" t="s">
        <v>154</v>
      </c>
      <c r="BY185" s="1" t="s">
        <v>258</v>
      </c>
      <c r="BZ185" s="1" t="s">
        <v>154</v>
      </c>
      <c r="CA185" s="1" t="s">
        <v>150</v>
      </c>
      <c r="CB185" s="1" t="s">
        <v>150</v>
      </c>
      <c r="CC185" s="1" t="s">
        <v>150</v>
      </c>
      <c r="CD185" s="1" t="s">
        <v>154</v>
      </c>
      <c r="CE185" s="1" t="s">
        <v>150</v>
      </c>
      <c r="CF185" s="1" t="s">
        <v>150</v>
      </c>
      <c r="CG185" s="1" t="s">
        <v>150</v>
      </c>
      <c r="CH185" s="1" t="s">
        <v>150</v>
      </c>
      <c r="CI185" s="1" t="s">
        <v>150</v>
      </c>
      <c r="CJ185" s="1" t="s">
        <v>150</v>
      </c>
      <c r="CK185" s="1" t="s">
        <v>150</v>
      </c>
      <c r="CL185" s="1" t="s">
        <v>273</v>
      </c>
      <c r="CM185" s="7">
        <v>6.83</v>
      </c>
      <c r="CN185" s="7">
        <v>89.1</v>
      </c>
      <c r="CO185" s="7">
        <f t="shared" si="23"/>
        <v>6.08553</v>
      </c>
      <c r="CP185" s="7">
        <v>7.3</v>
      </c>
      <c r="CQ185" s="7">
        <f t="shared" si="10"/>
        <v>0.44424369</v>
      </c>
      <c r="CR185" s="7">
        <v>3.5</v>
      </c>
      <c r="CS185" s="7">
        <f t="shared" si="11"/>
        <v>0.01554852915</v>
      </c>
      <c r="CT185" s="7">
        <v>0.0</v>
      </c>
      <c r="CU185" s="7">
        <f t="shared" si="12"/>
        <v>0</v>
      </c>
      <c r="CV185" s="7">
        <f t="shared" si="13"/>
        <v>13.69863014</v>
      </c>
      <c r="CW185" s="7">
        <v>4.57</v>
      </c>
      <c r="CX185" s="7">
        <v>119.0</v>
      </c>
      <c r="CY185" s="7" t="str">
        <f t="shared" si="14"/>
        <v>Легкая степень</v>
      </c>
      <c r="CZ185" s="7" t="s">
        <v>456</v>
      </c>
      <c r="DA185" s="7">
        <v>198.0</v>
      </c>
      <c r="DB185" s="1">
        <v>122.9</v>
      </c>
      <c r="DC185" s="7">
        <v>9.59</v>
      </c>
      <c r="DD185" s="7">
        <v>87.0</v>
      </c>
      <c r="DE185" s="7"/>
      <c r="DF185" s="7">
        <v>7.6</v>
      </c>
      <c r="DG185" s="7"/>
      <c r="DH185" s="7">
        <v>5.3</v>
      </c>
      <c r="DI185" s="7"/>
      <c r="DJ185" s="7">
        <v>0.0</v>
      </c>
      <c r="DK185" s="7"/>
      <c r="DL185" s="7"/>
      <c r="DM185" s="7">
        <v>4.06</v>
      </c>
      <c r="DN185" s="7">
        <v>105.0</v>
      </c>
      <c r="DO185" s="7" t="str">
        <f t="shared" si="15"/>
        <v>Средняя степень</v>
      </c>
      <c r="DP185" s="7">
        <v>51.0</v>
      </c>
      <c r="DQ185" s="7">
        <v>209.0</v>
      </c>
      <c r="DR185" s="7">
        <v>88.4</v>
      </c>
      <c r="DS185" s="7">
        <v>614.0</v>
      </c>
      <c r="DT185" s="1">
        <v>31.1</v>
      </c>
      <c r="DU185" s="7">
        <v>13.7</v>
      </c>
      <c r="DV185" s="7">
        <v>1.171</v>
      </c>
      <c r="DW185" s="1" t="s">
        <v>458</v>
      </c>
      <c r="DX185" s="7">
        <v>539.5</v>
      </c>
      <c r="DY185" s="7">
        <v>25.4</v>
      </c>
      <c r="DZ185" s="7">
        <v>12.7</v>
      </c>
      <c r="EA185" s="7">
        <v>1.09</v>
      </c>
      <c r="EB185" s="7"/>
      <c r="EC185" s="7">
        <v>4.78</v>
      </c>
      <c r="ED185" s="7">
        <v>6.53</v>
      </c>
      <c r="EE185" s="7">
        <v>13.73</v>
      </c>
      <c r="EF185" s="7">
        <v>46.69</v>
      </c>
      <c r="EG185" s="7">
        <v>66.5</v>
      </c>
      <c r="EH185" s="7">
        <v>5.11</v>
      </c>
      <c r="EI185" s="7">
        <v>1.08</v>
      </c>
      <c r="EJ185" s="7">
        <v>64.14</v>
      </c>
      <c r="EK185" s="34">
        <f t="shared" si="16"/>
        <v>106.3701505</v>
      </c>
      <c r="EL185" s="11" t="str">
        <f t="shared" si="17"/>
        <v>C1</v>
      </c>
      <c r="EM185" s="7">
        <v>143.4</v>
      </c>
      <c r="EN185" s="7">
        <v>3.47</v>
      </c>
      <c r="EO185" s="7">
        <v>13.44</v>
      </c>
      <c r="EP185" s="7">
        <v>37.23</v>
      </c>
      <c r="EQ185" s="7">
        <v>65.8</v>
      </c>
      <c r="ER185" s="7">
        <v>4.87</v>
      </c>
      <c r="ES185" s="7">
        <v>0.92</v>
      </c>
      <c r="ET185" s="7">
        <v>64.61</v>
      </c>
      <c r="EU185" s="11">
        <f t="shared" si="18"/>
        <v>105.4353622</v>
      </c>
      <c r="EV185" s="11" t="str">
        <f t="shared" si="19"/>
        <v>C1</v>
      </c>
      <c r="EW185" s="7">
        <v>143.9</v>
      </c>
      <c r="EX185" s="7">
        <v>3.48</v>
      </c>
      <c r="EY185" s="9">
        <f t="shared" si="20"/>
        <v>0.65078095</v>
      </c>
      <c r="EZ185" s="9">
        <f t="shared" si="21"/>
        <v>0.3428135736</v>
      </c>
      <c r="FA185" s="9" t="str">
        <f t="shared" si="22"/>
        <v>Благоприятный</v>
      </c>
      <c r="FB185" s="1" t="s">
        <v>256</v>
      </c>
      <c r="FC185" s="1" t="s">
        <v>445</v>
      </c>
    </row>
    <row r="186">
      <c r="A186" s="33">
        <v>185.0</v>
      </c>
      <c r="B186" s="7">
        <v>45.0</v>
      </c>
      <c r="C186" s="7">
        <v>7975.0</v>
      </c>
      <c r="D186" s="1" t="s">
        <v>445</v>
      </c>
      <c r="E186" s="7">
        <v>53.0</v>
      </c>
      <c r="F186" s="1" t="s">
        <v>149</v>
      </c>
      <c r="G186" s="7"/>
      <c r="H186" s="7">
        <v>12.0</v>
      </c>
      <c r="I186" s="1" t="s">
        <v>154</v>
      </c>
      <c r="J186" s="1" t="s">
        <v>150</v>
      </c>
      <c r="K186" s="9"/>
      <c r="L186" s="1" t="s">
        <v>154</v>
      </c>
      <c r="M186" s="1" t="s">
        <v>154</v>
      </c>
      <c r="N186" s="1" t="s">
        <v>459</v>
      </c>
      <c r="O186" s="1" t="str">
        <f t="shared" si="28"/>
        <v>нет</v>
      </c>
      <c r="P186" s="1" t="s">
        <v>154</v>
      </c>
      <c r="Q186" s="1" t="s">
        <v>154</v>
      </c>
      <c r="R186" s="7">
        <v>3.0</v>
      </c>
      <c r="S186" s="1" t="s">
        <v>150</v>
      </c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1" t="s">
        <v>154</v>
      </c>
      <c r="AF186" s="1">
        <v>1.0</v>
      </c>
      <c r="AG186" s="1" t="s">
        <v>446</v>
      </c>
      <c r="AH186" s="1" t="s">
        <v>154</v>
      </c>
      <c r="AI186" s="1" t="s">
        <v>153</v>
      </c>
      <c r="AJ186" s="7">
        <v>2.0</v>
      </c>
      <c r="AK186" s="1" t="s">
        <v>328</v>
      </c>
      <c r="AL186" s="9"/>
      <c r="AM186" s="1" t="s">
        <v>278</v>
      </c>
      <c r="AN186" s="1">
        <v>15.0</v>
      </c>
      <c r="AO186" s="1" t="str">
        <f t="shared" si="2"/>
        <v>нет</v>
      </c>
      <c r="AP186" s="7">
        <v>176.0</v>
      </c>
      <c r="AQ186" s="7">
        <v>110.0</v>
      </c>
      <c r="AR186" s="9">
        <f t="shared" si="3"/>
        <v>35.51136364</v>
      </c>
      <c r="AS186" s="7" t="str">
        <f t="shared" si="4"/>
        <v>Ожирение II степени</v>
      </c>
      <c r="AT186" s="7">
        <v>170.0</v>
      </c>
      <c r="AU186" s="7">
        <v>100.0</v>
      </c>
      <c r="AV186" s="9"/>
      <c r="AW186" s="7">
        <v>120.0</v>
      </c>
      <c r="AX186" s="7">
        <v>39.5</v>
      </c>
      <c r="AY186" s="7">
        <v>30.0</v>
      </c>
      <c r="AZ186" s="7">
        <v>80.0</v>
      </c>
      <c r="BA186" s="10" t="str">
        <f t="shared" si="5"/>
        <v>да</v>
      </c>
      <c r="BB186" s="7">
        <v>92.0</v>
      </c>
      <c r="BC186" s="18"/>
      <c r="BD186" s="12" t="str">
        <f t="shared" si="6"/>
        <v>#DIV/0!</v>
      </c>
      <c r="BE186" s="12">
        <f t="shared" si="7"/>
        <v>1</v>
      </c>
      <c r="BF186" s="12">
        <f t="shared" si="8"/>
        <v>10</v>
      </c>
      <c r="BG186" s="1" t="s">
        <v>154</v>
      </c>
      <c r="BH186" s="1" t="s">
        <v>150</v>
      </c>
      <c r="BI186" s="1" t="s">
        <v>154</v>
      </c>
      <c r="BJ186" s="1" t="s">
        <v>163</v>
      </c>
      <c r="BK186" s="1" t="s">
        <v>154</v>
      </c>
      <c r="BL186" s="1" t="s">
        <v>189</v>
      </c>
      <c r="BM186" s="1" t="s">
        <v>154</v>
      </c>
      <c r="BN186" s="1" t="s">
        <v>155</v>
      </c>
      <c r="BO186" s="1" t="s">
        <v>150</v>
      </c>
      <c r="BP186" s="9"/>
      <c r="BQ186" s="9"/>
      <c r="BR186" s="1" t="s">
        <v>154</v>
      </c>
      <c r="BS186" s="1" t="s">
        <v>477</v>
      </c>
      <c r="BT186" s="18"/>
      <c r="BU186" s="1" t="s">
        <v>614</v>
      </c>
      <c r="BV186" s="1">
        <v>16.0</v>
      </c>
      <c r="BW186" s="1" t="s">
        <v>154</v>
      </c>
      <c r="BX186" s="1" t="s">
        <v>154</v>
      </c>
      <c r="BY186" s="1" t="s">
        <v>275</v>
      </c>
      <c r="BZ186" s="1" t="s">
        <v>154</v>
      </c>
      <c r="CA186" s="1" t="s">
        <v>154</v>
      </c>
      <c r="CB186" s="1" t="s">
        <v>150</v>
      </c>
      <c r="CC186" s="1" t="s">
        <v>150</v>
      </c>
      <c r="CD186" s="1" t="s">
        <v>154</v>
      </c>
      <c r="CE186" s="1" t="s">
        <v>150</v>
      </c>
      <c r="CF186" s="1" t="s">
        <v>150</v>
      </c>
      <c r="CG186" s="1" t="s">
        <v>150</v>
      </c>
      <c r="CH186" s="1" t="s">
        <v>150</v>
      </c>
      <c r="CI186" s="1" t="s">
        <v>150</v>
      </c>
      <c r="CJ186" s="1" t="s">
        <v>150</v>
      </c>
      <c r="CK186" s="1" t="s">
        <v>150</v>
      </c>
      <c r="CL186" s="1" t="s">
        <v>615</v>
      </c>
      <c r="CM186" s="7">
        <v>4.77</v>
      </c>
      <c r="CN186" s="7">
        <v>79.3</v>
      </c>
      <c r="CO186" s="7">
        <f t="shared" si="23"/>
        <v>3.78261</v>
      </c>
      <c r="CP186" s="7">
        <v>11.3</v>
      </c>
      <c r="CQ186" s="7">
        <f t="shared" si="10"/>
        <v>0.42743493</v>
      </c>
      <c r="CR186" s="7">
        <v>9.4</v>
      </c>
      <c r="CS186" s="7">
        <f t="shared" si="11"/>
        <v>0.04017888342</v>
      </c>
      <c r="CT186" s="7">
        <v>0.0</v>
      </c>
      <c r="CU186" s="7">
        <f t="shared" si="12"/>
        <v>0</v>
      </c>
      <c r="CV186" s="7">
        <f t="shared" si="13"/>
        <v>8.849557522</v>
      </c>
      <c r="CW186" s="7">
        <v>5.07</v>
      </c>
      <c r="CX186" s="7">
        <v>139.0</v>
      </c>
      <c r="CY186" s="7" t="str">
        <f t="shared" si="14"/>
        <v>Норма</v>
      </c>
      <c r="CZ186" s="7" t="s">
        <v>456</v>
      </c>
      <c r="DA186" s="7">
        <v>121.0</v>
      </c>
      <c r="DB186" s="7">
        <v>61.2</v>
      </c>
      <c r="DC186" s="7">
        <v>24.6</v>
      </c>
      <c r="DD186" s="7">
        <v>96.7</v>
      </c>
      <c r="DE186" s="7"/>
      <c r="DF186" s="7">
        <v>1.3</v>
      </c>
      <c r="DG186" s="7"/>
      <c r="DH186" s="7">
        <v>1.3</v>
      </c>
      <c r="DI186" s="7"/>
      <c r="DJ186" s="7">
        <v>0.0</v>
      </c>
      <c r="DK186" s="7"/>
      <c r="DL186" s="7"/>
      <c r="DM186" s="7">
        <v>5.39</v>
      </c>
      <c r="DN186" s="7">
        <v>149.0</v>
      </c>
      <c r="DO186" s="7" t="str">
        <f t="shared" si="15"/>
        <v>Норма</v>
      </c>
      <c r="DP186" s="7" t="s">
        <v>456</v>
      </c>
      <c r="DQ186" s="7">
        <v>145.0</v>
      </c>
      <c r="DR186" s="7">
        <v>35.6</v>
      </c>
      <c r="DS186" s="7">
        <v>630.0</v>
      </c>
      <c r="DT186" s="7">
        <v>32.8</v>
      </c>
      <c r="DU186" s="7">
        <v>13.3</v>
      </c>
      <c r="DV186" s="7">
        <v>1.14</v>
      </c>
      <c r="DW186" s="1" t="s">
        <v>616</v>
      </c>
      <c r="DX186" s="7">
        <v>375.0</v>
      </c>
      <c r="DY186" s="18"/>
      <c r="DZ186" s="7">
        <v>14.0</v>
      </c>
      <c r="EA186" s="7">
        <v>1.2</v>
      </c>
      <c r="EB186" s="7"/>
      <c r="EC186" s="7">
        <v>5.41</v>
      </c>
      <c r="ED186" s="7">
        <v>17.94</v>
      </c>
      <c r="EE186" s="7">
        <v>36.49</v>
      </c>
      <c r="EF186" s="7">
        <v>37.92</v>
      </c>
      <c r="EG186" s="7">
        <v>70.9</v>
      </c>
      <c r="EH186" s="7">
        <v>7.29</v>
      </c>
      <c r="EI186" s="7">
        <v>2.16</v>
      </c>
      <c r="EJ186" s="7">
        <v>184.6</v>
      </c>
      <c r="EK186" s="34">
        <f t="shared" si="16"/>
        <v>26.48210698</v>
      </c>
      <c r="EL186" s="11" t="str">
        <f t="shared" si="17"/>
        <v>C4</v>
      </c>
      <c r="EM186" s="7">
        <v>137.7</v>
      </c>
      <c r="EN186" s="7">
        <v>4.41</v>
      </c>
      <c r="EO186" s="7">
        <v>40.34</v>
      </c>
      <c r="EP186" s="7">
        <v>24.21</v>
      </c>
      <c r="EQ186" s="7">
        <v>54.7</v>
      </c>
      <c r="ER186" s="7">
        <v>26.74</v>
      </c>
      <c r="ES186" s="7">
        <v>5.49</v>
      </c>
      <c r="ET186" s="7">
        <v>159.99</v>
      </c>
      <c r="EU186" s="11">
        <f t="shared" si="18"/>
        <v>31.48316717</v>
      </c>
      <c r="EV186" s="11" t="str">
        <f t="shared" si="19"/>
        <v>C3b</v>
      </c>
      <c r="EW186" s="7">
        <v>141.8</v>
      </c>
      <c r="EX186" s="7">
        <v>4.34</v>
      </c>
      <c r="EY186" s="9">
        <f t="shared" si="20"/>
        <v>-1.355215227</v>
      </c>
      <c r="EZ186" s="9">
        <f t="shared" si="21"/>
        <v>0.7949809462</v>
      </c>
      <c r="FA186" s="9" t="str">
        <f t="shared" si="22"/>
        <v>Неблагоприятный</v>
      </c>
      <c r="FB186" s="1" t="s">
        <v>150</v>
      </c>
      <c r="FC186" s="1" t="s">
        <v>445</v>
      </c>
    </row>
    <row r="187">
      <c r="A187" s="7">
        <v>186.0</v>
      </c>
      <c r="B187" s="38">
        <v>1.0</v>
      </c>
      <c r="C187" s="7">
        <v>9178.0</v>
      </c>
      <c r="D187" s="39" t="s">
        <v>445</v>
      </c>
      <c r="E187" s="1">
        <v>70.0</v>
      </c>
      <c r="F187" s="1" t="s">
        <v>149</v>
      </c>
      <c r="G187" s="1"/>
      <c r="H187" s="1">
        <v>40.0</v>
      </c>
      <c r="I187" s="1" t="s">
        <v>150</v>
      </c>
      <c r="J187" s="1" t="s">
        <v>150</v>
      </c>
      <c r="K187" s="9"/>
      <c r="L187" s="1" t="s">
        <v>150</v>
      </c>
      <c r="M187" s="1" t="s">
        <v>150</v>
      </c>
      <c r="N187" s="9"/>
      <c r="O187" s="1" t="str">
        <f t="shared" si="28"/>
        <v>нет</v>
      </c>
      <c r="P187" s="1" t="s">
        <v>150</v>
      </c>
      <c r="Q187" s="1" t="s">
        <v>154</v>
      </c>
      <c r="R187" s="39">
        <v>3.0</v>
      </c>
      <c r="S187" s="1" t="s">
        <v>150</v>
      </c>
      <c r="T187" s="9"/>
      <c r="U187" s="9"/>
      <c r="V187" s="9"/>
      <c r="W187" s="9"/>
      <c r="X187" s="9"/>
      <c r="Y187" s="1" t="s">
        <v>150</v>
      </c>
      <c r="Z187" s="9"/>
      <c r="AA187" s="9"/>
      <c r="AB187" s="9"/>
      <c r="AC187" s="9"/>
      <c r="AD187" s="1" t="s">
        <v>617</v>
      </c>
      <c r="AE187" s="1" t="s">
        <v>154</v>
      </c>
      <c r="AF187" s="1">
        <v>3.0</v>
      </c>
      <c r="AG187" s="1" t="s">
        <v>618</v>
      </c>
      <c r="AH187" s="1" t="s">
        <v>154</v>
      </c>
      <c r="AI187" s="1" t="s">
        <v>619</v>
      </c>
      <c r="AJ187" s="1">
        <v>1.0</v>
      </c>
      <c r="AK187" s="1" t="s">
        <v>5</v>
      </c>
      <c r="AL187" s="1" t="s">
        <v>150</v>
      </c>
      <c r="AM187" s="1"/>
      <c r="AN187" s="1">
        <v>15.0</v>
      </c>
      <c r="AO187" s="1" t="str">
        <f t="shared" si="2"/>
        <v>нет</v>
      </c>
      <c r="AP187" s="1">
        <v>170.0</v>
      </c>
      <c r="AQ187" s="1">
        <v>90.0</v>
      </c>
      <c r="AR187" s="9">
        <f t="shared" si="3"/>
        <v>31.14186851</v>
      </c>
      <c r="AS187" s="7" t="str">
        <f t="shared" si="4"/>
        <v>Ожирение I степени</v>
      </c>
      <c r="AT187" s="1">
        <v>140.0</v>
      </c>
      <c r="AU187" s="1">
        <v>90.0</v>
      </c>
      <c r="AV187" s="9"/>
      <c r="AW187" s="1">
        <v>83.0</v>
      </c>
      <c r="AX187" s="1">
        <v>38.5</v>
      </c>
      <c r="AY187" s="1">
        <v>14.0</v>
      </c>
      <c r="AZ187" s="1">
        <v>81.0</v>
      </c>
      <c r="BA187" s="10" t="str">
        <f t="shared" si="5"/>
        <v>да</v>
      </c>
      <c r="BB187" s="1">
        <v>94.0</v>
      </c>
      <c r="BC187" s="1">
        <v>95.0</v>
      </c>
      <c r="BD187" s="12">
        <f t="shared" si="6"/>
        <v>0.06090225564</v>
      </c>
      <c r="BE187" s="12">
        <f t="shared" si="7"/>
        <v>0</v>
      </c>
      <c r="BF187" s="12">
        <f t="shared" si="8"/>
        <v>4</v>
      </c>
      <c r="BG187" s="1" t="s">
        <v>154</v>
      </c>
      <c r="BH187" s="1" t="s">
        <v>620</v>
      </c>
      <c r="BI187" s="1" t="s">
        <v>154</v>
      </c>
      <c r="BJ187" s="1" t="s">
        <v>621</v>
      </c>
      <c r="BK187" s="1" t="s">
        <v>154</v>
      </c>
      <c r="BL187" s="1" t="s">
        <v>622</v>
      </c>
      <c r="BM187" s="1" t="s">
        <v>154</v>
      </c>
      <c r="BN187" s="1" t="s">
        <v>623</v>
      </c>
      <c r="BO187" s="1" t="s">
        <v>154</v>
      </c>
      <c r="BP187" s="1" t="s">
        <v>170</v>
      </c>
      <c r="BQ187" s="9"/>
      <c r="BR187" s="1" t="s">
        <v>154</v>
      </c>
      <c r="BS187" s="1" t="s">
        <v>624</v>
      </c>
      <c r="BT187" s="1" t="s">
        <v>625</v>
      </c>
      <c r="BU187" s="1" t="s">
        <v>195</v>
      </c>
      <c r="BV187" s="1">
        <v>24.16</v>
      </c>
      <c r="BW187" s="1" t="s">
        <v>150</v>
      </c>
      <c r="BX187" s="1" t="s">
        <v>154</v>
      </c>
      <c r="BY187" s="1" t="s">
        <v>245</v>
      </c>
      <c r="BZ187" s="1" t="s">
        <v>158</v>
      </c>
      <c r="CA187" s="1" t="s">
        <v>176</v>
      </c>
      <c r="CB187" s="1" t="s">
        <v>150</v>
      </c>
      <c r="CC187" s="1" t="s">
        <v>150</v>
      </c>
      <c r="CD187" s="1" t="s">
        <v>247</v>
      </c>
      <c r="CE187" s="1" t="s">
        <v>150</v>
      </c>
      <c r="CF187" s="1" t="s">
        <v>240</v>
      </c>
      <c r="CG187" s="1" t="s">
        <v>154</v>
      </c>
      <c r="CH187" s="1" t="s">
        <v>150</v>
      </c>
      <c r="CI187" s="1" t="s">
        <v>150</v>
      </c>
      <c r="CJ187" s="1" t="s">
        <v>154</v>
      </c>
      <c r="CK187" s="1" t="s">
        <v>150</v>
      </c>
      <c r="CL187" s="1" t="s">
        <v>626</v>
      </c>
      <c r="CM187" s="1">
        <v>9.1</v>
      </c>
      <c r="CN187" s="1">
        <v>85.4</v>
      </c>
      <c r="CO187" s="7">
        <f t="shared" si="23"/>
        <v>7.7714</v>
      </c>
      <c r="CP187" s="1">
        <v>2.6</v>
      </c>
      <c r="CQ187" s="7">
        <f t="shared" si="10"/>
        <v>0.2020564</v>
      </c>
      <c r="CR187" s="1">
        <v>11.9</v>
      </c>
      <c r="CS187" s="7">
        <f t="shared" si="11"/>
        <v>0.0240447116</v>
      </c>
      <c r="CT187" s="1">
        <v>0.0</v>
      </c>
      <c r="CU187" s="7">
        <f t="shared" si="12"/>
        <v>0</v>
      </c>
      <c r="CV187" s="7">
        <f t="shared" si="13"/>
        <v>38.46153846</v>
      </c>
      <c r="CW187" s="1">
        <v>5.54</v>
      </c>
      <c r="CX187" s="1">
        <v>164.0</v>
      </c>
      <c r="CY187" s="7" t="str">
        <f t="shared" si="14"/>
        <v>Норма</v>
      </c>
      <c r="CZ187" s="1">
        <v>13.0</v>
      </c>
      <c r="DA187" s="1">
        <v>204.0</v>
      </c>
      <c r="DB187" s="1">
        <v>46.9</v>
      </c>
      <c r="DC187" s="1">
        <v>15.8</v>
      </c>
      <c r="DD187" s="1">
        <v>95.2</v>
      </c>
      <c r="DE187" s="1"/>
      <c r="DF187" s="1">
        <v>1.9</v>
      </c>
      <c r="DG187" s="1"/>
      <c r="DH187" s="1">
        <v>2.3</v>
      </c>
      <c r="DI187" s="1"/>
      <c r="DJ187" s="1">
        <v>0.1</v>
      </c>
      <c r="DK187" s="1"/>
      <c r="DL187" s="1"/>
      <c r="DM187" s="1">
        <v>5.69</v>
      </c>
      <c r="DN187" s="1">
        <v>168.0</v>
      </c>
      <c r="DO187" s="7" t="str">
        <f t="shared" si="15"/>
        <v>Норма</v>
      </c>
      <c r="DP187" s="1">
        <v>30.0</v>
      </c>
      <c r="DQ187" s="1">
        <v>152.0</v>
      </c>
      <c r="DR187" s="1">
        <v>99.5</v>
      </c>
      <c r="DS187" s="1">
        <v>613.0</v>
      </c>
      <c r="DT187" s="1">
        <v>29.1</v>
      </c>
      <c r="DU187" s="1">
        <v>15.2</v>
      </c>
      <c r="DV187" s="1">
        <v>1.29</v>
      </c>
      <c r="DW187" s="1" t="s">
        <v>458</v>
      </c>
      <c r="DX187" s="1">
        <v>1020.0</v>
      </c>
      <c r="DY187" s="1">
        <v>21.9</v>
      </c>
      <c r="DZ187" s="1">
        <v>27.1</v>
      </c>
      <c r="EA187" s="1">
        <v>2.32</v>
      </c>
      <c r="EB187" s="1"/>
      <c r="EC187" s="1">
        <v>5.94</v>
      </c>
      <c r="ED187" s="1">
        <v>4.95</v>
      </c>
      <c r="EE187" s="1">
        <v>27.92</v>
      </c>
      <c r="EF187" s="1">
        <v>49.35</v>
      </c>
      <c r="EG187" s="1">
        <v>71.2</v>
      </c>
      <c r="EH187" s="1">
        <v>9.1</v>
      </c>
      <c r="EI187" s="1">
        <v>2.38</v>
      </c>
      <c r="EJ187" s="1">
        <v>132.99</v>
      </c>
      <c r="EK187" s="34">
        <f t="shared" si="16"/>
        <v>34.93548102</v>
      </c>
      <c r="EL187" s="11" t="str">
        <f t="shared" si="17"/>
        <v>C3b</v>
      </c>
      <c r="EM187" s="1">
        <v>136.5</v>
      </c>
      <c r="EN187" s="1">
        <v>4.78</v>
      </c>
      <c r="EO187" s="1">
        <v>110.9</v>
      </c>
      <c r="EP187" s="1">
        <v>53.7</v>
      </c>
      <c r="EQ187" s="1">
        <v>57.3</v>
      </c>
      <c r="ER187" s="1">
        <v>22.0</v>
      </c>
      <c r="ES187" s="1">
        <v>11.9</v>
      </c>
      <c r="ET187" s="1">
        <v>74.0</v>
      </c>
      <c r="EU187" s="11">
        <f t="shared" si="18"/>
        <v>70.96802713</v>
      </c>
      <c r="EV187" s="11" t="str">
        <f t="shared" si="19"/>
        <v>C2</v>
      </c>
      <c r="EW187" s="1">
        <v>125.0</v>
      </c>
      <c r="EX187" s="1">
        <v>4.23</v>
      </c>
      <c r="EY187" s="9">
        <f t="shared" si="20"/>
        <v>-0.09334655017</v>
      </c>
      <c r="EZ187" s="9">
        <f t="shared" si="21"/>
        <v>0.5233197068</v>
      </c>
      <c r="FA187" s="9" t="str">
        <f t="shared" si="22"/>
        <v>Неблагоприятный</v>
      </c>
      <c r="FB187" s="1" t="s">
        <v>150</v>
      </c>
      <c r="FC187" s="39" t="s">
        <v>445</v>
      </c>
    </row>
    <row r="188">
      <c r="A188" s="7">
        <v>187.0</v>
      </c>
      <c r="B188" s="38">
        <v>2.0</v>
      </c>
      <c r="C188" s="7">
        <v>9419.0</v>
      </c>
      <c r="D188" s="39" t="s">
        <v>445</v>
      </c>
      <c r="E188" s="1">
        <v>57.0</v>
      </c>
      <c r="F188" s="1" t="s">
        <v>161</v>
      </c>
      <c r="G188" s="1" t="s">
        <v>150</v>
      </c>
      <c r="H188" s="1">
        <v>24.0</v>
      </c>
      <c r="I188" s="1" t="s">
        <v>150</v>
      </c>
      <c r="J188" s="1" t="s">
        <v>154</v>
      </c>
      <c r="K188" s="1" t="s">
        <v>627</v>
      </c>
      <c r="L188" s="1" t="s">
        <v>154</v>
      </c>
      <c r="M188" s="1" t="s">
        <v>154</v>
      </c>
      <c r="N188" s="1" t="s">
        <v>628</v>
      </c>
      <c r="O188" s="1" t="str">
        <f t="shared" si="28"/>
        <v>нет</v>
      </c>
      <c r="P188" s="1" t="s">
        <v>154</v>
      </c>
      <c r="Q188" s="1" t="s">
        <v>154</v>
      </c>
      <c r="R188" s="1">
        <v>2.0</v>
      </c>
      <c r="S188" s="1" t="s">
        <v>150</v>
      </c>
      <c r="T188" s="9"/>
      <c r="U188" s="9"/>
      <c r="V188" s="9"/>
      <c r="W188" s="9"/>
      <c r="X188" s="9"/>
      <c r="Y188" s="1" t="s">
        <v>150</v>
      </c>
      <c r="Z188" s="9"/>
      <c r="AA188" s="9"/>
      <c r="AB188" s="9"/>
      <c r="AC188" s="9"/>
      <c r="AD188" s="1"/>
      <c r="AE188" s="1" t="s">
        <v>154</v>
      </c>
      <c r="AF188" s="1">
        <v>2.0</v>
      </c>
      <c r="AG188" s="1" t="s">
        <v>629</v>
      </c>
      <c r="AH188" s="1" t="s">
        <v>154</v>
      </c>
      <c r="AI188" s="1" t="s">
        <v>630</v>
      </c>
      <c r="AJ188" s="1">
        <v>3.0</v>
      </c>
      <c r="AK188" s="1" t="s">
        <v>5</v>
      </c>
      <c r="AL188" s="1" t="s">
        <v>150</v>
      </c>
      <c r="AM188" s="1"/>
      <c r="AN188" s="1">
        <v>15.0</v>
      </c>
      <c r="AO188" s="1" t="str">
        <f t="shared" si="2"/>
        <v>нет</v>
      </c>
      <c r="AP188" s="1">
        <v>164.0</v>
      </c>
      <c r="AQ188" s="1">
        <v>86.0</v>
      </c>
      <c r="AR188" s="9">
        <f t="shared" si="3"/>
        <v>31.97501487</v>
      </c>
      <c r="AS188" s="7" t="str">
        <f t="shared" si="4"/>
        <v>Ожирение I степени</v>
      </c>
      <c r="AT188" s="1">
        <v>140.0</v>
      </c>
      <c r="AU188" s="1">
        <v>90.0</v>
      </c>
      <c r="AV188" s="9"/>
      <c r="AW188" s="1">
        <v>81.0</v>
      </c>
      <c r="AX188" s="1">
        <v>38.5</v>
      </c>
      <c r="AY188" s="1">
        <v>26.0</v>
      </c>
      <c r="AZ188" s="1">
        <v>86.0</v>
      </c>
      <c r="BA188" s="10" t="str">
        <f t="shared" si="5"/>
        <v>да</v>
      </c>
      <c r="BB188" s="1">
        <v>94.0</v>
      </c>
      <c r="BC188" s="1">
        <v>60.0</v>
      </c>
      <c r="BD188" s="12">
        <f t="shared" si="6"/>
        <v>0.05512820513</v>
      </c>
      <c r="BE188" s="12">
        <f t="shared" si="7"/>
        <v>1</v>
      </c>
      <c r="BF188" s="12">
        <f t="shared" si="8"/>
        <v>7</v>
      </c>
      <c r="BG188" s="1" t="s">
        <v>154</v>
      </c>
      <c r="BH188" s="1" t="s">
        <v>237</v>
      </c>
      <c r="BI188" s="1" t="s">
        <v>154</v>
      </c>
      <c r="BJ188" s="1" t="s">
        <v>631</v>
      </c>
      <c r="BK188" s="1" t="s">
        <v>150</v>
      </c>
      <c r="BL188" s="9"/>
      <c r="BM188" s="1" t="s">
        <v>154</v>
      </c>
      <c r="BN188" s="1" t="s">
        <v>557</v>
      </c>
      <c r="BO188" s="1" t="s">
        <v>154</v>
      </c>
      <c r="BP188" s="1" t="s">
        <v>170</v>
      </c>
      <c r="BQ188" s="9"/>
      <c r="BR188" s="1" t="s">
        <v>154</v>
      </c>
      <c r="BS188" s="1" t="s">
        <v>202</v>
      </c>
      <c r="BT188" s="1" t="s">
        <v>632</v>
      </c>
      <c r="BU188" s="1" t="s">
        <v>170</v>
      </c>
      <c r="BV188" s="1">
        <v>24.0</v>
      </c>
      <c r="BW188" s="1" t="s">
        <v>154</v>
      </c>
      <c r="BX188" s="1" t="s">
        <v>154</v>
      </c>
      <c r="BY188" s="1" t="s">
        <v>258</v>
      </c>
      <c r="BZ188" s="1" t="s">
        <v>158</v>
      </c>
      <c r="CA188" s="1" t="s">
        <v>150</v>
      </c>
      <c r="CB188" s="1" t="s">
        <v>150</v>
      </c>
      <c r="CC188" s="1" t="s">
        <v>150</v>
      </c>
      <c r="CD188" s="1" t="s">
        <v>150</v>
      </c>
      <c r="CE188" s="1" t="s">
        <v>177</v>
      </c>
      <c r="CF188" s="1" t="s">
        <v>150</v>
      </c>
      <c r="CG188" s="1" t="s">
        <v>150</v>
      </c>
      <c r="CH188" s="1" t="s">
        <v>150</v>
      </c>
      <c r="CI188" s="1" t="s">
        <v>150</v>
      </c>
      <c r="CJ188" s="1" t="s">
        <v>154</v>
      </c>
      <c r="CK188" s="1" t="s">
        <v>150</v>
      </c>
      <c r="CL188" s="1" t="s">
        <v>633</v>
      </c>
      <c r="CM188" s="1">
        <v>7.5</v>
      </c>
      <c r="CN188" s="1">
        <v>74.9</v>
      </c>
      <c r="CO188" s="7">
        <f t="shared" si="23"/>
        <v>5.6175</v>
      </c>
      <c r="CP188" s="1">
        <v>11.8</v>
      </c>
      <c r="CQ188" s="7">
        <f t="shared" si="10"/>
        <v>0.662865</v>
      </c>
      <c r="CR188" s="1">
        <v>13.2</v>
      </c>
      <c r="CS188" s="7">
        <f t="shared" si="11"/>
        <v>0.08749818</v>
      </c>
      <c r="CT188" s="1">
        <v>0.0</v>
      </c>
      <c r="CU188" s="7">
        <f t="shared" si="12"/>
        <v>0</v>
      </c>
      <c r="CV188" s="7">
        <f t="shared" si="13"/>
        <v>8.474576271</v>
      </c>
      <c r="CW188" s="1">
        <v>4.63</v>
      </c>
      <c r="CX188" s="1">
        <v>136.0</v>
      </c>
      <c r="CY188" s="7" t="str">
        <f t="shared" si="14"/>
        <v>Норма</v>
      </c>
      <c r="CZ188" s="1">
        <v>53.0</v>
      </c>
      <c r="DA188" s="1">
        <v>195.0</v>
      </c>
      <c r="DB188" s="1">
        <v>29.7</v>
      </c>
      <c r="DC188" s="1">
        <v>14.9</v>
      </c>
      <c r="DD188" s="1">
        <v>95.4</v>
      </c>
      <c r="DE188" s="1"/>
      <c r="DF188" s="1">
        <v>2.4</v>
      </c>
      <c r="DG188" s="1"/>
      <c r="DH188" s="1">
        <v>2.0</v>
      </c>
      <c r="DI188" s="1"/>
      <c r="DJ188" s="1">
        <v>0.1</v>
      </c>
      <c r="DK188" s="1"/>
      <c r="DL188" s="1"/>
      <c r="DM188" s="1">
        <v>3.61</v>
      </c>
      <c r="DN188" s="1">
        <v>106.0</v>
      </c>
      <c r="DO188" s="7" t="str">
        <f t="shared" si="15"/>
        <v>Средняя степень</v>
      </c>
      <c r="DP188" s="1">
        <v>48.0</v>
      </c>
      <c r="DQ188" s="1">
        <v>52.0</v>
      </c>
      <c r="DR188" s="1">
        <v>109.8</v>
      </c>
      <c r="DS188" s="1">
        <v>541.0</v>
      </c>
      <c r="DT188" s="1">
        <v>615.7</v>
      </c>
      <c r="DU188" s="40">
        <v>45788.0</v>
      </c>
      <c r="DV188" s="1">
        <v>0.98</v>
      </c>
      <c r="DW188" s="1" t="s">
        <v>473</v>
      </c>
      <c r="DX188" s="6"/>
      <c r="DY188" s="1">
        <v>19.9</v>
      </c>
      <c r="DZ188" s="1">
        <v>11.0</v>
      </c>
      <c r="EA188" s="1">
        <v>0.94</v>
      </c>
      <c r="EB188" s="1"/>
      <c r="EC188" s="1">
        <v>15.82</v>
      </c>
      <c r="ED188" s="1">
        <v>19.04</v>
      </c>
      <c r="EE188" s="1">
        <v>17.3</v>
      </c>
      <c r="EF188" s="1">
        <v>27.02</v>
      </c>
      <c r="EG188" s="1">
        <v>74.2</v>
      </c>
      <c r="EH188" s="1">
        <v>11.48</v>
      </c>
      <c r="EI188" s="1">
        <v>2.14</v>
      </c>
      <c r="EJ188" s="1">
        <v>74.8</v>
      </c>
      <c r="EK188" s="34">
        <f t="shared" si="16"/>
        <v>76.74968809</v>
      </c>
      <c r="EL188" s="11" t="str">
        <f t="shared" si="17"/>
        <v>C2</v>
      </c>
      <c r="EM188" s="1">
        <v>133.8</v>
      </c>
      <c r="EN188" s="1">
        <v>4.5</v>
      </c>
      <c r="EO188" s="1">
        <v>7.9</v>
      </c>
      <c r="EP188" s="1">
        <v>11.9</v>
      </c>
      <c r="EQ188" s="1">
        <v>56.5</v>
      </c>
      <c r="ER188" s="1">
        <v>7.4</v>
      </c>
      <c r="ES188" s="1">
        <v>4.5</v>
      </c>
      <c r="ET188" s="1">
        <v>347.0</v>
      </c>
      <c r="EU188" s="11">
        <f t="shared" si="18"/>
        <v>12.00508712</v>
      </c>
      <c r="EV188" s="11" t="str">
        <f t="shared" si="19"/>
        <v>C5</v>
      </c>
      <c r="EW188" s="1">
        <v>159.7</v>
      </c>
      <c r="EX188" s="1">
        <v>5.77</v>
      </c>
      <c r="EY188" s="9">
        <f t="shared" si="20"/>
        <v>-0.04877024747</v>
      </c>
      <c r="EZ188" s="9">
        <f t="shared" si="21"/>
        <v>0.5121901457</v>
      </c>
      <c r="FA188" s="9" t="str">
        <f t="shared" si="22"/>
        <v>Благоприятный</v>
      </c>
      <c r="FB188" s="1" t="s">
        <v>256</v>
      </c>
      <c r="FC188" s="39" t="s">
        <v>445</v>
      </c>
    </row>
    <row r="189">
      <c r="A189" s="7">
        <v>188.0</v>
      </c>
      <c r="B189" s="38">
        <v>3.0</v>
      </c>
      <c r="C189" s="7">
        <v>9478.0</v>
      </c>
      <c r="D189" s="39" t="s">
        <v>445</v>
      </c>
      <c r="E189" s="1">
        <v>50.0</v>
      </c>
      <c r="F189" s="1" t="s">
        <v>149</v>
      </c>
      <c r="G189" s="1"/>
      <c r="H189" s="1">
        <v>18.0</v>
      </c>
      <c r="I189" s="1" t="s">
        <v>150</v>
      </c>
      <c r="J189" s="1" t="s">
        <v>150</v>
      </c>
      <c r="K189" s="9"/>
      <c r="L189" s="1" t="s">
        <v>154</v>
      </c>
      <c r="M189" s="1" t="s">
        <v>154</v>
      </c>
      <c r="N189" s="1" t="s">
        <v>628</v>
      </c>
      <c r="O189" s="1" t="s">
        <v>154</v>
      </c>
      <c r="P189" s="1" t="s">
        <v>154</v>
      </c>
      <c r="Q189" s="1" t="s">
        <v>154</v>
      </c>
      <c r="R189" s="1">
        <v>2.0</v>
      </c>
      <c r="S189" s="1" t="s">
        <v>150</v>
      </c>
      <c r="T189" s="9"/>
      <c r="U189" s="9"/>
      <c r="V189" s="9"/>
      <c r="W189" s="9"/>
      <c r="X189" s="9"/>
      <c r="Y189" s="1" t="s">
        <v>150</v>
      </c>
      <c r="Z189" s="9"/>
      <c r="AA189" s="9"/>
      <c r="AB189" s="9"/>
      <c r="AC189" s="9"/>
      <c r="AD189" s="1" t="s">
        <v>634</v>
      </c>
      <c r="AE189" s="1" t="s">
        <v>154</v>
      </c>
      <c r="AF189" s="1">
        <v>1.0</v>
      </c>
      <c r="AG189" s="1" t="s">
        <v>635</v>
      </c>
      <c r="AH189" s="1" t="s">
        <v>154</v>
      </c>
      <c r="AI189" s="1" t="s">
        <v>630</v>
      </c>
      <c r="AJ189" s="1">
        <v>3.0</v>
      </c>
      <c r="AK189" s="1" t="s">
        <v>5</v>
      </c>
      <c r="AL189" s="1" t="s">
        <v>150</v>
      </c>
      <c r="AM189" s="1"/>
      <c r="AN189" s="1">
        <v>15.0</v>
      </c>
      <c r="AO189" s="1" t="str">
        <f t="shared" si="2"/>
        <v>нет</v>
      </c>
      <c r="AP189" s="1">
        <v>176.0</v>
      </c>
      <c r="AQ189" s="1">
        <v>100.0</v>
      </c>
      <c r="AR189" s="9">
        <f t="shared" si="3"/>
        <v>32.28305785</v>
      </c>
      <c r="AS189" s="7" t="str">
        <f t="shared" si="4"/>
        <v>Ожирение I степени</v>
      </c>
      <c r="AT189" s="1">
        <v>177.0</v>
      </c>
      <c r="AU189" s="1">
        <v>93.0</v>
      </c>
      <c r="AV189" s="9"/>
      <c r="AW189" s="1">
        <v>104.0</v>
      </c>
      <c r="AX189" s="1">
        <v>39.0</v>
      </c>
      <c r="AY189" s="1">
        <v>20.0</v>
      </c>
      <c r="AZ189" s="1">
        <v>56.0</v>
      </c>
      <c r="BA189" s="10" t="str">
        <f t="shared" si="5"/>
        <v>да</v>
      </c>
      <c r="BB189" s="1">
        <v>92.0</v>
      </c>
      <c r="BC189" s="1">
        <v>60.0</v>
      </c>
      <c r="BD189" s="12">
        <f t="shared" si="6"/>
        <v>0.04666666667</v>
      </c>
      <c r="BE189" s="12">
        <f t="shared" si="7"/>
        <v>0</v>
      </c>
      <c r="BF189" s="12">
        <f t="shared" si="8"/>
        <v>5</v>
      </c>
      <c r="BG189" s="1" t="s">
        <v>154</v>
      </c>
      <c r="BH189" s="1" t="s">
        <v>163</v>
      </c>
      <c r="BI189" s="1" t="s">
        <v>154</v>
      </c>
      <c r="BJ189" s="1" t="s">
        <v>175</v>
      </c>
      <c r="BK189" s="1" t="s">
        <v>150</v>
      </c>
      <c r="BL189" s="9"/>
      <c r="BM189" s="1" t="s">
        <v>154</v>
      </c>
      <c r="BN189" s="1" t="s">
        <v>155</v>
      </c>
      <c r="BO189" s="1" t="s">
        <v>154</v>
      </c>
      <c r="BP189" s="1" t="s">
        <v>303</v>
      </c>
      <c r="BQ189" s="9"/>
      <c r="BR189" s="1" t="s">
        <v>154</v>
      </c>
      <c r="BS189" s="1" t="s">
        <v>636</v>
      </c>
      <c r="BT189" s="1" t="s">
        <v>637</v>
      </c>
      <c r="BU189" s="1" t="s">
        <v>195</v>
      </c>
      <c r="BV189" s="1" t="s">
        <v>638</v>
      </c>
      <c r="BW189" s="1" t="s">
        <v>154</v>
      </c>
      <c r="BX189" s="39" t="s">
        <v>154</v>
      </c>
      <c r="BY189" s="1" t="s">
        <v>275</v>
      </c>
      <c r="BZ189" s="1" t="s">
        <v>150</v>
      </c>
      <c r="CA189" s="1" t="s">
        <v>150</v>
      </c>
      <c r="CB189" s="1" t="s">
        <v>150</v>
      </c>
      <c r="CC189" s="1" t="s">
        <v>150</v>
      </c>
      <c r="CD189" s="1" t="s">
        <v>150</v>
      </c>
      <c r="CE189" s="1" t="s">
        <v>177</v>
      </c>
      <c r="CF189" s="1" t="s">
        <v>240</v>
      </c>
      <c r="CG189" s="1" t="s">
        <v>154</v>
      </c>
      <c r="CH189" s="1" t="s">
        <v>150</v>
      </c>
      <c r="CI189" s="1" t="s">
        <v>150</v>
      </c>
      <c r="CJ189" s="1" t="s">
        <v>150</v>
      </c>
      <c r="CK189" s="1" t="s">
        <v>150</v>
      </c>
      <c r="CL189" s="1" t="s">
        <v>639</v>
      </c>
      <c r="CM189" s="1">
        <v>3.4</v>
      </c>
      <c r="CN189" s="1">
        <v>89.2</v>
      </c>
      <c r="CO189" s="7">
        <f t="shared" si="23"/>
        <v>3.0328</v>
      </c>
      <c r="CP189" s="1">
        <v>7.6</v>
      </c>
      <c r="CQ189" s="7">
        <f t="shared" si="10"/>
        <v>0.2304928</v>
      </c>
      <c r="CR189" s="1">
        <v>2.7</v>
      </c>
      <c r="CS189" s="7">
        <f t="shared" si="11"/>
        <v>0.0062233056</v>
      </c>
      <c r="CT189" s="1">
        <v>0.0</v>
      </c>
      <c r="CU189" s="7">
        <f t="shared" si="12"/>
        <v>0</v>
      </c>
      <c r="CV189" s="7">
        <f t="shared" si="13"/>
        <v>13.15789474</v>
      </c>
      <c r="CW189" s="1">
        <v>4.92</v>
      </c>
      <c r="CX189" s="1">
        <v>133.0</v>
      </c>
      <c r="CY189" s="7" t="str">
        <f t="shared" si="14"/>
        <v>Норма</v>
      </c>
      <c r="CZ189" s="1">
        <v>26.0</v>
      </c>
      <c r="DA189" s="1">
        <v>173.0</v>
      </c>
      <c r="DB189" s="1">
        <v>176.5</v>
      </c>
      <c r="DC189" s="1">
        <v>14.1</v>
      </c>
      <c r="DD189" s="1">
        <v>88.2</v>
      </c>
      <c r="DE189" s="1"/>
      <c r="DF189" s="1">
        <v>4.3</v>
      </c>
      <c r="DG189" s="1"/>
      <c r="DH189" s="1">
        <v>6.7</v>
      </c>
      <c r="DI189" s="1"/>
      <c r="DJ189" s="1">
        <v>0.5</v>
      </c>
      <c r="DK189" s="1"/>
      <c r="DL189" s="1"/>
      <c r="DM189" s="1">
        <v>5.5</v>
      </c>
      <c r="DN189" s="1">
        <v>141.0</v>
      </c>
      <c r="DO189" s="7" t="str">
        <f t="shared" si="15"/>
        <v>Норма</v>
      </c>
      <c r="DP189" s="6" t="s">
        <v>640</v>
      </c>
      <c r="DQ189" s="1">
        <v>369.0</v>
      </c>
      <c r="DR189" s="1">
        <v>13.0</v>
      </c>
      <c r="DS189" s="1">
        <v>462.7</v>
      </c>
      <c r="DT189" s="1">
        <v>26.2</v>
      </c>
      <c r="DU189" s="6" t="s">
        <v>640</v>
      </c>
      <c r="DV189" s="1">
        <v>0.99</v>
      </c>
      <c r="DW189" s="6" t="s">
        <v>640</v>
      </c>
      <c r="DX189" s="1">
        <v>490.0</v>
      </c>
      <c r="DY189" s="6" t="s">
        <v>640</v>
      </c>
      <c r="DZ189" s="6" t="s">
        <v>640</v>
      </c>
      <c r="EA189" s="1">
        <v>0.9</v>
      </c>
      <c r="EB189" s="1"/>
      <c r="EC189" s="1">
        <v>23.46</v>
      </c>
      <c r="ED189" s="1">
        <v>12.389</v>
      </c>
      <c r="EE189" s="1">
        <v>57.3</v>
      </c>
      <c r="EF189" s="1">
        <v>244.4</v>
      </c>
      <c r="EG189" s="1">
        <v>61.7</v>
      </c>
      <c r="EH189" s="1">
        <v>9.2</v>
      </c>
      <c r="EI189" s="1">
        <v>4.1</v>
      </c>
      <c r="EJ189" s="1">
        <v>207.0</v>
      </c>
      <c r="EK189" s="34">
        <f t="shared" si="16"/>
        <v>23.5489075</v>
      </c>
      <c r="EL189" s="11" t="str">
        <f t="shared" si="17"/>
        <v>C4</v>
      </c>
      <c r="EM189" s="1">
        <v>120.3</v>
      </c>
      <c r="EN189" s="1">
        <v>5.03</v>
      </c>
      <c r="EO189" s="1">
        <v>28.1</v>
      </c>
      <c r="EP189" s="1">
        <v>15.2</v>
      </c>
      <c r="EQ189" s="1">
        <v>61.0</v>
      </c>
      <c r="ER189" s="1">
        <v>11.0</v>
      </c>
      <c r="ES189" s="1">
        <v>3.8</v>
      </c>
      <c r="ET189" s="1">
        <v>136.0</v>
      </c>
      <c r="EU189" s="11">
        <f t="shared" si="18"/>
        <v>39.13184921</v>
      </c>
      <c r="EV189" s="11" t="str">
        <f t="shared" si="19"/>
        <v>C3b</v>
      </c>
      <c r="EW189" s="6" t="s">
        <v>640</v>
      </c>
      <c r="EX189" s="6" t="s">
        <v>640</v>
      </c>
      <c r="EY189" s="9">
        <f t="shared" si="20"/>
        <v>-5.846759298</v>
      </c>
      <c r="EZ189" s="9">
        <f t="shared" si="21"/>
        <v>0.9971190765</v>
      </c>
      <c r="FA189" s="9" t="str">
        <f t="shared" si="22"/>
        <v>Неблагоприятный</v>
      </c>
      <c r="FB189" s="1" t="s">
        <v>150</v>
      </c>
      <c r="FC189" s="39" t="s">
        <v>445</v>
      </c>
    </row>
    <row r="190">
      <c r="A190" s="7">
        <v>189.0</v>
      </c>
      <c r="B190" s="38">
        <v>4.0</v>
      </c>
      <c r="C190" s="7">
        <v>9399.0</v>
      </c>
      <c r="D190" s="39" t="s">
        <v>445</v>
      </c>
      <c r="E190" s="1">
        <v>71.0</v>
      </c>
      <c r="F190" s="1" t="s">
        <v>161</v>
      </c>
      <c r="G190" s="1" t="s">
        <v>150</v>
      </c>
      <c r="H190" s="1">
        <v>10.0</v>
      </c>
      <c r="I190" s="1" t="s">
        <v>150</v>
      </c>
      <c r="J190" s="1" t="s">
        <v>150</v>
      </c>
      <c r="K190" s="9"/>
      <c r="L190" s="1" t="s">
        <v>154</v>
      </c>
      <c r="M190" s="1" t="s">
        <v>154</v>
      </c>
      <c r="N190" s="1" t="s">
        <v>628</v>
      </c>
      <c r="O190" s="1" t="s">
        <v>154</v>
      </c>
      <c r="P190" s="1" t="s">
        <v>150</v>
      </c>
      <c r="Q190" s="1" t="s">
        <v>154</v>
      </c>
      <c r="R190" s="1">
        <v>3.0</v>
      </c>
      <c r="S190" s="1" t="s">
        <v>150</v>
      </c>
      <c r="T190" s="9"/>
      <c r="U190" s="9"/>
      <c r="V190" s="9"/>
      <c r="W190" s="9"/>
      <c r="X190" s="9"/>
      <c r="Y190" s="1" t="s">
        <v>150</v>
      </c>
      <c r="Z190" s="9"/>
      <c r="AA190" s="9"/>
      <c r="AB190" s="9"/>
      <c r="AC190" s="9"/>
      <c r="AD190" s="1"/>
      <c r="AE190" s="1" t="s">
        <v>154</v>
      </c>
      <c r="AF190" s="1">
        <v>9.0</v>
      </c>
      <c r="AG190" s="1" t="s">
        <v>635</v>
      </c>
      <c r="AH190" s="1" t="s">
        <v>154</v>
      </c>
      <c r="AI190" s="1" t="s">
        <v>619</v>
      </c>
      <c r="AJ190" s="1">
        <v>4.0</v>
      </c>
      <c r="AK190" s="1" t="s">
        <v>641</v>
      </c>
      <c r="AL190" s="1" t="s">
        <v>150</v>
      </c>
      <c r="AM190" s="1"/>
      <c r="AN190" s="1">
        <v>15.0</v>
      </c>
      <c r="AO190" s="1" t="str">
        <f t="shared" si="2"/>
        <v>нет</v>
      </c>
      <c r="AP190" s="1">
        <v>158.0</v>
      </c>
      <c r="AQ190" s="1">
        <v>80.0</v>
      </c>
      <c r="AR190" s="9">
        <f t="shared" si="3"/>
        <v>32.04614645</v>
      </c>
      <c r="AS190" s="7" t="str">
        <f t="shared" si="4"/>
        <v>Ожирение I степени</v>
      </c>
      <c r="AT190" s="1">
        <v>120.0</v>
      </c>
      <c r="AU190" s="1">
        <v>80.0</v>
      </c>
      <c r="AV190" s="9"/>
      <c r="AW190" s="1">
        <v>95.0</v>
      </c>
      <c r="AX190" s="1">
        <v>40.0</v>
      </c>
      <c r="AY190" s="1">
        <v>30.0</v>
      </c>
      <c r="AZ190" s="1">
        <v>50.0</v>
      </c>
      <c r="BA190" s="10" t="str">
        <f t="shared" si="5"/>
        <v>да</v>
      </c>
      <c r="BB190" s="1">
        <v>90.0</v>
      </c>
      <c r="BC190" s="1">
        <v>60.0</v>
      </c>
      <c r="BD190" s="12">
        <f t="shared" si="6"/>
        <v>0.02777777778</v>
      </c>
      <c r="BE190" s="12">
        <f t="shared" si="7"/>
        <v>1</v>
      </c>
      <c r="BF190" s="12">
        <f t="shared" si="8"/>
        <v>9</v>
      </c>
      <c r="BG190" s="1" t="s">
        <v>154</v>
      </c>
      <c r="BH190" s="1" t="s">
        <v>198</v>
      </c>
      <c r="BI190" s="1" t="s">
        <v>154</v>
      </c>
      <c r="BJ190" s="1" t="s">
        <v>642</v>
      </c>
      <c r="BK190" s="1" t="s">
        <v>150</v>
      </c>
      <c r="BL190" s="9"/>
      <c r="BM190" s="1" t="s">
        <v>154</v>
      </c>
      <c r="BN190" s="1" t="s">
        <v>495</v>
      </c>
      <c r="BO190" s="1" t="s">
        <v>150</v>
      </c>
      <c r="BP190" s="9"/>
      <c r="BQ190" s="9"/>
      <c r="BR190" s="1" t="s">
        <v>154</v>
      </c>
      <c r="BS190" s="1" t="s">
        <v>170</v>
      </c>
      <c r="BT190" s="1">
        <v>32.0</v>
      </c>
      <c r="BU190" s="1" t="s">
        <v>170</v>
      </c>
      <c r="BV190" s="1">
        <v>24.0</v>
      </c>
      <c r="BW190" s="1" t="s">
        <v>154</v>
      </c>
      <c r="BX190" s="1" t="s">
        <v>154</v>
      </c>
      <c r="BY190" s="1" t="s">
        <v>258</v>
      </c>
      <c r="BZ190" s="1" t="s">
        <v>158</v>
      </c>
      <c r="CA190" s="1" t="s">
        <v>150</v>
      </c>
      <c r="CB190" s="1" t="s">
        <v>150</v>
      </c>
      <c r="CC190" s="1" t="s">
        <v>150</v>
      </c>
      <c r="CD190" s="1" t="s">
        <v>150</v>
      </c>
      <c r="CE190" s="1" t="s">
        <v>150</v>
      </c>
      <c r="CF190" s="1" t="s">
        <v>150</v>
      </c>
      <c r="CG190" s="1" t="s">
        <v>150</v>
      </c>
      <c r="CH190" s="1" t="s">
        <v>150</v>
      </c>
      <c r="CI190" s="1" t="s">
        <v>150</v>
      </c>
      <c r="CJ190" s="1" t="s">
        <v>154</v>
      </c>
      <c r="CK190" s="1" t="s">
        <v>150</v>
      </c>
      <c r="CL190" s="1" t="s">
        <v>643</v>
      </c>
      <c r="CM190" s="1">
        <v>25.6</v>
      </c>
      <c r="CN190" s="1">
        <v>93.2</v>
      </c>
      <c r="CO190" s="7">
        <f t="shared" si="23"/>
        <v>23.8592</v>
      </c>
      <c r="CP190" s="1">
        <v>3.1</v>
      </c>
      <c r="CQ190" s="7">
        <f t="shared" si="10"/>
        <v>0.7396352</v>
      </c>
      <c r="CR190" s="1">
        <v>3.6</v>
      </c>
      <c r="CS190" s="7">
        <f t="shared" si="11"/>
        <v>0.0266268672</v>
      </c>
      <c r="CT190" s="1">
        <v>0.1</v>
      </c>
      <c r="CU190" s="7">
        <f t="shared" si="12"/>
        <v>0.0000266268672</v>
      </c>
      <c r="CV190" s="7">
        <f t="shared" si="13"/>
        <v>32.25806452</v>
      </c>
      <c r="CW190" s="1">
        <v>4.52</v>
      </c>
      <c r="CX190" s="1">
        <v>118.0</v>
      </c>
      <c r="CY190" s="7" t="str">
        <f t="shared" si="14"/>
        <v>Легкая степень</v>
      </c>
      <c r="CZ190" s="1">
        <v>7.0</v>
      </c>
      <c r="DA190" s="1">
        <v>5.0</v>
      </c>
      <c r="DB190" s="1">
        <v>118.4</v>
      </c>
      <c r="DC190" s="1">
        <v>28.01</v>
      </c>
      <c r="DD190" s="1">
        <v>91.6</v>
      </c>
      <c r="DE190" s="1"/>
      <c r="DF190" s="1">
        <v>3.6</v>
      </c>
      <c r="DG190" s="1"/>
      <c r="DH190" s="40">
        <v>45751.0</v>
      </c>
      <c r="DI190" s="1"/>
      <c r="DJ190" s="1">
        <v>0.0</v>
      </c>
      <c r="DK190" s="1"/>
      <c r="DL190" s="1"/>
      <c r="DM190" s="1">
        <v>4.41</v>
      </c>
      <c r="DN190" s="1">
        <v>115.0</v>
      </c>
      <c r="DO190" s="7" t="str">
        <f t="shared" si="15"/>
        <v>Легкая степень</v>
      </c>
      <c r="DP190" s="1">
        <v>5.0</v>
      </c>
      <c r="DQ190" s="1">
        <v>61.0</v>
      </c>
      <c r="DR190" s="1">
        <v>132.0</v>
      </c>
      <c r="DS190" s="1">
        <v>160.4</v>
      </c>
      <c r="DT190" s="1">
        <v>22.9</v>
      </c>
      <c r="DU190" s="1">
        <v>13.0</v>
      </c>
      <c r="DV190" s="1">
        <v>1.11</v>
      </c>
      <c r="DW190" s="1" t="s">
        <v>458</v>
      </c>
      <c r="DX190" s="1">
        <v>75.0</v>
      </c>
      <c r="DY190" s="1">
        <v>34.3</v>
      </c>
      <c r="DZ190" s="1">
        <v>19.3</v>
      </c>
      <c r="EA190" s="1">
        <v>1.93</v>
      </c>
      <c r="EB190" s="1"/>
      <c r="EC190" s="1">
        <v>6.26</v>
      </c>
      <c r="ED190" s="1">
        <v>19.96</v>
      </c>
      <c r="EE190" s="1">
        <v>24.7</v>
      </c>
      <c r="EF190" s="1">
        <v>31.5</v>
      </c>
      <c r="EG190" s="1">
        <v>57.5</v>
      </c>
      <c r="EH190" s="1">
        <v>7.7</v>
      </c>
      <c r="EI190" s="1">
        <v>4.3</v>
      </c>
      <c r="EJ190" s="1">
        <v>699.0</v>
      </c>
      <c r="EK190" s="34">
        <f t="shared" si="16"/>
        <v>4.665951545</v>
      </c>
      <c r="EL190" s="11" t="str">
        <f t="shared" si="17"/>
        <v>C5</v>
      </c>
      <c r="EM190" s="1">
        <v>146.1</v>
      </c>
      <c r="EN190" s="1">
        <v>4.48</v>
      </c>
      <c r="EO190" s="1">
        <v>31.7</v>
      </c>
      <c r="EP190" s="1">
        <v>22.8</v>
      </c>
      <c r="EQ190" s="1">
        <v>62.1</v>
      </c>
      <c r="ER190" s="1">
        <v>9.1</v>
      </c>
      <c r="ES190" s="1">
        <v>6.0</v>
      </c>
      <c r="ET190" s="1">
        <v>1005.0</v>
      </c>
      <c r="EU190" s="11">
        <f t="shared" si="18"/>
        <v>3.008114487</v>
      </c>
      <c r="EV190" s="11" t="str">
        <f t="shared" si="19"/>
        <v>C5</v>
      </c>
      <c r="EW190" s="1">
        <v>149.9</v>
      </c>
      <c r="EX190" s="1">
        <v>6.47</v>
      </c>
      <c r="EY190" s="9">
        <f t="shared" si="20"/>
        <v>-1.647792208</v>
      </c>
      <c r="EZ190" s="9">
        <f t="shared" si="21"/>
        <v>0.8385924377</v>
      </c>
      <c r="FA190" s="9" t="str">
        <f t="shared" si="22"/>
        <v>Неблагоприятный</v>
      </c>
      <c r="FB190" s="1" t="s">
        <v>150</v>
      </c>
      <c r="FC190" s="39" t="s">
        <v>445</v>
      </c>
    </row>
    <row r="191">
      <c r="A191" s="7">
        <v>190.0</v>
      </c>
      <c r="B191" s="38">
        <v>5.0</v>
      </c>
      <c r="C191" s="7">
        <v>9336.0</v>
      </c>
      <c r="D191" s="39" t="s">
        <v>445</v>
      </c>
      <c r="E191" s="1">
        <v>51.0</v>
      </c>
      <c r="F191" s="1" t="s">
        <v>149</v>
      </c>
      <c r="G191" s="1"/>
      <c r="H191" s="1">
        <v>13.0</v>
      </c>
      <c r="I191" s="1" t="s">
        <v>154</v>
      </c>
      <c r="J191" s="1" t="s">
        <v>150</v>
      </c>
      <c r="K191" s="9"/>
      <c r="L191" s="1" t="s">
        <v>150</v>
      </c>
      <c r="M191" s="1" t="s">
        <v>150</v>
      </c>
      <c r="N191" s="9"/>
      <c r="O191" s="1" t="str">
        <f t="shared" ref="O191:O196" si="29">IF(EC191&gt;=6.1,IF(EC191&lt;7,"да","нет"),"нет")</f>
        <v>нет</v>
      </c>
      <c r="P191" s="1" t="s">
        <v>150</v>
      </c>
      <c r="Q191" s="1" t="s">
        <v>150</v>
      </c>
      <c r="R191" s="1"/>
      <c r="S191" s="1" t="s">
        <v>154</v>
      </c>
      <c r="T191" s="1" t="s">
        <v>165</v>
      </c>
      <c r="U191" s="9"/>
      <c r="V191" s="9"/>
      <c r="W191" s="9"/>
      <c r="X191" s="9"/>
      <c r="Y191" s="1" t="s">
        <v>150</v>
      </c>
      <c r="Z191" s="9"/>
      <c r="AA191" s="9"/>
      <c r="AB191" s="9"/>
      <c r="AC191" s="9"/>
      <c r="AD191" s="1" t="s">
        <v>644</v>
      </c>
      <c r="AE191" s="1" t="s">
        <v>154</v>
      </c>
      <c r="AF191" s="1">
        <v>12.0</v>
      </c>
      <c r="AG191" s="1" t="s">
        <v>618</v>
      </c>
      <c r="AH191" s="1" t="s">
        <v>154</v>
      </c>
      <c r="AI191" s="1" t="s">
        <v>630</v>
      </c>
      <c r="AJ191" s="1">
        <v>3.0</v>
      </c>
      <c r="AK191" s="1" t="s">
        <v>5</v>
      </c>
      <c r="AL191" s="1" t="s">
        <v>154</v>
      </c>
      <c r="AM191" s="1" t="s">
        <v>645</v>
      </c>
      <c r="AN191" s="1">
        <v>15.0</v>
      </c>
      <c r="AO191" s="1" t="str">
        <f t="shared" si="2"/>
        <v>нет</v>
      </c>
      <c r="AP191" s="1">
        <v>180.0</v>
      </c>
      <c r="AQ191" s="1">
        <v>100.0</v>
      </c>
      <c r="AR191" s="9">
        <f t="shared" si="3"/>
        <v>30.86419753</v>
      </c>
      <c r="AS191" s="7" t="str">
        <f t="shared" si="4"/>
        <v>Ожирение I степени</v>
      </c>
      <c r="AT191" s="1">
        <v>130.0</v>
      </c>
      <c r="AU191" s="1">
        <v>87.0</v>
      </c>
      <c r="AV191" s="9"/>
      <c r="AW191" s="1">
        <v>92.0</v>
      </c>
      <c r="AX191" s="1">
        <v>38.0</v>
      </c>
      <c r="AY191" s="1">
        <v>24.0</v>
      </c>
      <c r="AZ191" s="1">
        <v>82.0</v>
      </c>
      <c r="BA191" s="10" t="str">
        <f t="shared" si="5"/>
        <v>да</v>
      </c>
      <c r="BB191" s="1">
        <v>95.0</v>
      </c>
      <c r="BC191" s="1">
        <v>60.0</v>
      </c>
      <c r="BD191" s="12">
        <f t="shared" si="6"/>
        <v>0.05694444444</v>
      </c>
      <c r="BE191" s="12">
        <f t="shared" si="7"/>
        <v>1</v>
      </c>
      <c r="BF191" s="12">
        <f t="shared" si="8"/>
        <v>6</v>
      </c>
      <c r="BG191" s="1" t="s">
        <v>154</v>
      </c>
      <c r="BH191" s="1" t="s">
        <v>175</v>
      </c>
      <c r="BI191" s="1" t="s">
        <v>154</v>
      </c>
      <c r="BJ191" s="1" t="s">
        <v>237</v>
      </c>
      <c r="BK191" s="1" t="s">
        <v>150</v>
      </c>
      <c r="BL191" s="9"/>
      <c r="BM191" s="1" t="s">
        <v>154</v>
      </c>
      <c r="BN191" s="1" t="s">
        <v>155</v>
      </c>
      <c r="BO191" s="1" t="s">
        <v>154</v>
      </c>
      <c r="BP191" s="1" t="s">
        <v>170</v>
      </c>
      <c r="BQ191" s="9"/>
      <c r="BR191" s="1" t="s">
        <v>154</v>
      </c>
      <c r="BS191" s="1" t="s">
        <v>646</v>
      </c>
      <c r="BT191" s="1" t="s">
        <v>647</v>
      </c>
      <c r="BU191" s="1" t="s">
        <v>519</v>
      </c>
      <c r="BV191" s="1" t="s">
        <v>648</v>
      </c>
      <c r="BW191" s="1" t="s">
        <v>150</v>
      </c>
      <c r="BX191" s="39" t="s">
        <v>154</v>
      </c>
      <c r="BY191" s="39" t="s">
        <v>245</v>
      </c>
      <c r="BZ191" s="1" t="s">
        <v>158</v>
      </c>
      <c r="CA191" s="1" t="s">
        <v>150</v>
      </c>
      <c r="CB191" s="1" t="s">
        <v>150</v>
      </c>
      <c r="CC191" s="1" t="s">
        <v>150</v>
      </c>
      <c r="CD191" s="1" t="s">
        <v>150</v>
      </c>
      <c r="CE191" s="1" t="s">
        <v>150</v>
      </c>
      <c r="CF191" s="1" t="s">
        <v>240</v>
      </c>
      <c r="CG191" s="1" t="s">
        <v>154</v>
      </c>
      <c r="CH191" s="1" t="s">
        <v>150</v>
      </c>
      <c r="CI191" s="1" t="s">
        <v>150</v>
      </c>
      <c r="CJ191" s="1" t="s">
        <v>154</v>
      </c>
      <c r="CK191" s="1" t="s">
        <v>150</v>
      </c>
      <c r="CL191" s="1" t="s">
        <v>649</v>
      </c>
      <c r="CM191" s="1">
        <v>6.5</v>
      </c>
      <c r="CN191" s="1">
        <v>75.4</v>
      </c>
      <c r="CO191" s="7">
        <f t="shared" si="23"/>
        <v>4.901</v>
      </c>
      <c r="CP191" s="1">
        <v>12.1</v>
      </c>
      <c r="CQ191" s="7">
        <f t="shared" si="10"/>
        <v>0.593021</v>
      </c>
      <c r="CR191" s="1">
        <v>11.3</v>
      </c>
      <c r="CS191" s="7">
        <f t="shared" si="11"/>
        <v>0.067011373</v>
      </c>
      <c r="CT191" s="1">
        <v>0.0</v>
      </c>
      <c r="CU191" s="7">
        <f t="shared" si="12"/>
        <v>0</v>
      </c>
      <c r="CV191" s="7">
        <f t="shared" si="13"/>
        <v>8.26446281</v>
      </c>
      <c r="CW191" s="1">
        <v>5.27</v>
      </c>
      <c r="CX191" s="1">
        <v>162.0</v>
      </c>
      <c r="CY191" s="7" t="str">
        <f t="shared" si="14"/>
        <v>Норма</v>
      </c>
      <c r="CZ191" s="1">
        <v>30.0</v>
      </c>
      <c r="DA191" s="1">
        <v>182.0</v>
      </c>
      <c r="DB191" s="1">
        <v>26.7</v>
      </c>
      <c r="DC191" s="1">
        <v>13.63</v>
      </c>
      <c r="DD191" s="1">
        <v>90.9</v>
      </c>
      <c r="DE191" s="1"/>
      <c r="DF191" s="1">
        <v>4.2</v>
      </c>
      <c r="DG191" s="1"/>
      <c r="DH191" s="1">
        <v>4.8</v>
      </c>
      <c r="DI191" s="1"/>
      <c r="DJ191" s="1">
        <v>0.0</v>
      </c>
      <c r="DK191" s="1"/>
      <c r="DL191" s="1"/>
      <c r="DM191" s="1">
        <v>5.31</v>
      </c>
      <c r="DN191" s="1">
        <v>163.0</v>
      </c>
      <c r="DO191" s="7" t="str">
        <f t="shared" si="15"/>
        <v>Норма</v>
      </c>
      <c r="DP191" s="1">
        <v>43.0</v>
      </c>
      <c r="DQ191" s="1">
        <v>325.0</v>
      </c>
      <c r="DR191" s="1">
        <v>133.5</v>
      </c>
      <c r="DS191" s="1">
        <v>521.0</v>
      </c>
      <c r="DT191" s="1">
        <v>13.5</v>
      </c>
      <c r="DU191" s="1">
        <v>12.0</v>
      </c>
      <c r="DV191" s="1">
        <v>1.03</v>
      </c>
      <c r="DW191" s="1" t="s">
        <v>473</v>
      </c>
      <c r="DX191" s="1">
        <v>598.0</v>
      </c>
      <c r="DY191" s="1">
        <v>29.3</v>
      </c>
      <c r="DZ191" s="1">
        <v>13.5</v>
      </c>
      <c r="EA191" s="1">
        <v>1.154</v>
      </c>
      <c r="EB191" s="1"/>
      <c r="EC191" s="1">
        <v>7.39</v>
      </c>
      <c r="ED191" s="1">
        <v>9.8</v>
      </c>
      <c r="EE191" s="1">
        <v>151.0</v>
      </c>
      <c r="EF191" s="1">
        <v>167.89</v>
      </c>
      <c r="EG191" s="1">
        <v>72.6</v>
      </c>
      <c r="EH191" s="1">
        <v>21.52</v>
      </c>
      <c r="EI191" s="1">
        <v>8.35</v>
      </c>
      <c r="EJ191" s="1">
        <v>93.43</v>
      </c>
      <c r="EK191" s="34">
        <f t="shared" si="16"/>
        <v>61.18009743</v>
      </c>
      <c r="EL191" s="11" t="str">
        <f t="shared" si="17"/>
        <v>C2</v>
      </c>
      <c r="EM191" s="1">
        <v>141.0</v>
      </c>
      <c r="EN191" s="1">
        <v>4.16</v>
      </c>
      <c r="EO191" s="1">
        <v>158.2</v>
      </c>
      <c r="EP191" s="1">
        <v>100.0</v>
      </c>
      <c r="EQ191" s="1">
        <v>53.8</v>
      </c>
      <c r="ER191" s="1">
        <v>11.3</v>
      </c>
      <c r="ES191" s="1">
        <v>6.8</v>
      </c>
      <c r="ET191" s="1">
        <v>130.0</v>
      </c>
      <c r="EU191" s="11">
        <f t="shared" si="18"/>
        <v>41.03653159</v>
      </c>
      <c r="EV191" s="11" t="str">
        <f t="shared" si="19"/>
        <v>C3b</v>
      </c>
      <c r="EW191" s="1">
        <v>139.2</v>
      </c>
      <c r="EX191" s="1">
        <v>4.42</v>
      </c>
      <c r="EY191" s="9">
        <f t="shared" si="20"/>
        <v>-1.16095021</v>
      </c>
      <c r="EZ191" s="9">
        <f t="shared" si="21"/>
        <v>0.7615053301</v>
      </c>
      <c r="FA191" s="9" t="str">
        <f t="shared" si="22"/>
        <v>Неблагоприятный</v>
      </c>
      <c r="FB191" s="1" t="s">
        <v>150</v>
      </c>
      <c r="FC191" s="39" t="s">
        <v>445</v>
      </c>
    </row>
    <row r="192">
      <c r="A192" s="7">
        <v>191.0</v>
      </c>
      <c r="B192" s="38">
        <v>6.0</v>
      </c>
      <c r="C192" s="7">
        <v>9499.0</v>
      </c>
      <c r="D192" s="39" t="s">
        <v>445</v>
      </c>
      <c r="E192" s="1">
        <v>69.0</v>
      </c>
      <c r="F192" s="1" t="s">
        <v>149</v>
      </c>
      <c r="G192" s="1"/>
      <c r="H192" s="1">
        <v>15.0</v>
      </c>
      <c r="I192" s="1" t="s">
        <v>150</v>
      </c>
      <c r="J192" s="1" t="s">
        <v>150</v>
      </c>
      <c r="K192" s="9"/>
      <c r="L192" s="1" t="s">
        <v>150</v>
      </c>
      <c r="M192" s="1" t="s">
        <v>150</v>
      </c>
      <c r="N192" s="9"/>
      <c r="O192" s="1" t="str">
        <f t="shared" si="29"/>
        <v>нет</v>
      </c>
      <c r="P192" s="1" t="s">
        <v>150</v>
      </c>
      <c r="Q192" s="1" t="s">
        <v>154</v>
      </c>
      <c r="R192" s="1">
        <v>3.0</v>
      </c>
      <c r="S192" s="1" t="s">
        <v>150</v>
      </c>
      <c r="T192" s="9"/>
      <c r="U192" s="9"/>
      <c r="V192" s="9"/>
      <c r="W192" s="9"/>
      <c r="X192" s="9"/>
      <c r="Y192" s="1" t="s">
        <v>150</v>
      </c>
      <c r="Z192" s="9"/>
      <c r="AA192" s="9"/>
      <c r="AB192" s="9"/>
      <c r="AC192" s="9"/>
      <c r="AD192" s="1" t="s">
        <v>650</v>
      </c>
      <c r="AE192" s="1" t="s">
        <v>154</v>
      </c>
      <c r="AF192" s="1">
        <v>2.0</v>
      </c>
      <c r="AG192" s="1" t="s">
        <v>635</v>
      </c>
      <c r="AH192" s="1" t="s">
        <v>154</v>
      </c>
      <c r="AI192" s="1" t="s">
        <v>651</v>
      </c>
      <c r="AJ192" s="1">
        <v>1.0</v>
      </c>
      <c r="AK192" s="1" t="s">
        <v>5</v>
      </c>
      <c r="AL192" s="1" t="s">
        <v>150</v>
      </c>
      <c r="AM192" s="1"/>
      <c r="AN192" s="1">
        <v>15.0</v>
      </c>
      <c r="AO192" s="1" t="str">
        <f t="shared" si="2"/>
        <v>нет</v>
      </c>
      <c r="AP192" s="1">
        <v>174.0</v>
      </c>
      <c r="AQ192" s="1">
        <v>100.0</v>
      </c>
      <c r="AR192" s="9">
        <f t="shared" si="3"/>
        <v>33.02946228</v>
      </c>
      <c r="AS192" s="7" t="str">
        <f t="shared" si="4"/>
        <v>Ожирение I степени</v>
      </c>
      <c r="AT192" s="1">
        <v>150.0</v>
      </c>
      <c r="AU192" s="1">
        <v>90.0</v>
      </c>
      <c r="AV192" s="9"/>
      <c r="AW192" s="1">
        <v>90.0</v>
      </c>
      <c r="AX192" s="1">
        <v>39.0</v>
      </c>
      <c r="AY192" s="1">
        <v>22.0</v>
      </c>
      <c r="AZ192" s="1">
        <v>83.0</v>
      </c>
      <c r="BA192" s="10" t="str">
        <f t="shared" si="5"/>
        <v>да</v>
      </c>
      <c r="BB192" s="1">
        <v>94.0</v>
      </c>
      <c r="BC192" s="1">
        <v>60.0</v>
      </c>
      <c r="BD192" s="12">
        <f t="shared" si="6"/>
        <v>0.06287878788</v>
      </c>
      <c r="BE192" s="12">
        <f t="shared" si="7"/>
        <v>1</v>
      </c>
      <c r="BF192" s="12">
        <f t="shared" si="8"/>
        <v>6</v>
      </c>
      <c r="BG192" s="1" t="s">
        <v>652</v>
      </c>
      <c r="BH192" s="9"/>
      <c r="BI192" s="1" t="s">
        <v>154</v>
      </c>
      <c r="BJ192" s="1" t="s">
        <v>653</v>
      </c>
      <c r="BK192" s="1" t="s">
        <v>150</v>
      </c>
      <c r="BL192" s="9"/>
      <c r="BM192" s="1" t="s">
        <v>154</v>
      </c>
      <c r="BN192" s="1" t="s">
        <v>155</v>
      </c>
      <c r="BO192" s="1" t="s">
        <v>154</v>
      </c>
      <c r="BP192" s="1" t="s">
        <v>157</v>
      </c>
      <c r="BQ192" s="1">
        <v>20.0</v>
      </c>
      <c r="BR192" s="1" t="s">
        <v>154</v>
      </c>
      <c r="BS192" s="1" t="s">
        <v>467</v>
      </c>
      <c r="BT192" s="1" t="s">
        <v>654</v>
      </c>
      <c r="BU192" s="1" t="s">
        <v>477</v>
      </c>
      <c r="BV192" s="1" t="s">
        <v>655</v>
      </c>
      <c r="BW192" s="1" t="s">
        <v>154</v>
      </c>
      <c r="BX192" s="1" t="s">
        <v>154</v>
      </c>
      <c r="BY192" s="1" t="s">
        <v>258</v>
      </c>
      <c r="BZ192" s="1" t="s">
        <v>158</v>
      </c>
      <c r="CA192" s="1" t="s">
        <v>176</v>
      </c>
      <c r="CB192" s="1" t="s">
        <v>150</v>
      </c>
      <c r="CC192" s="1" t="s">
        <v>150</v>
      </c>
      <c r="CD192" s="1" t="s">
        <v>150</v>
      </c>
      <c r="CE192" s="1" t="s">
        <v>150</v>
      </c>
      <c r="CF192" s="1" t="s">
        <v>240</v>
      </c>
      <c r="CG192" s="1" t="s">
        <v>150</v>
      </c>
      <c r="CH192" s="1" t="s">
        <v>150</v>
      </c>
      <c r="CI192" s="1" t="s">
        <v>150</v>
      </c>
      <c r="CJ192" s="1" t="s">
        <v>150</v>
      </c>
      <c r="CK192" s="1" t="s">
        <v>150</v>
      </c>
      <c r="CL192" s="1" t="s">
        <v>656</v>
      </c>
      <c r="CM192" s="1">
        <v>4.46</v>
      </c>
      <c r="CN192" s="1">
        <v>72.0</v>
      </c>
      <c r="CO192" s="7">
        <f t="shared" si="23"/>
        <v>3.2112</v>
      </c>
      <c r="CP192" s="1">
        <v>23.5</v>
      </c>
      <c r="CQ192" s="7">
        <f t="shared" si="10"/>
        <v>0.754632</v>
      </c>
      <c r="CR192" s="1">
        <v>4.5</v>
      </c>
      <c r="CS192" s="7">
        <f t="shared" si="11"/>
        <v>0.03395844</v>
      </c>
      <c r="CT192" s="1">
        <v>0.0</v>
      </c>
      <c r="CU192" s="7">
        <f t="shared" si="12"/>
        <v>0</v>
      </c>
      <c r="CV192" s="7">
        <f t="shared" si="13"/>
        <v>4.255319149</v>
      </c>
      <c r="CW192" s="1">
        <v>4.47</v>
      </c>
      <c r="CX192" s="1">
        <v>141.0</v>
      </c>
      <c r="CY192" s="7" t="str">
        <f t="shared" si="14"/>
        <v>Норма</v>
      </c>
      <c r="CZ192" s="1">
        <v>38.0</v>
      </c>
      <c r="DA192" s="1">
        <v>113.0</v>
      </c>
      <c r="DB192" s="1">
        <v>111.7</v>
      </c>
      <c r="DC192" s="1">
        <v>2.7</v>
      </c>
      <c r="DD192" s="1">
        <v>88.8</v>
      </c>
      <c r="DE192" s="1"/>
      <c r="DF192" s="1">
        <v>7.2</v>
      </c>
      <c r="DG192" s="1"/>
      <c r="DH192" s="1">
        <v>2.2</v>
      </c>
      <c r="DI192" s="1"/>
      <c r="DJ192" s="1">
        <v>0.6</v>
      </c>
      <c r="DK192" s="1"/>
      <c r="DL192" s="1"/>
      <c r="DM192" s="1">
        <v>4.75</v>
      </c>
      <c r="DN192" s="1">
        <v>151.0</v>
      </c>
      <c r="DO192" s="7" t="str">
        <f t="shared" si="15"/>
        <v>Норма</v>
      </c>
      <c r="DP192" s="1">
        <v>35.0</v>
      </c>
      <c r="DQ192" s="1">
        <v>151.0</v>
      </c>
      <c r="DR192" s="1">
        <v>246.8</v>
      </c>
      <c r="DS192" s="1">
        <v>259.0</v>
      </c>
      <c r="DT192" s="1">
        <v>34.1</v>
      </c>
      <c r="DU192" s="1">
        <v>11.8</v>
      </c>
      <c r="DV192" s="1">
        <v>1.01</v>
      </c>
      <c r="DW192" s="1" t="s">
        <v>458</v>
      </c>
      <c r="DX192" s="1">
        <v>1000.0</v>
      </c>
      <c r="DY192" s="1">
        <v>25.7</v>
      </c>
      <c r="DZ192" s="1">
        <v>21.4</v>
      </c>
      <c r="EA192" s="1">
        <v>1.82</v>
      </c>
      <c r="EB192" s="1"/>
      <c r="EC192" s="1">
        <v>5.27</v>
      </c>
      <c r="ED192" s="1">
        <v>4.06</v>
      </c>
      <c r="EE192" s="1">
        <v>30.1</v>
      </c>
      <c r="EF192" s="1">
        <v>30.5</v>
      </c>
      <c r="EG192" s="1">
        <v>67.3</v>
      </c>
      <c r="EH192" s="1">
        <v>10.1</v>
      </c>
      <c r="EI192" s="1">
        <v>4.6</v>
      </c>
      <c r="EJ192" s="1">
        <v>90.0</v>
      </c>
      <c r="EK192" s="34">
        <f t="shared" si="16"/>
        <v>56.40731647</v>
      </c>
      <c r="EL192" s="11" t="str">
        <f t="shared" si="17"/>
        <v>C3a</v>
      </c>
      <c r="EM192" s="1">
        <v>135.6</v>
      </c>
      <c r="EN192" s="1">
        <v>4.8</v>
      </c>
      <c r="EO192" s="1">
        <v>248.5</v>
      </c>
      <c r="EP192" s="1">
        <v>257.0</v>
      </c>
      <c r="EQ192" s="1">
        <v>44.8</v>
      </c>
      <c r="ER192" s="1">
        <v>12.7</v>
      </c>
      <c r="ES192" s="1">
        <v>7.3</v>
      </c>
      <c r="ET192" s="1">
        <v>289.0</v>
      </c>
      <c r="EU192" s="11">
        <f t="shared" si="18"/>
        <v>13.76540968</v>
      </c>
      <c r="EV192" s="11" t="str">
        <f t="shared" si="19"/>
        <v>C5</v>
      </c>
      <c r="EW192" s="1">
        <v>133.3</v>
      </c>
      <c r="EX192" s="1">
        <v>5.23</v>
      </c>
      <c r="EY192" s="9">
        <f t="shared" si="20"/>
        <v>-0.3065718179</v>
      </c>
      <c r="EZ192" s="9">
        <f t="shared" si="21"/>
        <v>0.576048261</v>
      </c>
      <c r="FA192" s="9" t="str">
        <f t="shared" si="22"/>
        <v>Неблагоприятный</v>
      </c>
      <c r="FB192" s="1" t="s">
        <v>150</v>
      </c>
      <c r="FC192" s="39" t="s">
        <v>445</v>
      </c>
    </row>
    <row r="193">
      <c r="A193" s="7">
        <v>192.0</v>
      </c>
      <c r="B193" s="38">
        <v>7.0</v>
      </c>
      <c r="C193" s="7">
        <v>9740.0</v>
      </c>
      <c r="D193" s="39" t="s">
        <v>445</v>
      </c>
      <c r="E193" s="1">
        <v>24.0</v>
      </c>
      <c r="F193" s="1" t="s">
        <v>161</v>
      </c>
      <c r="G193" s="1" t="s">
        <v>150</v>
      </c>
      <c r="H193" s="1">
        <v>4.0</v>
      </c>
      <c r="I193" s="1" t="s">
        <v>150</v>
      </c>
      <c r="J193" s="1" t="s">
        <v>150</v>
      </c>
      <c r="K193" s="9"/>
      <c r="L193" s="1" t="s">
        <v>150</v>
      </c>
      <c r="M193" s="1" t="s">
        <v>154</v>
      </c>
      <c r="N193" s="1" t="s">
        <v>657</v>
      </c>
      <c r="O193" s="1" t="str">
        <f t="shared" si="29"/>
        <v>нет</v>
      </c>
      <c r="P193" s="1" t="s">
        <v>154</v>
      </c>
      <c r="Q193" s="1" t="s">
        <v>150</v>
      </c>
      <c r="R193" s="9"/>
      <c r="S193" s="1" t="s">
        <v>150</v>
      </c>
      <c r="T193" s="9"/>
      <c r="U193" s="9"/>
      <c r="V193" s="9"/>
      <c r="W193" s="9"/>
      <c r="X193" s="9"/>
      <c r="Y193" s="1" t="s">
        <v>154</v>
      </c>
      <c r="Z193" s="9"/>
      <c r="AA193" s="9"/>
      <c r="AB193" s="9"/>
      <c r="AC193" s="9"/>
      <c r="AD193" s="1" t="s">
        <v>658</v>
      </c>
      <c r="AE193" s="1" t="s">
        <v>154</v>
      </c>
      <c r="AF193" s="1">
        <v>4.0</v>
      </c>
      <c r="AG193" s="1" t="s">
        <v>635</v>
      </c>
      <c r="AH193" s="1" t="s">
        <v>154</v>
      </c>
      <c r="AI193" s="1" t="s">
        <v>630</v>
      </c>
      <c r="AJ193" s="1">
        <v>2.0</v>
      </c>
      <c r="AK193" s="1" t="s">
        <v>5</v>
      </c>
      <c r="AL193" s="1" t="s">
        <v>150</v>
      </c>
      <c r="AM193" s="1"/>
      <c r="AN193" s="1">
        <v>15.0</v>
      </c>
      <c r="AO193" s="1" t="str">
        <f t="shared" si="2"/>
        <v>нет</v>
      </c>
      <c r="AP193" s="1">
        <v>164.0</v>
      </c>
      <c r="AQ193" s="1">
        <v>85.0</v>
      </c>
      <c r="AR193" s="9">
        <f t="shared" si="3"/>
        <v>31.60321237</v>
      </c>
      <c r="AS193" s="7" t="str">
        <f t="shared" si="4"/>
        <v>Ожирение I степени</v>
      </c>
      <c r="AT193" s="1">
        <v>80.0</v>
      </c>
      <c r="AU193" s="1">
        <v>40.0</v>
      </c>
      <c r="AV193" s="9"/>
      <c r="AW193" s="1">
        <v>87.0</v>
      </c>
      <c r="AX193" s="1">
        <v>38.8</v>
      </c>
      <c r="AY193" s="1">
        <v>25.0</v>
      </c>
      <c r="AZ193" s="1">
        <v>65.0</v>
      </c>
      <c r="BA193" s="10" t="str">
        <f t="shared" si="5"/>
        <v>да</v>
      </c>
      <c r="BB193" s="1">
        <v>70.0</v>
      </c>
      <c r="BC193" s="1">
        <v>60.0</v>
      </c>
      <c r="BD193" s="12">
        <f t="shared" si="6"/>
        <v>0.04333333333</v>
      </c>
      <c r="BE193" s="12">
        <f t="shared" si="7"/>
        <v>2</v>
      </c>
      <c r="BF193" s="12">
        <f t="shared" si="8"/>
        <v>10</v>
      </c>
      <c r="BG193" s="1" t="s">
        <v>150</v>
      </c>
      <c r="BH193" s="9"/>
      <c r="BI193" s="1" t="s">
        <v>154</v>
      </c>
      <c r="BJ193" s="1" t="s">
        <v>659</v>
      </c>
      <c r="BK193" s="1" t="s">
        <v>150</v>
      </c>
      <c r="BL193" s="9"/>
      <c r="BM193" s="1" t="s">
        <v>154</v>
      </c>
      <c r="BN193" s="1" t="s">
        <v>557</v>
      </c>
      <c r="BO193" s="1" t="s">
        <v>150</v>
      </c>
      <c r="BP193" s="9"/>
      <c r="BQ193" s="9"/>
      <c r="BR193" s="1" t="s">
        <v>154</v>
      </c>
      <c r="BS193" s="1" t="s">
        <v>660</v>
      </c>
      <c r="BT193" s="1" t="s">
        <v>661</v>
      </c>
      <c r="BU193" s="1" t="s">
        <v>170</v>
      </c>
      <c r="BV193" s="1">
        <v>24.0</v>
      </c>
      <c r="BW193" s="1" t="s">
        <v>154</v>
      </c>
      <c r="BX193" s="1" t="s">
        <v>154</v>
      </c>
      <c r="BY193" s="1" t="s">
        <v>258</v>
      </c>
      <c r="BZ193" s="1" t="s">
        <v>158</v>
      </c>
      <c r="CA193" s="1" t="s">
        <v>150</v>
      </c>
      <c r="CB193" s="1" t="s">
        <v>150</v>
      </c>
      <c r="CC193" s="1" t="s">
        <v>150</v>
      </c>
      <c r="CD193" s="1" t="s">
        <v>150</v>
      </c>
      <c r="CE193" s="1" t="s">
        <v>150</v>
      </c>
      <c r="CF193" s="1" t="s">
        <v>150</v>
      </c>
      <c r="CG193" s="1" t="s">
        <v>150</v>
      </c>
      <c r="CH193" s="1" t="s">
        <v>150</v>
      </c>
      <c r="CI193" s="1" t="s">
        <v>150</v>
      </c>
      <c r="CJ193" s="1" t="s">
        <v>154</v>
      </c>
      <c r="CK193" s="1" t="s">
        <v>150</v>
      </c>
      <c r="CL193" s="1" t="s">
        <v>662</v>
      </c>
      <c r="CM193" s="1">
        <v>4.74</v>
      </c>
      <c r="CN193" s="1">
        <v>69.4</v>
      </c>
      <c r="CO193" s="7">
        <f t="shared" si="23"/>
        <v>3.28956</v>
      </c>
      <c r="CP193" s="1">
        <v>19.0</v>
      </c>
      <c r="CQ193" s="7">
        <f t="shared" si="10"/>
        <v>0.6250164</v>
      </c>
      <c r="CR193" s="1">
        <v>11.4</v>
      </c>
      <c r="CS193" s="7">
        <f t="shared" si="11"/>
        <v>0.0712518696</v>
      </c>
      <c r="CT193" s="1">
        <v>0.0</v>
      </c>
      <c r="CU193" s="7">
        <f t="shared" si="12"/>
        <v>0</v>
      </c>
      <c r="CV193" s="7">
        <f t="shared" si="13"/>
        <v>5.263157895</v>
      </c>
      <c r="CW193" s="1">
        <v>4.58</v>
      </c>
      <c r="CX193" s="1">
        <v>121.0</v>
      </c>
      <c r="CY193" s="7" t="str">
        <f t="shared" si="14"/>
        <v>Легкая степень</v>
      </c>
      <c r="CZ193" s="1">
        <v>19.0</v>
      </c>
      <c r="DA193" s="1">
        <v>220.0</v>
      </c>
      <c r="DB193" s="1">
        <v>81.7</v>
      </c>
      <c r="DC193" s="1">
        <v>16.3</v>
      </c>
      <c r="DD193" s="1">
        <v>93.7</v>
      </c>
      <c r="DE193" s="1"/>
      <c r="DF193" s="1">
        <v>2.8</v>
      </c>
      <c r="DG193" s="1"/>
      <c r="DH193" s="1">
        <v>3.4</v>
      </c>
      <c r="DI193" s="1"/>
      <c r="DJ193" s="1">
        <v>0.1</v>
      </c>
      <c r="DK193" s="1"/>
      <c r="DL193" s="1"/>
      <c r="DM193" s="1">
        <v>2.99</v>
      </c>
      <c r="DN193" s="1">
        <v>82.0</v>
      </c>
      <c r="DO193" s="7" t="str">
        <f t="shared" si="15"/>
        <v>Средняя степень</v>
      </c>
      <c r="DP193" s="1">
        <v>50.0</v>
      </c>
      <c r="DQ193" s="1">
        <v>268.0</v>
      </c>
      <c r="DR193" s="1">
        <v>110.8</v>
      </c>
      <c r="DS193" s="1">
        <v>546.5</v>
      </c>
      <c r="DT193" s="1">
        <v>23.3</v>
      </c>
      <c r="DU193" s="1">
        <v>12.9</v>
      </c>
      <c r="DV193" s="1">
        <v>1.1</v>
      </c>
      <c r="DW193" s="1" t="s">
        <v>458</v>
      </c>
      <c r="DX193" s="1">
        <v>493.0</v>
      </c>
      <c r="DY193" s="1">
        <v>28.4</v>
      </c>
      <c r="DZ193" s="1">
        <v>13.7</v>
      </c>
      <c r="EA193" s="1">
        <v>1.17</v>
      </c>
      <c r="EB193" s="40"/>
      <c r="EC193" s="1">
        <v>11.2</v>
      </c>
      <c r="ED193" s="1">
        <v>9.32</v>
      </c>
      <c r="EE193" s="1">
        <v>108.36</v>
      </c>
      <c r="EF193" s="1">
        <v>157.13</v>
      </c>
      <c r="EG193" s="1">
        <v>62.0</v>
      </c>
      <c r="EH193" s="1">
        <v>7.02</v>
      </c>
      <c r="EI193" s="1">
        <v>2.52</v>
      </c>
      <c r="EJ193" s="1">
        <v>67.68</v>
      </c>
      <c r="EK193" s="34">
        <f t="shared" si="16"/>
        <v>109.212384</v>
      </c>
      <c r="EL193" s="11" t="str">
        <f t="shared" si="17"/>
        <v>C1</v>
      </c>
      <c r="EM193" s="1">
        <v>136.1</v>
      </c>
      <c r="EN193" s="1">
        <v>4.81</v>
      </c>
      <c r="EO193" s="1">
        <v>355.4</v>
      </c>
      <c r="EP193" s="1">
        <v>123.0</v>
      </c>
      <c r="EQ193" s="1">
        <v>60.3</v>
      </c>
      <c r="ER193" s="1">
        <v>10.2</v>
      </c>
      <c r="ES193" s="1">
        <v>6.6</v>
      </c>
      <c r="ET193" s="1">
        <v>68.0</v>
      </c>
      <c r="EU193" s="11">
        <f t="shared" si="18"/>
        <v>108.5913357</v>
      </c>
      <c r="EV193" s="11" t="str">
        <f t="shared" si="19"/>
        <v>C1</v>
      </c>
      <c r="EW193" s="1">
        <v>139.9</v>
      </c>
      <c r="EX193" s="1">
        <v>3.96</v>
      </c>
      <c r="EY193" s="9">
        <f t="shared" si="20"/>
        <v>-1.850872454</v>
      </c>
      <c r="EZ193" s="9">
        <f t="shared" si="21"/>
        <v>0.8642295065</v>
      </c>
      <c r="FA193" s="9" t="str">
        <f t="shared" si="22"/>
        <v>Неблагоприятный</v>
      </c>
      <c r="FB193" s="1" t="s">
        <v>150</v>
      </c>
      <c r="FC193" s="39" t="s">
        <v>445</v>
      </c>
    </row>
    <row r="194">
      <c r="A194" s="7">
        <v>193.0</v>
      </c>
      <c r="B194" s="38">
        <v>8.0</v>
      </c>
      <c r="C194" s="7">
        <v>9330.0</v>
      </c>
      <c r="D194" s="39" t="s">
        <v>445</v>
      </c>
      <c r="E194" s="1">
        <v>49.0</v>
      </c>
      <c r="F194" s="1" t="s">
        <v>161</v>
      </c>
      <c r="G194" s="1" t="s">
        <v>150</v>
      </c>
      <c r="H194" s="1">
        <v>13.0</v>
      </c>
      <c r="I194" s="1" t="s">
        <v>150</v>
      </c>
      <c r="J194" s="1" t="s">
        <v>150</v>
      </c>
      <c r="K194" s="9"/>
      <c r="L194" s="1" t="s">
        <v>150</v>
      </c>
      <c r="M194" s="1" t="s">
        <v>154</v>
      </c>
      <c r="N194" s="1" t="s">
        <v>657</v>
      </c>
      <c r="O194" s="1" t="str">
        <f t="shared" si="29"/>
        <v>нет</v>
      </c>
      <c r="P194" s="1" t="s">
        <v>154</v>
      </c>
      <c r="Q194" s="1" t="s">
        <v>150</v>
      </c>
      <c r="R194" s="9"/>
      <c r="S194" s="1" t="s">
        <v>150</v>
      </c>
      <c r="T194" s="9"/>
      <c r="U194" s="9"/>
      <c r="V194" s="9"/>
      <c r="W194" s="9"/>
      <c r="X194" s="9"/>
      <c r="Y194" s="1" t="s">
        <v>154</v>
      </c>
      <c r="Z194" s="9"/>
      <c r="AA194" s="9"/>
      <c r="AB194" s="9"/>
      <c r="AC194" s="9"/>
      <c r="AD194" s="1" t="s">
        <v>663</v>
      </c>
      <c r="AE194" s="1" t="s">
        <v>154</v>
      </c>
      <c r="AF194" s="1">
        <v>3.0</v>
      </c>
      <c r="AG194" s="1" t="s">
        <v>635</v>
      </c>
      <c r="AH194" s="1" t="s">
        <v>154</v>
      </c>
      <c r="AI194" s="1" t="s">
        <v>630</v>
      </c>
      <c r="AJ194" s="1">
        <v>3.0</v>
      </c>
      <c r="AK194" s="1" t="s">
        <v>5</v>
      </c>
      <c r="AL194" s="1" t="s">
        <v>150</v>
      </c>
      <c r="AM194" s="1"/>
      <c r="AN194" s="1">
        <v>15.0</v>
      </c>
      <c r="AO194" s="1" t="str">
        <f t="shared" si="2"/>
        <v>нет</v>
      </c>
      <c r="AP194" s="1">
        <v>163.0</v>
      </c>
      <c r="AQ194" s="1">
        <v>67.0</v>
      </c>
      <c r="AR194" s="9">
        <f t="shared" si="3"/>
        <v>25.21735858</v>
      </c>
      <c r="AS194" s="7" t="str">
        <f t="shared" si="4"/>
        <v>Избыточный вес (предожирение)</v>
      </c>
      <c r="AT194" s="1">
        <v>130.0</v>
      </c>
      <c r="AU194" s="1">
        <v>80.0</v>
      </c>
      <c r="AV194" s="9"/>
      <c r="AW194" s="1">
        <v>96.0</v>
      </c>
      <c r="AX194" s="1">
        <v>39.0</v>
      </c>
      <c r="AY194" s="1">
        <v>28.0</v>
      </c>
      <c r="AZ194" s="1">
        <v>80.0</v>
      </c>
      <c r="BA194" s="10" t="str">
        <f t="shared" si="5"/>
        <v>да</v>
      </c>
      <c r="BB194" s="1">
        <v>96.0</v>
      </c>
      <c r="BC194" s="1">
        <v>40.0</v>
      </c>
      <c r="BD194" s="12">
        <f t="shared" si="6"/>
        <v>0.07142857143</v>
      </c>
      <c r="BE194" s="12">
        <f t="shared" si="7"/>
        <v>1</v>
      </c>
      <c r="BF194" s="12">
        <f t="shared" si="8"/>
        <v>8</v>
      </c>
      <c r="BG194" s="1" t="s">
        <v>154</v>
      </c>
      <c r="BH194" s="1" t="s">
        <v>175</v>
      </c>
      <c r="BI194" s="1" t="s">
        <v>154</v>
      </c>
      <c r="BJ194" s="1" t="s">
        <v>664</v>
      </c>
      <c r="BK194" s="1" t="s">
        <v>150</v>
      </c>
      <c r="BL194" s="9"/>
      <c r="BM194" s="1" t="s">
        <v>154</v>
      </c>
      <c r="BN194" s="1" t="s">
        <v>557</v>
      </c>
      <c r="BO194" s="1" t="s">
        <v>154</v>
      </c>
      <c r="BP194" s="1" t="s">
        <v>157</v>
      </c>
      <c r="BQ194" s="9"/>
      <c r="BR194" s="1" t="s">
        <v>154</v>
      </c>
      <c r="BS194" s="1" t="s">
        <v>467</v>
      </c>
      <c r="BT194" s="1" t="s">
        <v>665</v>
      </c>
      <c r="BU194" s="1" t="s">
        <v>170</v>
      </c>
      <c r="BV194" s="1">
        <v>24.0</v>
      </c>
      <c r="BW194" s="1" t="s">
        <v>154</v>
      </c>
      <c r="BX194" s="1" t="s">
        <v>154</v>
      </c>
      <c r="BY194" s="1" t="s">
        <v>258</v>
      </c>
      <c r="BZ194" s="1" t="s">
        <v>158</v>
      </c>
      <c r="CA194" s="1" t="s">
        <v>150</v>
      </c>
      <c r="CB194" s="1" t="s">
        <v>150</v>
      </c>
      <c r="CC194" s="1" t="s">
        <v>150</v>
      </c>
      <c r="CD194" s="1" t="s">
        <v>150</v>
      </c>
      <c r="CE194" s="1" t="s">
        <v>150</v>
      </c>
      <c r="CF194" s="1" t="s">
        <v>150</v>
      </c>
      <c r="CG194" s="1" t="s">
        <v>150</v>
      </c>
      <c r="CH194" s="1" t="s">
        <v>150</v>
      </c>
      <c r="CI194" s="1" t="s">
        <v>150</v>
      </c>
      <c r="CJ194" s="1" t="s">
        <v>150</v>
      </c>
      <c r="CK194" s="1" t="s">
        <v>150</v>
      </c>
      <c r="CL194" s="1" t="s">
        <v>666</v>
      </c>
      <c r="CM194" s="1">
        <v>5.3</v>
      </c>
      <c r="CN194" s="1">
        <v>83.8</v>
      </c>
      <c r="CO194" s="7">
        <f t="shared" si="23"/>
        <v>4.4414</v>
      </c>
      <c r="CP194" s="1">
        <v>7.6</v>
      </c>
      <c r="CQ194" s="7">
        <f t="shared" si="10"/>
        <v>0.3375464</v>
      </c>
      <c r="CR194" s="1">
        <v>8.5</v>
      </c>
      <c r="CS194" s="7">
        <f t="shared" si="11"/>
        <v>0.028691444</v>
      </c>
      <c r="CT194" s="1">
        <v>0.0</v>
      </c>
      <c r="CU194" s="7">
        <f t="shared" si="12"/>
        <v>0</v>
      </c>
      <c r="CV194" s="7">
        <f t="shared" si="13"/>
        <v>13.15789474</v>
      </c>
      <c r="CW194" s="1">
        <v>4.83</v>
      </c>
      <c r="CX194" s="1">
        <v>130.0</v>
      </c>
      <c r="CY194" s="7" t="str">
        <f t="shared" si="14"/>
        <v>Норма</v>
      </c>
      <c r="CZ194" s="1">
        <v>26.0</v>
      </c>
      <c r="DA194" s="1">
        <v>105.0</v>
      </c>
      <c r="DB194" s="1">
        <v>69.8</v>
      </c>
      <c r="DC194" s="1">
        <v>13.37</v>
      </c>
      <c r="DD194" s="1">
        <v>94.7</v>
      </c>
      <c r="DE194" s="1"/>
      <c r="DF194" s="1">
        <v>2.8</v>
      </c>
      <c r="DG194" s="1"/>
      <c r="DH194" s="1">
        <v>2.3</v>
      </c>
      <c r="DI194" s="1"/>
      <c r="DJ194" s="1">
        <v>0.1</v>
      </c>
      <c r="DK194" s="1"/>
      <c r="DL194" s="1"/>
      <c r="DM194" s="1">
        <v>3.84</v>
      </c>
      <c r="DN194" s="1">
        <v>104.0</v>
      </c>
      <c r="DO194" s="7" t="str">
        <f t="shared" si="15"/>
        <v>Средняя степень</v>
      </c>
      <c r="DP194" s="1">
        <v>26.0</v>
      </c>
      <c r="DQ194" s="1">
        <v>190.0</v>
      </c>
      <c r="DR194" s="1">
        <v>149.6</v>
      </c>
      <c r="DS194" s="1">
        <v>516.0</v>
      </c>
      <c r="DT194" s="1">
        <v>22.6</v>
      </c>
      <c r="DU194" s="1">
        <v>12.0</v>
      </c>
      <c r="DV194" s="1">
        <v>1.02</v>
      </c>
      <c r="DW194" s="1" t="s">
        <v>473</v>
      </c>
      <c r="DX194" s="1">
        <v>455.0</v>
      </c>
      <c r="DY194" s="1">
        <v>18.4</v>
      </c>
      <c r="DZ194" s="1">
        <v>11.9</v>
      </c>
      <c r="EA194" s="1">
        <v>1.017</v>
      </c>
      <c r="EB194" s="1"/>
      <c r="EC194" s="1">
        <v>5.52</v>
      </c>
      <c r="ED194" s="1">
        <v>7.27</v>
      </c>
      <c r="EE194" s="1">
        <v>29.57</v>
      </c>
      <c r="EF194" s="1">
        <v>75.07</v>
      </c>
      <c r="EG194" s="1">
        <v>74.5</v>
      </c>
      <c r="EH194" s="1">
        <v>4.6</v>
      </c>
      <c r="EI194" s="1">
        <v>1.17</v>
      </c>
      <c r="EJ194" s="1">
        <v>65.68</v>
      </c>
      <c r="EK194" s="34">
        <f t="shared" si="16"/>
        <v>95.00642839</v>
      </c>
      <c r="EL194" s="11" t="str">
        <f t="shared" si="17"/>
        <v>C1</v>
      </c>
      <c r="EM194" s="1">
        <v>136.8</v>
      </c>
      <c r="EN194" s="1">
        <v>4.02</v>
      </c>
      <c r="EO194" s="1">
        <v>90.9</v>
      </c>
      <c r="EP194" s="1">
        <v>78.8</v>
      </c>
      <c r="EQ194" s="1">
        <v>57.3</v>
      </c>
      <c r="ER194" s="1">
        <v>6.7</v>
      </c>
      <c r="ES194" s="1">
        <v>3.7</v>
      </c>
      <c r="ET194" s="1">
        <v>63.0</v>
      </c>
      <c r="EU194" s="11">
        <f t="shared" si="18"/>
        <v>99.91413636</v>
      </c>
      <c r="EV194" s="11" t="str">
        <f t="shared" si="19"/>
        <v>C1</v>
      </c>
      <c r="EW194" s="1">
        <v>134.4</v>
      </c>
      <c r="EX194" s="1">
        <v>3.5</v>
      </c>
      <c r="EY194" s="9">
        <f t="shared" si="20"/>
        <v>-0.6379426327</v>
      </c>
      <c r="EZ194" s="9">
        <f t="shared" si="21"/>
        <v>0.654288242</v>
      </c>
      <c r="FA194" s="9" t="str">
        <f t="shared" si="22"/>
        <v>Неблагоприятный</v>
      </c>
      <c r="FB194" s="1" t="s">
        <v>150</v>
      </c>
      <c r="FC194" s="39" t="s">
        <v>445</v>
      </c>
    </row>
    <row r="195">
      <c r="A195" s="7">
        <v>194.0</v>
      </c>
      <c r="B195" s="38">
        <v>9.0</v>
      </c>
      <c r="C195" s="7">
        <v>9490.0</v>
      </c>
      <c r="D195" s="39" t="s">
        <v>445</v>
      </c>
      <c r="E195" s="1">
        <v>45.0</v>
      </c>
      <c r="F195" s="1" t="s">
        <v>149</v>
      </c>
      <c r="G195" s="1"/>
      <c r="H195" s="1">
        <v>29.0</v>
      </c>
      <c r="I195" s="1" t="s">
        <v>150</v>
      </c>
      <c r="J195" s="1" t="s">
        <v>150</v>
      </c>
      <c r="K195" s="9"/>
      <c r="L195" s="1" t="s">
        <v>150</v>
      </c>
      <c r="M195" s="1" t="s">
        <v>150</v>
      </c>
      <c r="N195" s="9"/>
      <c r="O195" s="1" t="str">
        <f t="shared" si="29"/>
        <v>нет</v>
      </c>
      <c r="P195" s="1" t="s">
        <v>150</v>
      </c>
      <c r="Q195" s="1" t="s">
        <v>150</v>
      </c>
      <c r="R195" s="9"/>
      <c r="S195" s="1" t="s">
        <v>150</v>
      </c>
      <c r="T195" s="9"/>
      <c r="U195" s="9"/>
      <c r="V195" s="9"/>
      <c r="W195" s="9"/>
      <c r="X195" s="9"/>
      <c r="Y195" s="1" t="s">
        <v>150</v>
      </c>
      <c r="Z195" s="9"/>
      <c r="AA195" s="9"/>
      <c r="AB195" s="9"/>
      <c r="AC195" s="9"/>
      <c r="AD195" s="1" t="s">
        <v>667</v>
      </c>
      <c r="AE195" s="1" t="s">
        <v>154</v>
      </c>
      <c r="AF195" s="1">
        <v>27.0</v>
      </c>
      <c r="AG195" s="1" t="s">
        <v>635</v>
      </c>
      <c r="AH195" s="1" t="s">
        <v>154</v>
      </c>
      <c r="AI195" s="1" t="s">
        <v>630</v>
      </c>
      <c r="AJ195" s="1">
        <v>2.0</v>
      </c>
      <c r="AK195" s="1" t="s">
        <v>5</v>
      </c>
      <c r="AL195" s="1" t="s">
        <v>150</v>
      </c>
      <c r="AM195" s="1"/>
      <c r="AN195" s="1">
        <v>15.0</v>
      </c>
      <c r="AO195" s="1" t="str">
        <f t="shared" si="2"/>
        <v>нет</v>
      </c>
      <c r="AP195" s="1">
        <v>177.0</v>
      </c>
      <c r="AQ195" s="1">
        <v>88.0</v>
      </c>
      <c r="AR195" s="9">
        <f t="shared" si="3"/>
        <v>28.08899103</v>
      </c>
      <c r="AS195" s="7" t="str">
        <f t="shared" si="4"/>
        <v>Избыточный вес (предожирение)</v>
      </c>
      <c r="AT195" s="1">
        <v>130.0</v>
      </c>
      <c r="AU195" s="1">
        <v>95.0</v>
      </c>
      <c r="AV195" s="9"/>
      <c r="AW195" s="1">
        <v>107.0</v>
      </c>
      <c r="AX195" s="1">
        <v>37.5</v>
      </c>
      <c r="AY195" s="1">
        <v>26.0</v>
      </c>
      <c r="AZ195" s="1">
        <v>89.0</v>
      </c>
      <c r="BA195" s="10" t="str">
        <f t="shared" si="5"/>
        <v>да</v>
      </c>
      <c r="BB195" s="1">
        <v>96.0</v>
      </c>
      <c r="BC195" s="1">
        <v>50.0</v>
      </c>
      <c r="BD195" s="12">
        <f t="shared" si="6"/>
        <v>0.06846153846</v>
      </c>
      <c r="BE195" s="12">
        <f t="shared" si="7"/>
        <v>1</v>
      </c>
      <c r="BF195" s="12">
        <f t="shared" si="8"/>
        <v>7</v>
      </c>
      <c r="BG195" s="1" t="s">
        <v>154</v>
      </c>
      <c r="BH195" s="1" t="s">
        <v>163</v>
      </c>
      <c r="BI195" s="1" t="s">
        <v>154</v>
      </c>
      <c r="BJ195" s="1" t="s">
        <v>506</v>
      </c>
      <c r="BK195" s="1" t="s">
        <v>154</v>
      </c>
      <c r="BL195" s="1" t="s">
        <v>189</v>
      </c>
      <c r="BM195" s="1" t="s">
        <v>154</v>
      </c>
      <c r="BN195" s="1" t="s">
        <v>448</v>
      </c>
      <c r="BO195" s="1" t="s">
        <v>154</v>
      </c>
      <c r="BP195" s="1" t="s">
        <v>157</v>
      </c>
      <c r="BQ195" s="9"/>
      <c r="BR195" s="1" t="s">
        <v>154</v>
      </c>
      <c r="BS195" s="1" t="s">
        <v>668</v>
      </c>
      <c r="BT195" s="1" t="s">
        <v>669</v>
      </c>
      <c r="BU195" s="1" t="s">
        <v>170</v>
      </c>
      <c r="BV195" s="1">
        <v>16.0</v>
      </c>
      <c r="BW195" s="1" t="s">
        <v>150</v>
      </c>
      <c r="BX195" s="1" t="s">
        <v>154</v>
      </c>
      <c r="BY195" s="1" t="s">
        <v>258</v>
      </c>
      <c r="BZ195" s="1" t="s">
        <v>158</v>
      </c>
      <c r="CA195" s="1" t="s">
        <v>150</v>
      </c>
      <c r="CB195" s="1" t="s">
        <v>185</v>
      </c>
      <c r="CC195" s="1" t="s">
        <v>150</v>
      </c>
      <c r="CD195" s="1" t="s">
        <v>247</v>
      </c>
      <c r="CE195" s="1" t="s">
        <v>150</v>
      </c>
      <c r="CF195" s="1" t="s">
        <v>150</v>
      </c>
      <c r="CG195" s="1" t="s">
        <v>154</v>
      </c>
      <c r="CH195" s="1" t="s">
        <v>150</v>
      </c>
      <c r="CI195" s="1" t="s">
        <v>150</v>
      </c>
      <c r="CJ195" s="1" t="s">
        <v>154</v>
      </c>
      <c r="CK195" s="1" t="s">
        <v>150</v>
      </c>
      <c r="CL195" s="1" t="s">
        <v>670</v>
      </c>
      <c r="CM195" s="1">
        <v>12.5</v>
      </c>
      <c r="CN195" s="1">
        <v>79.6</v>
      </c>
      <c r="CO195" s="7">
        <f t="shared" si="23"/>
        <v>9.95</v>
      </c>
      <c r="CP195" s="1">
        <v>12.3</v>
      </c>
      <c r="CQ195" s="7">
        <f t="shared" si="10"/>
        <v>1.22385</v>
      </c>
      <c r="CR195" s="1">
        <v>6.1</v>
      </c>
      <c r="CS195" s="7">
        <f t="shared" si="11"/>
        <v>0.07465485</v>
      </c>
      <c r="CT195" s="1">
        <v>0.0</v>
      </c>
      <c r="CU195" s="7">
        <f t="shared" si="12"/>
        <v>0</v>
      </c>
      <c r="CV195" s="7">
        <f t="shared" si="13"/>
        <v>8.130081301</v>
      </c>
      <c r="CW195" s="1">
        <v>5.37</v>
      </c>
      <c r="CX195" s="1">
        <v>162.0</v>
      </c>
      <c r="CY195" s="7" t="str">
        <f t="shared" si="14"/>
        <v>Норма</v>
      </c>
      <c r="CZ195" s="1">
        <v>36.0</v>
      </c>
      <c r="DA195" s="1">
        <v>136.0</v>
      </c>
      <c r="DB195" s="1">
        <v>117.9</v>
      </c>
      <c r="DC195" s="1">
        <v>8.1</v>
      </c>
      <c r="DD195" s="1">
        <v>88.6</v>
      </c>
      <c r="DE195" s="1"/>
      <c r="DF195" s="1">
        <v>7.2</v>
      </c>
      <c r="DG195" s="1"/>
      <c r="DH195" s="1">
        <v>3.8</v>
      </c>
      <c r="DI195" s="1"/>
      <c r="DJ195" s="1">
        <v>0.0</v>
      </c>
      <c r="DK195" s="1"/>
      <c r="DL195" s="1"/>
      <c r="DM195" s="1">
        <v>4.68</v>
      </c>
      <c r="DN195" s="1">
        <v>141.0</v>
      </c>
      <c r="DO195" s="7" t="str">
        <f t="shared" si="15"/>
        <v>Норма</v>
      </c>
      <c r="DP195" s="1">
        <v>36.0</v>
      </c>
      <c r="DQ195" s="1">
        <v>140.0</v>
      </c>
      <c r="DR195" s="1">
        <v>188.6</v>
      </c>
      <c r="DS195" s="1">
        <v>664.8</v>
      </c>
      <c r="DT195" s="1">
        <v>22.6</v>
      </c>
      <c r="DU195" s="1">
        <v>14.2</v>
      </c>
      <c r="DV195" s="1">
        <v>1.21</v>
      </c>
      <c r="DW195" s="1" t="s">
        <v>458</v>
      </c>
      <c r="DX195" s="1">
        <v>514.0</v>
      </c>
      <c r="DY195" s="1">
        <v>33.4</v>
      </c>
      <c r="DZ195" s="1">
        <v>13.1</v>
      </c>
      <c r="EA195" s="1">
        <v>1.12</v>
      </c>
      <c r="EB195" s="1"/>
      <c r="EC195" s="1">
        <v>7.89</v>
      </c>
      <c r="ED195" s="1">
        <v>10.96</v>
      </c>
      <c r="EE195" s="1">
        <v>30.49</v>
      </c>
      <c r="EF195" s="1">
        <v>56.0</v>
      </c>
      <c r="EG195" s="1">
        <v>74.9</v>
      </c>
      <c r="EH195" s="1">
        <v>8.73</v>
      </c>
      <c r="EI195" s="6" t="s">
        <v>640</v>
      </c>
      <c r="EJ195" s="1">
        <v>118.86</v>
      </c>
      <c r="EK195" s="34">
        <f t="shared" si="16"/>
        <v>47.69957136</v>
      </c>
      <c r="EL195" s="11" t="str">
        <f t="shared" si="17"/>
        <v>C3a</v>
      </c>
      <c r="EM195" s="1">
        <v>135.8</v>
      </c>
      <c r="EN195" s="1">
        <v>4.14</v>
      </c>
      <c r="EO195" s="1">
        <v>65.8</v>
      </c>
      <c r="EP195" s="40">
        <v>45739.0</v>
      </c>
      <c r="EQ195" s="1">
        <v>57.2</v>
      </c>
      <c r="ER195" s="1">
        <v>9.7</v>
      </c>
      <c r="ES195" s="6" t="s">
        <v>640</v>
      </c>
      <c r="ET195" s="1">
        <v>79.0</v>
      </c>
      <c r="EU195" s="11">
        <f t="shared" si="18"/>
        <v>78.16305325</v>
      </c>
      <c r="EV195" s="11" t="str">
        <f t="shared" si="19"/>
        <v>C2</v>
      </c>
      <c r="EW195" s="1">
        <v>134.6</v>
      </c>
      <c r="EX195" s="1">
        <v>4.53</v>
      </c>
      <c r="EY195" s="9">
        <f t="shared" si="20"/>
        <v>0.3641095539</v>
      </c>
      <c r="EZ195" s="9">
        <f t="shared" si="21"/>
        <v>0.4099651241</v>
      </c>
      <c r="FA195" s="9" t="str">
        <f t="shared" si="22"/>
        <v>Благоприятный</v>
      </c>
      <c r="FB195" s="1" t="s">
        <v>256</v>
      </c>
      <c r="FC195" s="39" t="s">
        <v>445</v>
      </c>
    </row>
    <row r="196">
      <c r="A196" s="7">
        <v>195.0</v>
      </c>
      <c r="B196" s="38">
        <v>10.0</v>
      </c>
      <c r="C196" s="7">
        <v>9934.0</v>
      </c>
      <c r="D196" s="39" t="s">
        <v>445</v>
      </c>
      <c r="E196" s="1">
        <v>54.0</v>
      </c>
      <c r="F196" s="1" t="s">
        <v>161</v>
      </c>
      <c r="G196" s="1" t="s">
        <v>150</v>
      </c>
      <c r="H196" s="1">
        <v>9.0</v>
      </c>
      <c r="I196" s="1" t="s">
        <v>150</v>
      </c>
      <c r="J196" s="1" t="s">
        <v>150</v>
      </c>
      <c r="K196" s="9"/>
      <c r="L196" s="1" t="s">
        <v>150</v>
      </c>
      <c r="M196" s="1" t="s">
        <v>150</v>
      </c>
      <c r="N196" s="9"/>
      <c r="O196" s="1" t="str">
        <f t="shared" si="29"/>
        <v>нет</v>
      </c>
      <c r="P196" s="1" t="s">
        <v>150</v>
      </c>
      <c r="Q196" s="1" t="s">
        <v>150</v>
      </c>
      <c r="R196" s="9"/>
      <c r="S196" s="1" t="s">
        <v>150</v>
      </c>
      <c r="T196" s="9"/>
      <c r="U196" s="9"/>
      <c r="V196" s="9"/>
      <c r="W196" s="9"/>
      <c r="X196" s="9"/>
      <c r="Y196" s="1" t="s">
        <v>150</v>
      </c>
      <c r="Z196" s="9"/>
      <c r="AA196" s="9"/>
      <c r="AB196" s="9"/>
      <c r="AC196" s="9"/>
      <c r="AD196" s="1"/>
      <c r="AE196" s="1" t="s">
        <v>154</v>
      </c>
      <c r="AF196" s="1">
        <v>6.0</v>
      </c>
      <c r="AG196" s="1" t="s">
        <v>618</v>
      </c>
      <c r="AH196" s="1" t="s">
        <v>154</v>
      </c>
      <c r="AI196" s="1" t="s">
        <v>619</v>
      </c>
      <c r="AJ196" s="1">
        <v>2.0</v>
      </c>
      <c r="AK196" s="1" t="s">
        <v>5</v>
      </c>
      <c r="AL196" s="1" t="s">
        <v>150</v>
      </c>
      <c r="AM196" s="1"/>
      <c r="AN196" s="1">
        <v>15.0</v>
      </c>
      <c r="AO196" s="1" t="str">
        <f t="shared" si="2"/>
        <v>нет</v>
      </c>
      <c r="AP196" s="1">
        <v>150.0</v>
      </c>
      <c r="AQ196" s="1">
        <v>90.0</v>
      </c>
      <c r="AR196" s="9">
        <f t="shared" si="3"/>
        <v>40</v>
      </c>
      <c r="AS196" s="7" t="str">
        <f t="shared" si="4"/>
        <v>Ожирение III степени (морбидное)</v>
      </c>
      <c r="AT196" s="1">
        <v>130.0</v>
      </c>
      <c r="AU196" s="1">
        <v>90.0</v>
      </c>
      <c r="AV196" s="9"/>
      <c r="AW196" s="1">
        <v>110.0</v>
      </c>
      <c r="AX196" s="1">
        <v>37.5</v>
      </c>
      <c r="AY196" s="1">
        <v>18.0</v>
      </c>
      <c r="AZ196" s="1">
        <v>75.0</v>
      </c>
      <c r="BA196" s="10" t="str">
        <f t="shared" si="5"/>
        <v>да</v>
      </c>
      <c r="BB196" s="1">
        <v>95.0</v>
      </c>
      <c r="BC196" s="1">
        <v>95.0</v>
      </c>
      <c r="BD196" s="12">
        <f t="shared" si="6"/>
        <v>0.04385964912</v>
      </c>
      <c r="BE196" s="12">
        <f t="shared" si="7"/>
        <v>0</v>
      </c>
      <c r="BF196" s="12">
        <f t="shared" si="8"/>
        <v>4</v>
      </c>
      <c r="BG196" s="1" t="s">
        <v>154</v>
      </c>
      <c r="BH196" s="1" t="s">
        <v>175</v>
      </c>
      <c r="BI196" s="1" t="s">
        <v>154</v>
      </c>
      <c r="BJ196" s="1" t="s">
        <v>175</v>
      </c>
      <c r="BK196" s="1" t="s">
        <v>150</v>
      </c>
      <c r="BL196" s="9"/>
      <c r="BM196" s="1" t="s">
        <v>154</v>
      </c>
      <c r="BN196" s="1" t="s">
        <v>155</v>
      </c>
      <c r="BO196" s="1" t="s">
        <v>154</v>
      </c>
      <c r="BP196" s="1" t="s">
        <v>157</v>
      </c>
      <c r="BQ196" s="9"/>
      <c r="BR196" s="1" t="s">
        <v>154</v>
      </c>
      <c r="BS196" s="1" t="s">
        <v>512</v>
      </c>
      <c r="BT196" s="1" t="s">
        <v>671</v>
      </c>
      <c r="BU196" s="1" t="s">
        <v>672</v>
      </c>
      <c r="BV196" s="1">
        <v>24.0</v>
      </c>
      <c r="BW196" s="1" t="s">
        <v>150</v>
      </c>
      <c r="BX196" s="1" t="s">
        <v>154</v>
      </c>
      <c r="BY196" s="1" t="s">
        <v>275</v>
      </c>
      <c r="BZ196" s="1" t="s">
        <v>158</v>
      </c>
      <c r="CA196" s="1" t="s">
        <v>150</v>
      </c>
      <c r="CB196" s="1" t="s">
        <v>150</v>
      </c>
      <c r="CC196" s="1" t="s">
        <v>150</v>
      </c>
      <c r="CD196" s="1" t="s">
        <v>150</v>
      </c>
      <c r="CE196" s="1" t="s">
        <v>150</v>
      </c>
      <c r="CF196" s="1" t="s">
        <v>150</v>
      </c>
      <c r="CG196" s="1" t="s">
        <v>150</v>
      </c>
      <c r="CH196" s="1" t="s">
        <v>150</v>
      </c>
      <c r="CI196" s="1" t="s">
        <v>150</v>
      </c>
      <c r="CJ196" s="1" t="s">
        <v>154</v>
      </c>
      <c r="CK196" s="1" t="s">
        <v>150</v>
      </c>
      <c r="CL196" s="1" t="s">
        <v>673</v>
      </c>
      <c r="CM196" s="1">
        <v>8.2</v>
      </c>
      <c r="CN196" s="1">
        <v>4.5</v>
      </c>
      <c r="CO196" s="7">
        <f t="shared" si="23"/>
        <v>0.369</v>
      </c>
      <c r="CP196" s="1">
        <v>3.3</v>
      </c>
      <c r="CQ196" s="7">
        <f t="shared" si="10"/>
        <v>0.012177</v>
      </c>
      <c r="CR196" s="1">
        <v>0.3</v>
      </c>
      <c r="CS196" s="7">
        <f t="shared" si="11"/>
        <v>0.000036531</v>
      </c>
      <c r="CT196" s="1">
        <v>0.0</v>
      </c>
      <c r="CU196" s="7">
        <f t="shared" si="12"/>
        <v>0</v>
      </c>
      <c r="CV196" s="7">
        <f t="shared" si="13"/>
        <v>30.3030303</v>
      </c>
      <c r="CW196" s="1">
        <v>5.31</v>
      </c>
      <c r="CX196" s="1">
        <v>79.0</v>
      </c>
      <c r="CY196" s="7" t="str">
        <f t="shared" si="14"/>
        <v>Тяжелая степень</v>
      </c>
      <c r="CZ196" s="6" t="s">
        <v>640</v>
      </c>
      <c r="DA196" s="1">
        <v>325.0</v>
      </c>
      <c r="DB196" s="1">
        <v>144.9</v>
      </c>
      <c r="DC196" s="1">
        <v>30.3</v>
      </c>
      <c r="DD196" s="1">
        <v>86.5</v>
      </c>
      <c r="DE196" s="1"/>
      <c r="DF196" s="1">
        <v>7.1</v>
      </c>
      <c r="DG196" s="1"/>
      <c r="DH196" s="1">
        <v>1.9</v>
      </c>
      <c r="DI196" s="1"/>
      <c r="DJ196" s="1">
        <v>0.1</v>
      </c>
      <c r="DK196" s="1"/>
      <c r="DL196" s="1"/>
      <c r="DM196" s="1">
        <v>6.13</v>
      </c>
      <c r="DN196" s="1">
        <v>84.0</v>
      </c>
      <c r="DO196" s="7" t="str">
        <f t="shared" si="15"/>
        <v>Средняя степень</v>
      </c>
      <c r="DP196" s="6" t="s">
        <v>640</v>
      </c>
      <c r="DQ196" s="1">
        <v>194.0</v>
      </c>
      <c r="DR196" s="1">
        <v>50.8</v>
      </c>
      <c r="DS196" s="15">
        <v>800.0</v>
      </c>
      <c r="DT196" s="6" t="s">
        <v>640</v>
      </c>
      <c r="DU196" s="1">
        <v>13.3</v>
      </c>
      <c r="DV196" s="1">
        <v>1.14</v>
      </c>
      <c r="DW196" s="6" t="s">
        <v>640</v>
      </c>
      <c r="DX196" s="15">
        <v>276.5</v>
      </c>
      <c r="DY196" s="6" t="s">
        <v>640</v>
      </c>
      <c r="DZ196" s="1">
        <v>11.4</v>
      </c>
      <c r="EA196" s="1">
        <v>0.97</v>
      </c>
      <c r="EB196" s="1"/>
      <c r="EC196" s="1">
        <v>10.17</v>
      </c>
      <c r="ED196" s="1">
        <v>6.41</v>
      </c>
      <c r="EE196" s="1">
        <v>82.4</v>
      </c>
      <c r="EF196" s="1">
        <v>71.19</v>
      </c>
      <c r="EG196" s="1">
        <v>71.1</v>
      </c>
      <c r="EH196" s="1">
        <v>18.18</v>
      </c>
      <c r="EI196" s="1">
        <v>4.9</v>
      </c>
      <c r="EJ196" s="1">
        <v>66.5</v>
      </c>
      <c r="EK196" s="34">
        <f t="shared" si="16"/>
        <v>90.36172986</v>
      </c>
      <c r="EL196" s="11" t="str">
        <f t="shared" si="17"/>
        <v>C1</v>
      </c>
      <c r="EM196" s="1">
        <v>139.7</v>
      </c>
      <c r="EN196" s="1">
        <v>4.34</v>
      </c>
      <c r="EO196" s="1">
        <v>73.5</v>
      </c>
      <c r="EP196" s="1">
        <v>54.2</v>
      </c>
      <c r="EQ196" s="1">
        <v>55.1</v>
      </c>
      <c r="ER196" s="1">
        <v>11.9</v>
      </c>
      <c r="ES196" s="1">
        <v>5.5</v>
      </c>
      <c r="ET196" s="1">
        <v>48.0</v>
      </c>
      <c r="EU196" s="11">
        <f t="shared" si="18"/>
        <v>107.1420045</v>
      </c>
      <c r="EV196" s="11" t="str">
        <f t="shared" si="19"/>
        <v>C1</v>
      </c>
      <c r="EW196" s="1">
        <v>135.8</v>
      </c>
      <c r="EX196" s="1">
        <v>3.6</v>
      </c>
      <c r="EY196" s="9">
        <f t="shared" si="20"/>
        <v>0.280663</v>
      </c>
      <c r="EZ196" s="9">
        <f t="shared" si="21"/>
        <v>0.4302912403</v>
      </c>
      <c r="FA196" s="9" t="str">
        <f t="shared" si="22"/>
        <v>Благоприятный</v>
      </c>
      <c r="FB196" s="1" t="s">
        <v>256</v>
      </c>
      <c r="FC196" s="39" t="s">
        <v>445</v>
      </c>
    </row>
    <row r="197">
      <c r="A197" s="7">
        <v>196.0</v>
      </c>
      <c r="B197" s="38">
        <v>11.0</v>
      </c>
      <c r="C197" s="7">
        <v>9848.0</v>
      </c>
      <c r="D197" s="39" t="s">
        <v>445</v>
      </c>
      <c r="E197" s="1">
        <v>53.0</v>
      </c>
      <c r="F197" s="1" t="s">
        <v>149</v>
      </c>
      <c r="G197" s="1"/>
      <c r="H197" s="1">
        <v>11.0</v>
      </c>
      <c r="I197" s="1" t="s">
        <v>150</v>
      </c>
      <c r="J197" s="1" t="s">
        <v>150</v>
      </c>
      <c r="K197" s="9"/>
      <c r="L197" s="1" t="s">
        <v>150</v>
      </c>
      <c r="M197" s="1" t="s">
        <v>154</v>
      </c>
      <c r="N197" s="1" t="s">
        <v>657</v>
      </c>
      <c r="O197" s="1" t="s">
        <v>154</v>
      </c>
      <c r="P197" s="1" t="s">
        <v>154</v>
      </c>
      <c r="Q197" s="1" t="s">
        <v>154</v>
      </c>
      <c r="R197" s="1">
        <v>3.0</v>
      </c>
      <c r="S197" s="1" t="s">
        <v>150</v>
      </c>
      <c r="T197" s="9"/>
      <c r="U197" s="9"/>
      <c r="V197" s="9"/>
      <c r="W197" s="9"/>
      <c r="X197" s="9"/>
      <c r="Y197" s="1" t="s">
        <v>150</v>
      </c>
      <c r="Z197" s="9"/>
      <c r="AA197" s="9"/>
      <c r="AB197" s="9"/>
      <c r="AC197" s="9"/>
      <c r="AD197" s="1"/>
      <c r="AE197" s="1" t="s">
        <v>154</v>
      </c>
      <c r="AF197" s="1">
        <v>12.0</v>
      </c>
      <c r="AG197" s="1" t="s">
        <v>618</v>
      </c>
      <c r="AH197" s="1" t="s">
        <v>154</v>
      </c>
      <c r="AI197" s="1" t="s">
        <v>619</v>
      </c>
      <c r="AJ197" s="1">
        <v>3.0</v>
      </c>
      <c r="AK197" s="1" t="s">
        <v>5</v>
      </c>
      <c r="AL197" s="1" t="s">
        <v>150</v>
      </c>
      <c r="AM197" s="1"/>
      <c r="AN197" s="1">
        <v>15.0</v>
      </c>
      <c r="AO197" s="1" t="str">
        <f t="shared" si="2"/>
        <v>нет</v>
      </c>
      <c r="AP197" s="1">
        <v>160.0</v>
      </c>
      <c r="AQ197" s="1">
        <v>75.0</v>
      </c>
      <c r="AR197" s="9">
        <f t="shared" si="3"/>
        <v>29.296875</v>
      </c>
      <c r="AS197" s="7" t="str">
        <f t="shared" si="4"/>
        <v>Избыточный вес (предожирение)</v>
      </c>
      <c r="AT197" s="1">
        <v>120.0</v>
      </c>
      <c r="AU197" s="1">
        <v>80.0</v>
      </c>
      <c r="AV197" s="9"/>
      <c r="AW197" s="1">
        <v>90.0</v>
      </c>
      <c r="AX197" s="1">
        <v>37.8</v>
      </c>
      <c r="AY197" s="1">
        <v>26.0</v>
      </c>
      <c r="AZ197" s="1">
        <v>70.0</v>
      </c>
      <c r="BA197" s="10" t="str">
        <f t="shared" si="5"/>
        <v>да</v>
      </c>
      <c r="BB197" s="1">
        <v>89.0</v>
      </c>
      <c r="BC197" s="1">
        <v>100.0</v>
      </c>
      <c r="BD197" s="12">
        <f t="shared" si="6"/>
        <v>0.02692307692</v>
      </c>
      <c r="BE197" s="12">
        <f t="shared" si="7"/>
        <v>1</v>
      </c>
      <c r="BF197" s="12">
        <f t="shared" si="8"/>
        <v>6</v>
      </c>
      <c r="BG197" s="1" t="s">
        <v>652</v>
      </c>
      <c r="BH197" s="9"/>
      <c r="BI197" s="1" t="s">
        <v>154</v>
      </c>
      <c r="BJ197" s="1" t="s">
        <v>237</v>
      </c>
      <c r="BK197" s="1" t="s">
        <v>150</v>
      </c>
      <c r="BL197" s="9"/>
      <c r="BM197" s="1" t="s">
        <v>154</v>
      </c>
      <c r="BN197" s="1" t="s">
        <v>448</v>
      </c>
      <c r="BO197" s="1" t="s">
        <v>652</v>
      </c>
      <c r="BP197" s="9"/>
      <c r="BQ197" s="9"/>
      <c r="BR197" s="1" t="s">
        <v>154</v>
      </c>
      <c r="BS197" s="1" t="s">
        <v>174</v>
      </c>
      <c r="BT197" s="1" t="s">
        <v>674</v>
      </c>
      <c r="BU197" s="1" t="s">
        <v>157</v>
      </c>
      <c r="BV197" s="1">
        <v>24.0</v>
      </c>
      <c r="BW197" s="1" t="s">
        <v>154</v>
      </c>
      <c r="BX197" s="1" t="s">
        <v>154</v>
      </c>
      <c r="BY197" s="1" t="s">
        <v>275</v>
      </c>
      <c r="BZ197" s="1" t="s">
        <v>158</v>
      </c>
      <c r="CA197" s="1" t="s">
        <v>272</v>
      </c>
      <c r="CB197" s="1" t="s">
        <v>150</v>
      </c>
      <c r="CC197" s="1" t="s">
        <v>150</v>
      </c>
      <c r="CD197" s="1" t="s">
        <v>150</v>
      </c>
      <c r="CE197" s="1" t="s">
        <v>150</v>
      </c>
      <c r="CF197" s="1" t="s">
        <v>150</v>
      </c>
      <c r="CG197" s="1" t="s">
        <v>150</v>
      </c>
      <c r="CH197" s="1" t="s">
        <v>150</v>
      </c>
      <c r="CI197" s="1" t="s">
        <v>150</v>
      </c>
      <c r="CJ197" s="1" t="s">
        <v>154</v>
      </c>
      <c r="CK197" s="1" t="s">
        <v>150</v>
      </c>
      <c r="CL197" s="1" t="s">
        <v>643</v>
      </c>
      <c r="CM197" s="1">
        <v>9.37</v>
      </c>
      <c r="CN197" s="1">
        <v>7.98</v>
      </c>
      <c r="CO197" s="7">
        <f t="shared" si="23"/>
        <v>0.747726</v>
      </c>
      <c r="CP197" s="1">
        <v>0.93</v>
      </c>
      <c r="CQ197" s="7">
        <f t="shared" si="10"/>
        <v>0.0069538518</v>
      </c>
      <c r="CR197" s="1">
        <v>0.45</v>
      </c>
      <c r="CS197" s="7">
        <f t="shared" si="11"/>
        <v>0.0000312923331</v>
      </c>
      <c r="CT197" s="1">
        <v>0.0</v>
      </c>
      <c r="CU197" s="7">
        <f t="shared" si="12"/>
        <v>0</v>
      </c>
      <c r="CV197" s="7">
        <f t="shared" si="13"/>
        <v>107.5268817</v>
      </c>
      <c r="CW197" s="1">
        <v>4.56</v>
      </c>
      <c r="CX197" s="1">
        <v>133.0</v>
      </c>
      <c r="CY197" s="7" t="str">
        <f t="shared" si="14"/>
        <v>Норма</v>
      </c>
      <c r="CZ197" s="6" t="s">
        <v>640</v>
      </c>
      <c r="DA197" s="1">
        <v>270.0</v>
      </c>
      <c r="DB197" s="1">
        <v>206.8</v>
      </c>
      <c r="DC197" s="1">
        <v>24.05</v>
      </c>
      <c r="DD197" s="1">
        <v>22.43</v>
      </c>
      <c r="DE197" s="1"/>
      <c r="DF197" s="1">
        <v>0.43</v>
      </c>
      <c r="DG197" s="1"/>
      <c r="DH197" s="1">
        <v>1.06</v>
      </c>
      <c r="DI197" s="1"/>
      <c r="DJ197" s="1">
        <v>0.1</v>
      </c>
      <c r="DK197" s="1"/>
      <c r="DL197" s="1"/>
      <c r="DM197" s="1">
        <v>4.64</v>
      </c>
      <c r="DN197" s="1">
        <v>136.0</v>
      </c>
      <c r="DO197" s="7" t="str">
        <f t="shared" si="15"/>
        <v>Норма</v>
      </c>
      <c r="DP197" s="6" t="s">
        <v>640</v>
      </c>
      <c r="DQ197" s="1">
        <v>71.0</v>
      </c>
      <c r="DR197" s="1">
        <v>11.8</v>
      </c>
      <c r="DS197" s="15">
        <v>1200.0</v>
      </c>
      <c r="DT197" s="6" t="s">
        <v>640</v>
      </c>
      <c r="DU197" s="1">
        <v>18.3</v>
      </c>
      <c r="DV197" s="1">
        <v>1.56</v>
      </c>
      <c r="DW197" s="1" t="s">
        <v>473</v>
      </c>
      <c r="DX197" s="15">
        <v>502.0</v>
      </c>
      <c r="DY197" s="6" t="s">
        <v>640</v>
      </c>
      <c r="DZ197" s="1">
        <v>13.9</v>
      </c>
      <c r="EA197" s="1">
        <v>1.18</v>
      </c>
      <c r="EB197" s="1"/>
      <c r="EC197" s="1">
        <v>10.97</v>
      </c>
      <c r="ED197" s="1">
        <v>5.25</v>
      </c>
      <c r="EE197" s="1">
        <v>35.8</v>
      </c>
      <c r="EF197" s="1">
        <v>62.7</v>
      </c>
      <c r="EG197" s="1">
        <v>73.6</v>
      </c>
      <c r="EH197" s="1">
        <v>8.1</v>
      </c>
      <c r="EI197" s="1">
        <v>4.4</v>
      </c>
      <c r="EJ197" s="1">
        <v>127.0</v>
      </c>
      <c r="EK197" s="41">
        <f t="shared" si="16"/>
        <v>41.62248049</v>
      </c>
      <c r="EL197" s="11" t="str">
        <f t="shared" si="17"/>
        <v>C3b</v>
      </c>
      <c r="EM197" s="1">
        <v>132.1</v>
      </c>
      <c r="EN197" s="1">
        <v>3.91</v>
      </c>
      <c r="EO197" s="1">
        <v>26.3</v>
      </c>
      <c r="EP197" s="1">
        <v>48.9</v>
      </c>
      <c r="EQ197" s="1">
        <v>60.5</v>
      </c>
      <c r="ER197" s="1">
        <v>13.1</v>
      </c>
      <c r="ES197" s="1">
        <v>5.0</v>
      </c>
      <c r="ET197" s="1">
        <v>79.0</v>
      </c>
      <c r="EU197" s="11">
        <f t="shared" si="18"/>
        <v>73.89167368</v>
      </c>
      <c r="EV197" s="11" t="str">
        <f t="shared" si="19"/>
        <v>C2</v>
      </c>
      <c r="EW197" s="1">
        <v>140.5</v>
      </c>
      <c r="EX197" s="1">
        <v>7.89</v>
      </c>
      <c r="EY197" s="9">
        <f t="shared" si="20"/>
        <v>0.0293271875</v>
      </c>
      <c r="EZ197" s="9">
        <f t="shared" si="21"/>
        <v>0.4926687286</v>
      </c>
      <c r="FA197" s="9" t="str">
        <f t="shared" si="22"/>
        <v>Благоприятный</v>
      </c>
      <c r="FB197" s="1" t="s">
        <v>256</v>
      </c>
      <c r="FC197" s="39" t="s">
        <v>445</v>
      </c>
    </row>
    <row r="198">
      <c r="A198" s="7">
        <v>197.0</v>
      </c>
      <c r="B198" s="38">
        <v>12.0</v>
      </c>
      <c r="C198" s="7">
        <v>9114.0</v>
      </c>
      <c r="D198" s="39" t="s">
        <v>445</v>
      </c>
      <c r="E198" s="1">
        <v>70.0</v>
      </c>
      <c r="F198" s="1" t="s">
        <v>161</v>
      </c>
      <c r="G198" s="1" t="s">
        <v>150</v>
      </c>
      <c r="H198" s="1">
        <v>11.0</v>
      </c>
      <c r="I198" s="1" t="s">
        <v>150</v>
      </c>
      <c r="J198" s="1" t="s">
        <v>150</v>
      </c>
      <c r="K198" s="9"/>
      <c r="L198" s="1" t="s">
        <v>150</v>
      </c>
      <c r="M198" s="1" t="s">
        <v>150</v>
      </c>
      <c r="N198" s="9"/>
      <c r="O198" s="1" t="str">
        <f t="shared" ref="O198:O199" si="30">IF(EC198&gt;=6.1,IF(EC198&lt;7,"да","нет"),"нет")</f>
        <v>нет</v>
      </c>
      <c r="P198" s="1" t="s">
        <v>150</v>
      </c>
      <c r="Q198" s="1" t="s">
        <v>154</v>
      </c>
      <c r="R198" s="1">
        <v>2.0</v>
      </c>
      <c r="S198" s="1" t="s">
        <v>150</v>
      </c>
      <c r="T198" s="9"/>
      <c r="U198" s="9"/>
      <c r="V198" s="9"/>
      <c r="W198" s="9"/>
      <c r="X198" s="9"/>
      <c r="Y198" s="1" t="s">
        <v>150</v>
      </c>
      <c r="Z198" s="9"/>
      <c r="AA198" s="9"/>
      <c r="AB198" s="9"/>
      <c r="AC198" s="9"/>
      <c r="AD198" s="1"/>
      <c r="AE198" s="1" t="s">
        <v>154</v>
      </c>
      <c r="AF198" s="1">
        <v>3.0</v>
      </c>
      <c r="AG198" s="1" t="s">
        <v>635</v>
      </c>
      <c r="AH198" s="1" t="s">
        <v>154</v>
      </c>
      <c r="AI198" s="1" t="s">
        <v>630</v>
      </c>
      <c r="AJ198" s="1">
        <v>3.0</v>
      </c>
      <c r="AK198" s="1" t="s">
        <v>5</v>
      </c>
      <c r="AL198" s="1" t="s">
        <v>150</v>
      </c>
      <c r="AM198" s="1"/>
      <c r="AN198" s="1">
        <v>15.0</v>
      </c>
      <c r="AO198" s="1" t="str">
        <f t="shared" si="2"/>
        <v>нет</v>
      </c>
      <c r="AP198" s="1">
        <v>155.0</v>
      </c>
      <c r="AQ198" s="1">
        <v>110.0</v>
      </c>
      <c r="AR198" s="9">
        <f t="shared" si="3"/>
        <v>45.78563996</v>
      </c>
      <c r="AS198" s="7" t="str">
        <f t="shared" si="4"/>
        <v>Ожирение III степени (морбидное)</v>
      </c>
      <c r="AT198" s="1">
        <v>130.0</v>
      </c>
      <c r="AU198" s="1">
        <v>80.0</v>
      </c>
      <c r="AV198" s="9"/>
      <c r="AW198" s="1">
        <v>95.0</v>
      </c>
      <c r="AX198" s="1">
        <v>39.0</v>
      </c>
      <c r="AY198" s="1">
        <v>22.0</v>
      </c>
      <c r="AZ198" s="1">
        <v>70.0</v>
      </c>
      <c r="BA198" s="10" t="str">
        <f t="shared" si="5"/>
        <v>да</v>
      </c>
      <c r="BB198" s="1">
        <v>87.0</v>
      </c>
      <c r="BC198" s="1">
        <v>60.0</v>
      </c>
      <c r="BD198" s="12">
        <f t="shared" si="6"/>
        <v>0.05303030303</v>
      </c>
      <c r="BE198" s="12">
        <f t="shared" si="7"/>
        <v>1</v>
      </c>
      <c r="BF198" s="12">
        <f t="shared" si="8"/>
        <v>7</v>
      </c>
      <c r="BG198" s="1" t="s">
        <v>150</v>
      </c>
      <c r="BH198" s="9"/>
      <c r="BI198" s="1" t="s">
        <v>154</v>
      </c>
      <c r="BJ198" s="1" t="s">
        <v>237</v>
      </c>
      <c r="BK198" s="1" t="s">
        <v>150</v>
      </c>
      <c r="BL198" s="9"/>
      <c r="BM198" s="1" t="s">
        <v>154</v>
      </c>
      <c r="BN198" s="1" t="s">
        <v>448</v>
      </c>
      <c r="BO198" s="1" t="s">
        <v>150</v>
      </c>
      <c r="BP198" s="9"/>
      <c r="BQ198" s="9"/>
      <c r="BR198" s="1" t="s">
        <v>154</v>
      </c>
      <c r="BS198" s="1" t="s">
        <v>174</v>
      </c>
      <c r="BT198" s="1" t="s">
        <v>503</v>
      </c>
      <c r="BU198" s="1" t="s">
        <v>672</v>
      </c>
      <c r="BV198" s="1">
        <v>24.0</v>
      </c>
      <c r="BW198" s="1" t="s">
        <v>154</v>
      </c>
      <c r="BX198" s="1" t="s">
        <v>154</v>
      </c>
      <c r="BY198" s="1" t="s">
        <v>173</v>
      </c>
      <c r="BZ198" s="1" t="s">
        <v>158</v>
      </c>
      <c r="CA198" s="1" t="s">
        <v>150</v>
      </c>
      <c r="CB198" s="1" t="s">
        <v>150</v>
      </c>
      <c r="CC198" s="1" t="s">
        <v>150</v>
      </c>
      <c r="CD198" s="1" t="s">
        <v>150</v>
      </c>
      <c r="CE198" s="1" t="s">
        <v>150</v>
      </c>
      <c r="CF198" s="1" t="s">
        <v>150</v>
      </c>
      <c r="CG198" s="1" t="s">
        <v>150</v>
      </c>
      <c r="CH198" s="1" t="s">
        <v>150</v>
      </c>
      <c r="CI198" s="1" t="s">
        <v>150</v>
      </c>
      <c r="CJ198" s="1" t="s">
        <v>154</v>
      </c>
      <c r="CK198" s="1" t="s">
        <v>150</v>
      </c>
      <c r="CL198" s="1" t="s">
        <v>675</v>
      </c>
      <c r="CM198" s="1">
        <v>13.1</v>
      </c>
      <c r="CN198" s="1">
        <v>93.2</v>
      </c>
      <c r="CO198" s="7">
        <f t="shared" si="23"/>
        <v>12.2092</v>
      </c>
      <c r="CP198" s="1">
        <v>5.4</v>
      </c>
      <c r="CQ198" s="7">
        <f t="shared" si="10"/>
        <v>0.6592968</v>
      </c>
      <c r="CR198" s="1">
        <v>0.6</v>
      </c>
      <c r="CS198" s="7">
        <f t="shared" si="11"/>
        <v>0.0039557808</v>
      </c>
      <c r="CT198" s="1">
        <v>0.6</v>
      </c>
      <c r="CU198" s="7">
        <f t="shared" si="12"/>
        <v>0.0000237346848</v>
      </c>
      <c r="CV198" s="7">
        <f t="shared" si="13"/>
        <v>18.51851852</v>
      </c>
      <c r="CW198" s="1">
        <v>4.32</v>
      </c>
      <c r="CX198" s="1">
        <v>111.0</v>
      </c>
      <c r="CY198" s="7" t="str">
        <f t="shared" si="14"/>
        <v>Легкая степень</v>
      </c>
      <c r="CZ198" s="1">
        <v>6.0</v>
      </c>
      <c r="DA198" s="1">
        <v>379.0</v>
      </c>
      <c r="DB198" s="1">
        <v>111.6</v>
      </c>
      <c r="DC198" s="1">
        <v>22.7</v>
      </c>
      <c r="DD198" s="1">
        <v>93.6</v>
      </c>
      <c r="DE198" s="40"/>
      <c r="DF198" s="1">
        <v>2.6</v>
      </c>
      <c r="DG198" s="40"/>
      <c r="DH198" s="1">
        <v>3.5</v>
      </c>
      <c r="DI198" s="40"/>
      <c r="DJ198" s="1">
        <v>0.0</v>
      </c>
      <c r="DK198" s="40"/>
      <c r="DL198" s="40"/>
      <c r="DM198" s="1">
        <v>4.2</v>
      </c>
      <c r="DN198" s="1">
        <v>106.0</v>
      </c>
      <c r="DO198" s="7" t="str">
        <f t="shared" si="15"/>
        <v>Средняя степень</v>
      </c>
      <c r="DP198" s="6" t="s">
        <v>640</v>
      </c>
      <c r="DQ198" s="1">
        <v>171.0</v>
      </c>
      <c r="DR198" s="1">
        <v>84.5</v>
      </c>
      <c r="DS198" s="1">
        <v>261.0</v>
      </c>
      <c r="DT198" s="1">
        <v>22.6</v>
      </c>
      <c r="DU198" s="1">
        <v>14.9</v>
      </c>
      <c r="DV198" s="1">
        <v>1.3</v>
      </c>
      <c r="DW198" s="1" t="s">
        <v>473</v>
      </c>
      <c r="DX198" s="1">
        <v>209.0</v>
      </c>
      <c r="DY198" s="1">
        <v>24.5</v>
      </c>
      <c r="DZ198" s="1">
        <v>13.7</v>
      </c>
      <c r="EA198" s="1">
        <v>1.17</v>
      </c>
      <c r="EB198" s="42"/>
      <c r="EC198" s="1">
        <v>13.02</v>
      </c>
      <c r="ED198" s="1">
        <v>14.84</v>
      </c>
      <c r="EE198" s="1">
        <v>29.0</v>
      </c>
      <c r="EF198" s="1">
        <v>55.3</v>
      </c>
      <c r="EG198" s="1">
        <v>75.1</v>
      </c>
      <c r="EH198" s="1">
        <v>7.2</v>
      </c>
      <c r="EI198" s="1">
        <v>4.0</v>
      </c>
      <c r="EJ198" s="1">
        <v>114.0</v>
      </c>
      <c r="EK198" s="34">
        <f t="shared" si="16"/>
        <v>42.08873919</v>
      </c>
      <c r="EL198" s="11" t="str">
        <f t="shared" si="17"/>
        <v>C3b</v>
      </c>
      <c r="EM198" s="1">
        <v>151.6</v>
      </c>
      <c r="EN198" s="1">
        <v>4.31</v>
      </c>
      <c r="EO198" s="1">
        <v>19.0</v>
      </c>
      <c r="EP198" s="1">
        <v>24.1</v>
      </c>
      <c r="EQ198" s="1">
        <v>54.4</v>
      </c>
      <c r="ER198" s="1">
        <v>7.2</v>
      </c>
      <c r="ES198" s="1">
        <v>4.0</v>
      </c>
      <c r="ET198" s="1">
        <v>114.0</v>
      </c>
      <c r="EU198" s="11">
        <f t="shared" si="18"/>
        <v>42.08873919</v>
      </c>
      <c r="EV198" s="11" t="str">
        <f t="shared" si="19"/>
        <v>C3b</v>
      </c>
      <c r="EW198" s="1">
        <v>140.3</v>
      </c>
      <c r="EX198" s="1">
        <v>5.06</v>
      </c>
      <c r="EY198" s="9">
        <f t="shared" si="20"/>
        <v>-3.182202695</v>
      </c>
      <c r="EZ198" s="9">
        <f t="shared" si="21"/>
        <v>0.9601590127</v>
      </c>
      <c r="FA198" s="9" t="str">
        <f t="shared" si="22"/>
        <v>Неблагоприятный</v>
      </c>
      <c r="FB198" s="1" t="s">
        <v>150</v>
      </c>
      <c r="FC198" s="39" t="s">
        <v>445</v>
      </c>
    </row>
    <row r="199">
      <c r="A199" s="7">
        <v>198.0</v>
      </c>
      <c r="B199" s="38">
        <v>13.0</v>
      </c>
      <c r="C199" s="7">
        <v>9116.0</v>
      </c>
      <c r="D199" s="39" t="s">
        <v>445</v>
      </c>
      <c r="E199" s="1">
        <v>69.0</v>
      </c>
      <c r="F199" s="1" t="s">
        <v>161</v>
      </c>
      <c r="G199" s="1" t="s">
        <v>150</v>
      </c>
      <c r="H199" s="1">
        <v>7.0</v>
      </c>
      <c r="I199" s="1" t="s">
        <v>150</v>
      </c>
      <c r="J199" s="1" t="s">
        <v>150</v>
      </c>
      <c r="K199" s="9"/>
      <c r="L199" s="1" t="s">
        <v>150</v>
      </c>
      <c r="M199" s="1" t="s">
        <v>150</v>
      </c>
      <c r="N199" s="9"/>
      <c r="O199" s="1" t="str">
        <f t="shared" si="30"/>
        <v>нет</v>
      </c>
      <c r="P199" s="1" t="s">
        <v>150</v>
      </c>
      <c r="Q199" s="1" t="s">
        <v>154</v>
      </c>
      <c r="R199" s="1">
        <v>3.0</v>
      </c>
      <c r="S199" s="1" t="s">
        <v>150</v>
      </c>
      <c r="T199" s="9"/>
      <c r="U199" s="9"/>
      <c r="V199" s="9"/>
      <c r="W199" s="9"/>
      <c r="X199" s="9"/>
      <c r="Y199" s="1" t="s">
        <v>150</v>
      </c>
      <c r="Z199" s="9"/>
      <c r="AA199" s="9"/>
      <c r="AB199" s="9"/>
      <c r="AC199" s="9"/>
      <c r="AD199" s="1"/>
      <c r="AE199" s="1" t="s">
        <v>154</v>
      </c>
      <c r="AF199" s="1">
        <v>5.0</v>
      </c>
      <c r="AG199" s="1" t="s">
        <v>635</v>
      </c>
      <c r="AH199" s="1" t="s">
        <v>154</v>
      </c>
      <c r="AI199" s="1" t="s">
        <v>630</v>
      </c>
      <c r="AJ199" s="1">
        <v>3.0</v>
      </c>
      <c r="AK199" s="1" t="s">
        <v>5</v>
      </c>
      <c r="AL199" s="1" t="s">
        <v>150</v>
      </c>
      <c r="AM199" s="1"/>
      <c r="AN199" s="1">
        <v>15.0</v>
      </c>
      <c r="AO199" s="1" t="str">
        <f t="shared" si="2"/>
        <v>нет</v>
      </c>
      <c r="AP199" s="1">
        <v>160.0</v>
      </c>
      <c r="AQ199" s="1">
        <v>69.0</v>
      </c>
      <c r="AR199" s="9">
        <f t="shared" si="3"/>
        <v>26.953125</v>
      </c>
      <c r="AS199" s="7" t="str">
        <f t="shared" si="4"/>
        <v>Избыточный вес (предожирение)</v>
      </c>
      <c r="AT199" s="1">
        <v>166.0</v>
      </c>
      <c r="AU199" s="1">
        <v>74.0</v>
      </c>
      <c r="AV199" s="9"/>
      <c r="AW199" s="1">
        <v>60.0</v>
      </c>
      <c r="AX199" s="1">
        <v>37.5</v>
      </c>
      <c r="AY199" s="1">
        <v>23.0</v>
      </c>
      <c r="AZ199" s="1">
        <v>84.0</v>
      </c>
      <c r="BA199" s="10" t="str">
        <f t="shared" si="5"/>
        <v>да</v>
      </c>
      <c r="BB199" s="1">
        <v>95.0</v>
      </c>
      <c r="BC199" s="1">
        <v>60.0</v>
      </c>
      <c r="BD199" s="12">
        <f t="shared" si="6"/>
        <v>0.06086956522</v>
      </c>
      <c r="BE199" s="12">
        <f t="shared" si="7"/>
        <v>1</v>
      </c>
      <c r="BF199" s="12">
        <f t="shared" si="8"/>
        <v>5</v>
      </c>
      <c r="BG199" s="1" t="s">
        <v>150</v>
      </c>
      <c r="BH199" s="9"/>
      <c r="BI199" s="1" t="s">
        <v>154</v>
      </c>
      <c r="BJ199" s="1" t="s">
        <v>237</v>
      </c>
      <c r="BK199" s="1" t="s">
        <v>150</v>
      </c>
      <c r="BL199" s="9"/>
      <c r="BM199" s="1" t="s">
        <v>154</v>
      </c>
      <c r="BN199" s="1" t="s">
        <v>495</v>
      </c>
      <c r="BO199" s="1" t="s">
        <v>150</v>
      </c>
      <c r="BP199" s="9"/>
      <c r="BQ199" s="9"/>
      <c r="BR199" s="1" t="s">
        <v>154</v>
      </c>
      <c r="BS199" s="1" t="s">
        <v>467</v>
      </c>
      <c r="BT199" s="1" t="s">
        <v>676</v>
      </c>
      <c r="BU199" s="1" t="s">
        <v>672</v>
      </c>
      <c r="BV199" s="1">
        <v>32.0</v>
      </c>
      <c r="BW199" s="1" t="s">
        <v>150</v>
      </c>
      <c r="BX199" s="1" t="s">
        <v>154</v>
      </c>
      <c r="BY199" s="1" t="s">
        <v>173</v>
      </c>
      <c r="BZ199" s="1" t="s">
        <v>158</v>
      </c>
      <c r="CA199" s="1" t="s">
        <v>150</v>
      </c>
      <c r="CB199" s="1" t="s">
        <v>150</v>
      </c>
      <c r="CC199" s="1" t="s">
        <v>150</v>
      </c>
      <c r="CD199" s="1" t="s">
        <v>247</v>
      </c>
      <c r="CE199" s="1" t="s">
        <v>150</v>
      </c>
      <c r="CF199" s="1" t="s">
        <v>240</v>
      </c>
      <c r="CG199" s="1" t="s">
        <v>150</v>
      </c>
      <c r="CH199" s="1" t="s">
        <v>150</v>
      </c>
      <c r="CI199" s="1" t="s">
        <v>150</v>
      </c>
      <c r="CJ199" s="1" t="s">
        <v>150</v>
      </c>
      <c r="CK199" s="1" t="s">
        <v>150</v>
      </c>
      <c r="CL199" s="1" t="s">
        <v>677</v>
      </c>
      <c r="CM199" s="1">
        <v>4.7</v>
      </c>
      <c r="CN199" s="1">
        <v>83.3</v>
      </c>
      <c r="CO199" s="7">
        <f t="shared" si="23"/>
        <v>3.9151</v>
      </c>
      <c r="CP199" s="1">
        <v>11.0</v>
      </c>
      <c r="CQ199" s="7">
        <f t="shared" si="10"/>
        <v>0.430661</v>
      </c>
      <c r="CR199" s="1">
        <v>5.4</v>
      </c>
      <c r="CS199" s="7">
        <f t="shared" si="11"/>
        <v>0.023255694</v>
      </c>
      <c r="CT199" s="1">
        <v>0.0</v>
      </c>
      <c r="CU199" s="7">
        <f t="shared" si="12"/>
        <v>0</v>
      </c>
      <c r="CV199" s="7">
        <f t="shared" si="13"/>
        <v>9.090909091</v>
      </c>
      <c r="CW199" s="1">
        <v>4.1</v>
      </c>
      <c r="CX199" s="1">
        <v>121.0</v>
      </c>
      <c r="CY199" s="7" t="str">
        <f t="shared" si="14"/>
        <v>Легкая степень</v>
      </c>
      <c r="CZ199" s="1">
        <v>50.0</v>
      </c>
      <c r="DA199" s="1">
        <v>121.0</v>
      </c>
      <c r="DB199" s="1">
        <v>111.6</v>
      </c>
      <c r="DC199" s="1">
        <v>26.9</v>
      </c>
      <c r="DD199" s="1">
        <v>90.8</v>
      </c>
      <c r="DE199" s="1"/>
      <c r="DF199" s="1">
        <v>2.8</v>
      </c>
      <c r="DG199" s="1"/>
      <c r="DH199" s="1">
        <v>1.6</v>
      </c>
      <c r="DI199" s="1"/>
      <c r="DJ199" s="1">
        <v>4.3</v>
      </c>
      <c r="DK199" s="1"/>
      <c r="DL199" s="1"/>
      <c r="DM199" s="1">
        <v>3.23</v>
      </c>
      <c r="DN199" s="1">
        <v>97.0</v>
      </c>
      <c r="DO199" s="7" t="str">
        <f t="shared" si="15"/>
        <v>Средняя степень</v>
      </c>
      <c r="DP199" s="1">
        <v>28.0</v>
      </c>
      <c r="DQ199" s="1">
        <v>24.0</v>
      </c>
      <c r="DR199" s="1">
        <v>153.9</v>
      </c>
      <c r="DS199" s="1">
        <v>640.0</v>
      </c>
      <c r="DT199" s="1">
        <v>15.7</v>
      </c>
      <c r="DU199" s="1">
        <v>12.2</v>
      </c>
      <c r="DV199" s="1">
        <v>1.4</v>
      </c>
      <c r="DW199" s="1" t="s">
        <v>473</v>
      </c>
      <c r="DX199" s="1">
        <v>559.0</v>
      </c>
      <c r="DY199" s="1">
        <v>14.5</v>
      </c>
      <c r="DZ199" s="1">
        <v>14.5</v>
      </c>
      <c r="EA199" s="1">
        <v>1.23</v>
      </c>
      <c r="EB199" s="1"/>
      <c r="EC199" s="1">
        <v>9.53</v>
      </c>
      <c r="ED199" s="1">
        <v>10.36</v>
      </c>
      <c r="EE199" s="1">
        <v>34.3</v>
      </c>
      <c r="EF199" s="1">
        <v>65.7</v>
      </c>
      <c r="EG199" s="1">
        <v>36.4</v>
      </c>
      <c r="EH199" s="1">
        <v>8.3</v>
      </c>
      <c r="EI199" s="1">
        <v>4.6</v>
      </c>
      <c r="EJ199" s="1">
        <v>113.0</v>
      </c>
      <c r="EK199" s="34">
        <f t="shared" si="16"/>
        <v>42.83934232</v>
      </c>
      <c r="EL199" s="11" t="str">
        <f t="shared" si="17"/>
        <v>C3b</v>
      </c>
      <c r="EM199" s="1">
        <v>137.6</v>
      </c>
      <c r="EN199" s="1">
        <v>3.29</v>
      </c>
      <c r="EO199" s="1">
        <v>118.7</v>
      </c>
      <c r="EP199" s="1">
        <v>244.2</v>
      </c>
      <c r="EQ199" s="1">
        <v>62.5</v>
      </c>
      <c r="ER199" s="1">
        <v>85.7</v>
      </c>
      <c r="ES199" s="1">
        <v>68.4</v>
      </c>
      <c r="ET199" s="1">
        <v>439.0</v>
      </c>
      <c r="EU199" s="11">
        <f t="shared" si="18"/>
        <v>8.303764579</v>
      </c>
      <c r="EV199" s="11" t="str">
        <f t="shared" si="19"/>
        <v>C5</v>
      </c>
      <c r="EW199" s="1">
        <v>136.0</v>
      </c>
      <c r="EX199" s="1">
        <v>2.93</v>
      </c>
      <c r="EY199" s="9">
        <f t="shared" si="20"/>
        <v>-0.3795821875</v>
      </c>
      <c r="EZ199" s="9">
        <f t="shared" si="21"/>
        <v>0.5937723277</v>
      </c>
      <c r="FA199" s="9" t="str">
        <f t="shared" si="22"/>
        <v>Неблагоприятный</v>
      </c>
      <c r="FB199" s="1" t="s">
        <v>150</v>
      </c>
      <c r="FC199" s="39" t="s">
        <v>445</v>
      </c>
    </row>
    <row r="200">
      <c r="A200" s="7">
        <v>199.0</v>
      </c>
      <c r="B200" s="38">
        <v>14.0</v>
      </c>
      <c r="C200" s="7">
        <v>8224.0</v>
      </c>
      <c r="D200" s="39" t="s">
        <v>445</v>
      </c>
      <c r="E200" s="1">
        <v>41.0</v>
      </c>
      <c r="F200" s="1" t="s">
        <v>149</v>
      </c>
      <c r="G200" s="1"/>
      <c r="H200" s="1">
        <v>12.0</v>
      </c>
      <c r="I200" s="1" t="s">
        <v>150</v>
      </c>
      <c r="J200" s="1" t="s">
        <v>150</v>
      </c>
      <c r="K200" s="9"/>
      <c r="L200" s="1" t="s">
        <v>150</v>
      </c>
      <c r="M200" s="1" t="s">
        <v>154</v>
      </c>
      <c r="N200" s="1" t="s">
        <v>657</v>
      </c>
      <c r="O200" s="1" t="s">
        <v>154</v>
      </c>
      <c r="P200" s="1" t="s">
        <v>154</v>
      </c>
      <c r="Q200" s="1" t="s">
        <v>154</v>
      </c>
      <c r="R200" s="1">
        <v>3.0</v>
      </c>
      <c r="S200" s="1" t="s">
        <v>150</v>
      </c>
      <c r="T200" s="9"/>
      <c r="U200" s="9"/>
      <c r="V200" s="9"/>
      <c r="W200" s="9"/>
      <c r="X200" s="9"/>
      <c r="Y200" s="1" t="s">
        <v>150</v>
      </c>
      <c r="Z200" s="9"/>
      <c r="AA200" s="9"/>
      <c r="AB200" s="9"/>
      <c r="AC200" s="9"/>
      <c r="AD200" s="1" t="s">
        <v>678</v>
      </c>
      <c r="AE200" s="1" t="s">
        <v>154</v>
      </c>
      <c r="AF200" s="1">
        <v>8.0</v>
      </c>
      <c r="AG200" s="1" t="s">
        <v>635</v>
      </c>
      <c r="AH200" s="1" t="s">
        <v>154</v>
      </c>
      <c r="AI200" s="1" t="s">
        <v>619</v>
      </c>
      <c r="AJ200" s="1">
        <v>2.0</v>
      </c>
      <c r="AK200" s="1" t="s">
        <v>5</v>
      </c>
      <c r="AL200" s="1" t="s">
        <v>150</v>
      </c>
      <c r="AM200" s="1"/>
      <c r="AN200" s="1">
        <v>15.0</v>
      </c>
      <c r="AO200" s="1" t="str">
        <f t="shared" si="2"/>
        <v>нет</v>
      </c>
      <c r="AP200" s="1">
        <v>182.0</v>
      </c>
      <c r="AQ200" s="1">
        <v>130.0</v>
      </c>
      <c r="AR200" s="9">
        <f t="shared" si="3"/>
        <v>39.24646782</v>
      </c>
      <c r="AS200" s="7" t="str">
        <f t="shared" si="4"/>
        <v>Ожирение II степени</v>
      </c>
      <c r="AT200" s="1">
        <v>140.0</v>
      </c>
      <c r="AU200" s="1">
        <v>100.0</v>
      </c>
      <c r="AV200" s="9"/>
      <c r="AW200" s="1">
        <v>100.0</v>
      </c>
      <c r="AX200" s="1">
        <v>38.0</v>
      </c>
      <c r="AY200" s="1">
        <v>22.0</v>
      </c>
      <c r="AZ200" s="1">
        <v>88.0</v>
      </c>
      <c r="BA200" s="10" t="str">
        <f t="shared" si="5"/>
        <v>да</v>
      </c>
      <c r="BB200" s="1">
        <v>90.0</v>
      </c>
      <c r="BC200" s="1">
        <v>40.0</v>
      </c>
      <c r="BD200" s="12">
        <f t="shared" si="6"/>
        <v>0.1</v>
      </c>
      <c r="BE200" s="12">
        <f t="shared" si="7"/>
        <v>1</v>
      </c>
      <c r="BF200" s="12">
        <f t="shared" si="8"/>
        <v>6</v>
      </c>
      <c r="BG200" s="1" t="s">
        <v>150</v>
      </c>
      <c r="BH200" s="9"/>
      <c r="BI200" s="1" t="s">
        <v>154</v>
      </c>
      <c r="BJ200" s="1" t="s">
        <v>679</v>
      </c>
      <c r="BK200" s="1" t="s">
        <v>150</v>
      </c>
      <c r="BL200" s="9"/>
      <c r="BM200" s="1" t="s">
        <v>154</v>
      </c>
      <c r="BN200" s="1" t="s">
        <v>680</v>
      </c>
      <c r="BO200" s="1" t="s">
        <v>150</v>
      </c>
      <c r="BP200" s="9"/>
      <c r="BQ200" s="9"/>
      <c r="BR200" s="1" t="s">
        <v>154</v>
      </c>
      <c r="BS200" s="1" t="s">
        <v>174</v>
      </c>
      <c r="BT200" s="1" t="s">
        <v>503</v>
      </c>
      <c r="BU200" s="1" t="s">
        <v>195</v>
      </c>
      <c r="BV200" s="1" t="s">
        <v>681</v>
      </c>
      <c r="BW200" s="1" t="s">
        <v>150</v>
      </c>
      <c r="BX200" s="1" t="s">
        <v>154</v>
      </c>
      <c r="BY200" s="1" t="s">
        <v>258</v>
      </c>
      <c r="BZ200" s="1" t="s">
        <v>158</v>
      </c>
      <c r="CA200" s="1" t="s">
        <v>150</v>
      </c>
      <c r="CB200" s="1" t="s">
        <v>150</v>
      </c>
      <c r="CC200" s="1" t="s">
        <v>150</v>
      </c>
      <c r="CD200" s="1" t="s">
        <v>247</v>
      </c>
      <c r="CE200" s="1" t="s">
        <v>150</v>
      </c>
      <c r="CF200" s="1" t="s">
        <v>150</v>
      </c>
      <c r="CG200" s="1" t="s">
        <v>150</v>
      </c>
      <c r="CH200" s="1" t="s">
        <v>150</v>
      </c>
      <c r="CI200" s="1" t="s">
        <v>150</v>
      </c>
      <c r="CJ200" s="1" t="s">
        <v>150</v>
      </c>
      <c r="CK200" s="1" t="s">
        <v>150</v>
      </c>
      <c r="CL200" s="1" t="s">
        <v>682</v>
      </c>
      <c r="CM200" s="1">
        <v>5.3</v>
      </c>
      <c r="CN200" s="1">
        <v>72.8</v>
      </c>
      <c r="CO200" s="7">
        <f t="shared" si="23"/>
        <v>3.8584</v>
      </c>
      <c r="CP200" s="1">
        <v>20.4</v>
      </c>
      <c r="CQ200" s="7">
        <f t="shared" si="10"/>
        <v>0.7871136</v>
      </c>
      <c r="CR200" s="1">
        <v>5.9</v>
      </c>
      <c r="CS200" s="7">
        <f t="shared" si="11"/>
        <v>0.0464397024</v>
      </c>
      <c r="CT200" s="1">
        <v>0.2</v>
      </c>
      <c r="CU200" s="7">
        <f t="shared" si="12"/>
        <v>0.0000928794048</v>
      </c>
      <c r="CV200" s="7">
        <f t="shared" si="13"/>
        <v>4.901960784</v>
      </c>
      <c r="CW200" s="1">
        <v>4.94</v>
      </c>
      <c r="CX200" s="1">
        <v>153.0</v>
      </c>
      <c r="CY200" s="7" t="str">
        <f t="shared" si="14"/>
        <v>Норма</v>
      </c>
      <c r="CZ200" s="1">
        <v>16.0</v>
      </c>
      <c r="DA200" s="1">
        <v>132.0</v>
      </c>
      <c r="DB200" s="1">
        <v>53.0</v>
      </c>
      <c r="DC200" s="1">
        <v>26.5</v>
      </c>
      <c r="DD200" s="1">
        <v>96.1</v>
      </c>
      <c r="DE200" s="1"/>
      <c r="DF200" s="1">
        <v>2.3</v>
      </c>
      <c r="DG200" s="1"/>
      <c r="DH200" s="1">
        <v>0.2</v>
      </c>
      <c r="DI200" s="1"/>
      <c r="DJ200" s="1">
        <v>0.1</v>
      </c>
      <c r="DK200" s="1"/>
      <c r="DL200" s="1"/>
      <c r="DM200" s="1">
        <v>4.79</v>
      </c>
      <c r="DN200" s="1">
        <v>147.0</v>
      </c>
      <c r="DO200" s="7" t="str">
        <f t="shared" si="15"/>
        <v>Норма</v>
      </c>
      <c r="DP200" s="1">
        <v>15.0</v>
      </c>
      <c r="DQ200" s="1">
        <v>109.0</v>
      </c>
      <c r="DR200" s="1">
        <v>87.6</v>
      </c>
      <c r="DS200" s="1">
        <v>519.0</v>
      </c>
      <c r="DT200" s="6" t="s">
        <v>640</v>
      </c>
      <c r="DU200" s="1">
        <v>12.0</v>
      </c>
      <c r="DV200" s="1">
        <v>1.026</v>
      </c>
      <c r="DW200" s="1" t="s">
        <v>458</v>
      </c>
      <c r="DX200" s="1">
        <v>527.0</v>
      </c>
      <c r="DY200" s="6" t="s">
        <v>640</v>
      </c>
      <c r="DZ200" s="1">
        <v>12.0</v>
      </c>
      <c r="EA200" s="1">
        <v>1.02</v>
      </c>
      <c r="EB200" s="1"/>
      <c r="EC200" s="1">
        <v>5.2</v>
      </c>
      <c r="ED200" s="1">
        <v>5.55</v>
      </c>
      <c r="EE200" s="1">
        <v>88.55</v>
      </c>
      <c r="EF200" s="1">
        <v>115.28</v>
      </c>
      <c r="EG200" s="1">
        <v>56.3</v>
      </c>
      <c r="EH200" s="1">
        <v>7.24</v>
      </c>
      <c r="EI200" s="1">
        <v>1.88</v>
      </c>
      <c r="EJ200" s="1">
        <v>75.56</v>
      </c>
      <c r="EK200" s="34">
        <f t="shared" si="16"/>
        <v>84.83610255</v>
      </c>
      <c r="EL200" s="11" t="str">
        <f t="shared" si="17"/>
        <v>C2</v>
      </c>
      <c r="EM200" s="1">
        <v>130.9</v>
      </c>
      <c r="EN200" s="1">
        <v>3.69</v>
      </c>
      <c r="EO200" s="1">
        <v>127.08</v>
      </c>
      <c r="EP200" s="1">
        <v>80.12</v>
      </c>
      <c r="EQ200" s="1">
        <v>68.4</v>
      </c>
      <c r="ER200" s="1">
        <v>15.58</v>
      </c>
      <c r="ES200" s="1">
        <v>3.56</v>
      </c>
      <c r="ET200" s="1">
        <v>59.59</v>
      </c>
      <c r="EU200" s="11">
        <f t="shared" si="18"/>
        <v>109.3240873</v>
      </c>
      <c r="EV200" s="11" t="str">
        <f t="shared" si="19"/>
        <v>C1</v>
      </c>
      <c r="EW200" s="1">
        <v>135.6</v>
      </c>
      <c r="EX200" s="1">
        <v>4.02</v>
      </c>
      <c r="EY200" s="9">
        <f t="shared" si="20"/>
        <v>-1.114453969</v>
      </c>
      <c r="EZ200" s="9">
        <f t="shared" si="21"/>
        <v>0.7529585361</v>
      </c>
      <c r="FA200" s="9" t="str">
        <f t="shared" si="22"/>
        <v>Неблагоприятный</v>
      </c>
      <c r="FB200" s="1" t="s">
        <v>150</v>
      </c>
      <c r="FC200" s="39" t="s">
        <v>445</v>
      </c>
    </row>
    <row r="201">
      <c r="A201" s="7">
        <v>200.0</v>
      </c>
      <c r="B201" s="38">
        <v>15.0</v>
      </c>
      <c r="C201" s="7">
        <v>6858.0</v>
      </c>
      <c r="D201" s="39" t="s">
        <v>445</v>
      </c>
      <c r="E201" s="1">
        <v>49.0</v>
      </c>
      <c r="F201" s="1" t="s">
        <v>149</v>
      </c>
      <c r="G201" s="1"/>
      <c r="H201" s="1">
        <v>65.0</v>
      </c>
      <c r="I201" s="1" t="s">
        <v>150</v>
      </c>
      <c r="J201" s="1" t="s">
        <v>150</v>
      </c>
      <c r="K201" s="9"/>
      <c r="L201" s="1" t="s">
        <v>150</v>
      </c>
      <c r="M201" s="1" t="s">
        <v>154</v>
      </c>
      <c r="N201" s="1" t="s">
        <v>657</v>
      </c>
      <c r="O201" s="1" t="s">
        <v>154</v>
      </c>
      <c r="P201" s="1" t="s">
        <v>150</v>
      </c>
      <c r="Q201" s="1" t="s">
        <v>154</v>
      </c>
      <c r="R201" s="1">
        <v>2.0</v>
      </c>
      <c r="S201" s="1" t="s">
        <v>150</v>
      </c>
      <c r="T201" s="9"/>
      <c r="U201" s="9"/>
      <c r="V201" s="9"/>
      <c r="W201" s="9"/>
      <c r="X201" s="9"/>
      <c r="Y201" s="1" t="s">
        <v>154</v>
      </c>
      <c r="Z201" s="9"/>
      <c r="AA201" s="9"/>
      <c r="AB201" s="9"/>
      <c r="AC201" s="9"/>
      <c r="AD201" s="1" t="s">
        <v>683</v>
      </c>
      <c r="AE201" s="1" t="s">
        <v>154</v>
      </c>
      <c r="AF201" s="1">
        <v>24.0</v>
      </c>
      <c r="AG201" s="1" t="s">
        <v>635</v>
      </c>
      <c r="AH201" s="1" t="s">
        <v>154</v>
      </c>
      <c r="AI201" s="1" t="s">
        <v>651</v>
      </c>
      <c r="AJ201" s="1">
        <v>0.0</v>
      </c>
      <c r="AK201" s="1" t="s">
        <v>5</v>
      </c>
      <c r="AL201" s="1" t="s">
        <v>150</v>
      </c>
      <c r="AM201" s="1"/>
      <c r="AN201" s="1">
        <v>15.0</v>
      </c>
      <c r="AO201" s="1" t="str">
        <f t="shared" si="2"/>
        <v>нет</v>
      </c>
      <c r="AP201" s="1">
        <v>159.0</v>
      </c>
      <c r="AQ201" s="1">
        <v>90.0</v>
      </c>
      <c r="AR201" s="9">
        <f t="shared" si="3"/>
        <v>35.5998576</v>
      </c>
      <c r="AS201" s="7" t="str">
        <f t="shared" si="4"/>
        <v>Ожирение II степени</v>
      </c>
      <c r="AT201" s="1">
        <v>130.0</v>
      </c>
      <c r="AU201" s="1">
        <v>84.0</v>
      </c>
      <c r="AV201" s="9"/>
      <c r="AW201" s="1">
        <v>104.0</v>
      </c>
      <c r="AX201" s="1">
        <v>38.5</v>
      </c>
      <c r="AY201" s="1">
        <v>22.0</v>
      </c>
      <c r="AZ201" s="1">
        <v>83.0</v>
      </c>
      <c r="BA201" s="10" t="str">
        <f t="shared" si="5"/>
        <v>да</v>
      </c>
      <c r="BB201" s="1">
        <v>75.0</v>
      </c>
      <c r="BC201" s="1">
        <v>60.0</v>
      </c>
      <c r="BD201" s="12">
        <f t="shared" si="6"/>
        <v>0.06287878788</v>
      </c>
      <c r="BE201" s="12">
        <f t="shared" si="7"/>
        <v>1</v>
      </c>
      <c r="BF201" s="12">
        <f t="shared" si="8"/>
        <v>7</v>
      </c>
      <c r="BG201" s="1" t="s">
        <v>154</v>
      </c>
      <c r="BH201" s="1" t="s">
        <v>684</v>
      </c>
      <c r="BI201" s="1" t="s">
        <v>154</v>
      </c>
      <c r="BJ201" s="1" t="s">
        <v>685</v>
      </c>
      <c r="BK201" s="1" t="s">
        <v>154</v>
      </c>
      <c r="BL201" s="1" t="s">
        <v>424</v>
      </c>
      <c r="BM201" s="1" t="s">
        <v>154</v>
      </c>
      <c r="BN201" s="1" t="s">
        <v>448</v>
      </c>
      <c r="BO201" s="1" t="s">
        <v>150</v>
      </c>
      <c r="BP201" s="9"/>
      <c r="BQ201" s="9"/>
      <c r="BR201" s="1" t="s">
        <v>154</v>
      </c>
      <c r="BS201" s="1" t="s">
        <v>467</v>
      </c>
      <c r="BT201" s="1" t="s">
        <v>686</v>
      </c>
      <c r="BU201" s="1" t="s">
        <v>170</v>
      </c>
      <c r="BV201" s="1">
        <v>32.0</v>
      </c>
      <c r="BW201" s="1" t="s">
        <v>154</v>
      </c>
      <c r="BX201" s="1" t="s">
        <v>154</v>
      </c>
      <c r="BY201" s="1" t="s">
        <v>269</v>
      </c>
      <c r="BZ201" s="1" t="s">
        <v>158</v>
      </c>
      <c r="CA201" s="1" t="s">
        <v>167</v>
      </c>
      <c r="CB201" s="1" t="s">
        <v>150</v>
      </c>
      <c r="CC201" s="1" t="s">
        <v>150</v>
      </c>
      <c r="CD201" s="1" t="s">
        <v>247</v>
      </c>
      <c r="CE201" s="1" t="s">
        <v>267</v>
      </c>
      <c r="CF201" s="1" t="s">
        <v>240</v>
      </c>
      <c r="CG201" s="1" t="s">
        <v>154</v>
      </c>
      <c r="CH201" s="1" t="s">
        <v>150</v>
      </c>
      <c r="CI201" s="1" t="s">
        <v>154</v>
      </c>
      <c r="CJ201" s="1" t="s">
        <v>150</v>
      </c>
      <c r="CK201" s="1" t="s">
        <v>150</v>
      </c>
      <c r="CL201" s="1" t="s">
        <v>687</v>
      </c>
      <c r="CM201" s="1">
        <v>7.0</v>
      </c>
      <c r="CN201" s="1">
        <v>79.9</v>
      </c>
      <c r="CO201" s="7">
        <f t="shared" si="23"/>
        <v>5.593</v>
      </c>
      <c r="CP201" s="6"/>
      <c r="CQ201" s="16">
        <f t="shared" si="10"/>
        <v>0</v>
      </c>
      <c r="CR201" s="6" t="s">
        <v>640</v>
      </c>
      <c r="CS201" s="16" t="str">
        <f t="shared" si="11"/>
        <v>#VALUE!</v>
      </c>
      <c r="CT201" s="6">
        <v>0.0</v>
      </c>
      <c r="CU201" s="16" t="str">
        <f t="shared" si="12"/>
        <v>#VALUE!</v>
      </c>
      <c r="CV201" s="16" t="str">
        <f t="shared" si="13"/>
        <v>#DIV/0!</v>
      </c>
      <c r="CW201" s="1">
        <v>4.97</v>
      </c>
      <c r="CX201" s="1">
        <v>126.0</v>
      </c>
      <c r="CY201" s="7" t="str">
        <f t="shared" si="14"/>
        <v>Легкая степень</v>
      </c>
      <c r="CZ201" s="6" t="s">
        <v>640</v>
      </c>
      <c r="DA201" s="1">
        <v>257.0</v>
      </c>
      <c r="DB201" s="1">
        <v>81.5</v>
      </c>
      <c r="DC201" s="1">
        <v>6.4</v>
      </c>
      <c r="DD201" s="1">
        <v>80.3</v>
      </c>
      <c r="DE201" s="1"/>
      <c r="DF201" s="1">
        <v>2.1</v>
      </c>
      <c r="DG201" s="1"/>
      <c r="DH201" s="1">
        <v>1.5</v>
      </c>
      <c r="DI201" s="1"/>
      <c r="DJ201" s="1">
        <v>0.1</v>
      </c>
      <c r="DK201" s="1"/>
      <c r="DL201" s="1"/>
      <c r="DM201" s="1">
        <v>2.85</v>
      </c>
      <c r="DN201" s="1">
        <v>75.0</v>
      </c>
      <c r="DO201" s="7" t="str">
        <f t="shared" si="15"/>
        <v>Тяжелая степень</v>
      </c>
      <c r="DP201" s="6" t="s">
        <v>640</v>
      </c>
      <c r="DQ201" s="1">
        <v>208.0</v>
      </c>
      <c r="DR201" s="1">
        <v>25.5</v>
      </c>
      <c r="DS201" s="1">
        <v>591.0</v>
      </c>
      <c r="DT201" s="40">
        <v>45832.0</v>
      </c>
      <c r="DU201" s="1">
        <v>11.1</v>
      </c>
      <c r="DV201" s="1">
        <v>0.94</v>
      </c>
      <c r="DW201" s="1" t="s">
        <v>473</v>
      </c>
      <c r="DX201" s="1">
        <v>610.0</v>
      </c>
      <c r="DY201" s="1">
        <v>36.9</v>
      </c>
      <c r="DZ201" s="1">
        <v>13.9</v>
      </c>
      <c r="EA201" s="1">
        <v>1.188</v>
      </c>
      <c r="EB201" s="1"/>
      <c r="EC201" s="1">
        <v>6.677</v>
      </c>
      <c r="ED201" s="1">
        <v>9.17</v>
      </c>
      <c r="EE201" s="1">
        <v>37.6</v>
      </c>
      <c r="EF201" s="1">
        <v>61.8</v>
      </c>
      <c r="EG201" s="1">
        <v>66.4</v>
      </c>
      <c r="EH201" s="1">
        <v>9.4</v>
      </c>
      <c r="EI201" s="1">
        <v>4.4</v>
      </c>
      <c r="EJ201" s="1">
        <v>89.0</v>
      </c>
      <c r="EK201" s="34">
        <f t="shared" si="16"/>
        <v>65.79867451</v>
      </c>
      <c r="EL201" s="11" t="str">
        <f t="shared" si="17"/>
        <v>C2</v>
      </c>
      <c r="EM201" s="1">
        <v>134.2</v>
      </c>
      <c r="EN201" s="1">
        <v>3.41</v>
      </c>
      <c r="EO201" s="1">
        <v>49.9</v>
      </c>
      <c r="EP201" s="1">
        <v>62.8</v>
      </c>
      <c r="EQ201" s="1">
        <v>59.0</v>
      </c>
      <c r="ER201" s="1">
        <v>14.5</v>
      </c>
      <c r="ES201" s="1">
        <v>4.8</v>
      </c>
      <c r="ET201" s="1">
        <v>74.0</v>
      </c>
      <c r="EU201" s="11">
        <f t="shared" si="18"/>
        <v>82.24859992</v>
      </c>
      <c r="EV201" s="11" t="str">
        <f t="shared" si="19"/>
        <v>C2</v>
      </c>
      <c r="EW201" s="1">
        <v>142.8</v>
      </c>
      <c r="EX201" s="1">
        <v>3.68</v>
      </c>
      <c r="EY201" s="9">
        <f t="shared" si="20"/>
        <v>-0.7957832681</v>
      </c>
      <c r="EZ201" s="9">
        <f t="shared" si="21"/>
        <v>0.6890717595</v>
      </c>
      <c r="FA201" s="9" t="str">
        <f t="shared" si="22"/>
        <v>Неблагоприятный</v>
      </c>
      <c r="FB201" s="1" t="s">
        <v>150</v>
      </c>
      <c r="FC201" s="39" t="s">
        <v>445</v>
      </c>
    </row>
    <row r="202">
      <c r="A202" s="7">
        <v>201.0</v>
      </c>
      <c r="B202" s="38">
        <v>16.0</v>
      </c>
      <c r="C202" s="7">
        <v>9901.0</v>
      </c>
      <c r="D202" s="39" t="s">
        <v>445</v>
      </c>
      <c r="E202" s="1">
        <v>49.0</v>
      </c>
      <c r="F202" s="1" t="s">
        <v>161</v>
      </c>
      <c r="G202" s="1" t="s">
        <v>150</v>
      </c>
      <c r="H202" s="1">
        <v>15.0</v>
      </c>
      <c r="I202" s="1" t="s">
        <v>150</v>
      </c>
      <c r="J202" s="1" t="s">
        <v>150</v>
      </c>
      <c r="K202" s="9"/>
      <c r="L202" s="1" t="s">
        <v>150</v>
      </c>
      <c r="M202" s="1" t="s">
        <v>150</v>
      </c>
      <c r="N202" s="9"/>
      <c r="O202" s="1" t="str">
        <f>IF(EC202&gt;=6.1,IF(EC202&lt;7,"да","нет"),"нет")</f>
        <v>нет</v>
      </c>
      <c r="P202" s="1" t="s">
        <v>150</v>
      </c>
      <c r="Q202" s="1" t="s">
        <v>154</v>
      </c>
      <c r="R202" s="1">
        <v>2.0</v>
      </c>
      <c r="S202" s="1" t="s">
        <v>150</v>
      </c>
      <c r="T202" s="9"/>
      <c r="U202" s="9"/>
      <c r="V202" s="9"/>
      <c r="W202" s="9"/>
      <c r="X202" s="9"/>
      <c r="Y202" s="1" t="s">
        <v>150</v>
      </c>
      <c r="Z202" s="9"/>
      <c r="AA202" s="9"/>
      <c r="AB202" s="9"/>
      <c r="AC202" s="9"/>
      <c r="AD202" s="1" t="s">
        <v>688</v>
      </c>
      <c r="AE202" s="1" t="s">
        <v>154</v>
      </c>
      <c r="AF202" s="1">
        <v>12.0</v>
      </c>
      <c r="AG202" s="1" t="s">
        <v>618</v>
      </c>
      <c r="AH202" s="1" t="s">
        <v>154</v>
      </c>
      <c r="AI202" s="1" t="s">
        <v>619</v>
      </c>
      <c r="AJ202" s="1">
        <v>2.0</v>
      </c>
      <c r="AK202" s="1" t="s">
        <v>5</v>
      </c>
      <c r="AL202" s="1" t="s">
        <v>150</v>
      </c>
      <c r="AM202" s="1"/>
      <c r="AN202" s="1">
        <v>15.0</v>
      </c>
      <c r="AO202" s="1" t="str">
        <f t="shared" si="2"/>
        <v>нет</v>
      </c>
      <c r="AP202" s="1">
        <v>161.0</v>
      </c>
      <c r="AQ202" s="1">
        <v>72.0</v>
      </c>
      <c r="AR202" s="9">
        <f t="shared" si="3"/>
        <v>27.77670615</v>
      </c>
      <c r="AS202" s="7" t="str">
        <f t="shared" si="4"/>
        <v>Избыточный вес (предожирение)</v>
      </c>
      <c r="AT202" s="1">
        <v>110.0</v>
      </c>
      <c r="AU202" s="1">
        <v>70.0</v>
      </c>
      <c r="AV202" s="9"/>
      <c r="AW202" s="1">
        <v>93.0</v>
      </c>
      <c r="AX202" s="1">
        <v>38.0</v>
      </c>
      <c r="AY202" s="1">
        <v>28.0</v>
      </c>
      <c r="AZ202" s="1">
        <v>78.0</v>
      </c>
      <c r="BA202" s="10" t="str">
        <f t="shared" si="5"/>
        <v>да</v>
      </c>
      <c r="BB202" s="1">
        <v>92.0</v>
      </c>
      <c r="BC202" s="1">
        <v>60.0</v>
      </c>
      <c r="BD202" s="12">
        <f t="shared" si="6"/>
        <v>0.04642857143</v>
      </c>
      <c r="BE202" s="12">
        <f t="shared" si="7"/>
        <v>1</v>
      </c>
      <c r="BF202" s="12">
        <f t="shared" si="8"/>
        <v>8</v>
      </c>
      <c r="BG202" s="1" t="s">
        <v>154</v>
      </c>
      <c r="BH202" s="1" t="s">
        <v>689</v>
      </c>
      <c r="BI202" s="1" t="s">
        <v>154</v>
      </c>
      <c r="BJ202" s="1" t="s">
        <v>475</v>
      </c>
      <c r="BK202" s="1" t="s">
        <v>150</v>
      </c>
      <c r="BL202" s="9"/>
      <c r="BM202" s="1" t="s">
        <v>154</v>
      </c>
      <c r="BN202" s="1" t="s">
        <v>448</v>
      </c>
      <c r="BO202" s="1" t="s">
        <v>154</v>
      </c>
      <c r="BP202" s="1" t="s">
        <v>170</v>
      </c>
      <c r="BQ202" s="1">
        <v>24.0</v>
      </c>
      <c r="BR202" s="1" t="s">
        <v>154</v>
      </c>
      <c r="BS202" s="1" t="s">
        <v>477</v>
      </c>
      <c r="BT202" s="1" t="s">
        <v>690</v>
      </c>
      <c r="BU202" s="1" t="s">
        <v>691</v>
      </c>
      <c r="BV202" s="1" t="s">
        <v>692</v>
      </c>
      <c r="BW202" s="1" t="s">
        <v>150</v>
      </c>
      <c r="BX202" s="1" t="s">
        <v>154</v>
      </c>
      <c r="BY202" s="1" t="s">
        <v>275</v>
      </c>
      <c r="BZ202" s="1" t="s">
        <v>158</v>
      </c>
      <c r="CA202" s="1" t="s">
        <v>167</v>
      </c>
      <c r="CB202" s="1" t="s">
        <v>150</v>
      </c>
      <c r="CC202" s="1" t="s">
        <v>150</v>
      </c>
      <c r="CD202" s="1" t="s">
        <v>150</v>
      </c>
      <c r="CE202" s="1" t="s">
        <v>150</v>
      </c>
      <c r="CF202" s="1" t="s">
        <v>150</v>
      </c>
      <c r="CG202" s="1" t="s">
        <v>154</v>
      </c>
      <c r="CH202" s="1" t="s">
        <v>150</v>
      </c>
      <c r="CI202" s="1" t="s">
        <v>150</v>
      </c>
      <c r="CJ202" s="1" t="s">
        <v>154</v>
      </c>
      <c r="CK202" s="1" t="s">
        <v>150</v>
      </c>
      <c r="CL202" s="1" t="s">
        <v>693</v>
      </c>
      <c r="CM202" s="1">
        <v>14.0</v>
      </c>
      <c r="CN202" s="1">
        <v>90.2</v>
      </c>
      <c r="CO202" s="7">
        <f t="shared" si="23"/>
        <v>12.628</v>
      </c>
      <c r="CP202" s="1">
        <v>2.9</v>
      </c>
      <c r="CQ202" s="7">
        <f t="shared" si="10"/>
        <v>0.366212</v>
      </c>
      <c r="CR202" s="1">
        <v>6.8</v>
      </c>
      <c r="CS202" s="7">
        <f t="shared" si="11"/>
        <v>0.024902416</v>
      </c>
      <c r="CT202" s="1">
        <v>0.0</v>
      </c>
      <c r="CU202" s="7">
        <f t="shared" si="12"/>
        <v>0</v>
      </c>
      <c r="CV202" s="7">
        <f t="shared" si="13"/>
        <v>34.48275862</v>
      </c>
      <c r="CW202" s="1">
        <v>4.63</v>
      </c>
      <c r="CX202" s="1">
        <v>148.0</v>
      </c>
      <c r="CY202" s="7" t="str">
        <f t="shared" si="14"/>
        <v>Норма</v>
      </c>
      <c r="CZ202" s="1">
        <v>24.0</v>
      </c>
      <c r="DA202" s="1">
        <v>259.0</v>
      </c>
      <c r="DB202" s="1">
        <v>20.0</v>
      </c>
      <c r="DC202" s="1">
        <v>35.52</v>
      </c>
      <c r="DD202" s="1">
        <v>92.8</v>
      </c>
      <c r="DE202" s="1"/>
      <c r="DF202" s="1">
        <v>0.9</v>
      </c>
      <c r="DG202" s="1"/>
      <c r="DH202" s="1">
        <v>6.1</v>
      </c>
      <c r="DI202" s="1"/>
      <c r="DJ202" s="1">
        <v>0.0</v>
      </c>
      <c r="DK202" s="1"/>
      <c r="DL202" s="1"/>
      <c r="DM202" s="1">
        <v>2.95</v>
      </c>
      <c r="DN202" s="1">
        <v>91.0</v>
      </c>
      <c r="DO202" s="7" t="str">
        <f t="shared" si="15"/>
        <v>Средняя степень</v>
      </c>
      <c r="DP202" s="6" t="s">
        <v>640</v>
      </c>
      <c r="DQ202" s="1">
        <v>146.0</v>
      </c>
      <c r="DR202" s="1">
        <v>6.4</v>
      </c>
      <c r="DS202" s="1">
        <v>552.0</v>
      </c>
      <c r="DT202" s="1">
        <v>29.3</v>
      </c>
      <c r="DU202" s="1">
        <v>15.4</v>
      </c>
      <c r="DV202" s="1">
        <v>1.31</v>
      </c>
      <c r="DW202" s="1" t="s">
        <v>473</v>
      </c>
      <c r="DX202" s="1">
        <v>642.0</v>
      </c>
      <c r="DY202" s="1">
        <v>49.1</v>
      </c>
      <c r="DZ202" s="1">
        <v>15.8</v>
      </c>
      <c r="EA202" s="1">
        <v>1.35</v>
      </c>
      <c r="EB202" s="1"/>
      <c r="EC202" s="1">
        <v>9.59</v>
      </c>
      <c r="ED202" s="1">
        <v>10.36</v>
      </c>
      <c r="EE202" s="1">
        <v>63.25</v>
      </c>
      <c r="EF202" s="1">
        <v>104.72</v>
      </c>
      <c r="EG202" s="1">
        <v>81.6</v>
      </c>
      <c r="EH202" s="1">
        <v>18.93</v>
      </c>
      <c r="EI202" s="1">
        <v>7.2</v>
      </c>
      <c r="EJ202" s="1">
        <v>77.62</v>
      </c>
      <c r="EK202" s="34">
        <f t="shared" si="16"/>
        <v>77.6339233</v>
      </c>
      <c r="EL202" s="11" t="str">
        <f t="shared" si="17"/>
        <v>C2</v>
      </c>
      <c r="EM202" s="1">
        <v>137.8</v>
      </c>
      <c r="EN202" s="1">
        <v>4.24</v>
      </c>
      <c r="EO202" s="1">
        <v>141.8</v>
      </c>
      <c r="EP202" s="1">
        <v>93.8</v>
      </c>
      <c r="EQ202" s="1">
        <v>59.3</v>
      </c>
      <c r="ER202" s="1">
        <v>30.9</v>
      </c>
      <c r="ES202" s="1">
        <v>20.9</v>
      </c>
      <c r="ET202" s="1">
        <v>143.0</v>
      </c>
      <c r="EU202" s="11">
        <f t="shared" si="18"/>
        <v>37.08757126</v>
      </c>
      <c r="EV202" s="11" t="str">
        <f t="shared" si="19"/>
        <v>C3b</v>
      </c>
      <c r="EW202" s="1">
        <v>136.7</v>
      </c>
      <c r="EX202" s="1">
        <v>3.71</v>
      </c>
      <c r="EY202" s="9">
        <f t="shared" si="20"/>
        <v>-1.226848972</v>
      </c>
      <c r="EZ202" s="9">
        <f t="shared" si="21"/>
        <v>0.7732665949</v>
      </c>
      <c r="FA202" s="9" t="str">
        <f t="shared" si="22"/>
        <v>Неблагоприятный</v>
      </c>
      <c r="FB202" s="1" t="s">
        <v>150</v>
      </c>
      <c r="FC202" s="39" t="s">
        <v>445</v>
      </c>
    </row>
    <row r="203">
      <c r="A203" s="7">
        <v>202.0</v>
      </c>
      <c r="B203" s="38">
        <v>17.0</v>
      </c>
      <c r="C203" s="7">
        <v>10165.0</v>
      </c>
      <c r="D203" s="39" t="s">
        <v>445</v>
      </c>
      <c r="E203" s="1">
        <v>64.0</v>
      </c>
      <c r="F203" s="1" t="s">
        <v>161</v>
      </c>
      <c r="G203" s="1" t="s">
        <v>150</v>
      </c>
      <c r="H203" s="1">
        <v>9.0</v>
      </c>
      <c r="I203" s="1" t="s">
        <v>150</v>
      </c>
      <c r="J203" s="1" t="s">
        <v>150</v>
      </c>
      <c r="K203" s="9"/>
      <c r="L203" s="1" t="s">
        <v>154</v>
      </c>
      <c r="M203" s="1" t="s">
        <v>154</v>
      </c>
      <c r="N203" s="1" t="s">
        <v>628</v>
      </c>
      <c r="O203" s="1" t="s">
        <v>154</v>
      </c>
      <c r="P203" s="1" t="s">
        <v>154</v>
      </c>
      <c r="Q203" s="1" t="s">
        <v>154</v>
      </c>
      <c r="R203" s="1">
        <v>3.0</v>
      </c>
      <c r="S203" s="1" t="s">
        <v>150</v>
      </c>
      <c r="T203" s="9"/>
      <c r="U203" s="1" t="s">
        <v>694</v>
      </c>
      <c r="V203" s="1">
        <v>1.0</v>
      </c>
      <c r="W203" s="9"/>
      <c r="X203" s="9"/>
      <c r="Y203" s="1" t="s">
        <v>150</v>
      </c>
      <c r="Z203" s="9"/>
      <c r="AA203" s="9"/>
      <c r="AB203" s="9"/>
      <c r="AC203" s="9"/>
      <c r="AD203" s="1" t="s">
        <v>695</v>
      </c>
      <c r="AE203" s="1" t="s">
        <v>154</v>
      </c>
      <c r="AF203" s="1">
        <v>3.0</v>
      </c>
      <c r="AG203" s="1" t="s">
        <v>635</v>
      </c>
      <c r="AH203" s="1" t="s">
        <v>154</v>
      </c>
      <c r="AI203" s="1" t="s">
        <v>619</v>
      </c>
      <c r="AJ203" s="1">
        <v>2.0</v>
      </c>
      <c r="AK203" s="1" t="s">
        <v>5</v>
      </c>
      <c r="AL203" s="1" t="s">
        <v>150</v>
      </c>
      <c r="AM203" s="1"/>
      <c r="AN203" s="1">
        <v>15.0</v>
      </c>
      <c r="AO203" s="1" t="str">
        <f t="shared" si="2"/>
        <v>нет</v>
      </c>
      <c r="AP203" s="1">
        <v>160.0</v>
      </c>
      <c r="AQ203" s="1">
        <v>105.0</v>
      </c>
      <c r="AR203" s="9">
        <f t="shared" si="3"/>
        <v>41.015625</v>
      </c>
      <c r="AS203" s="7" t="str">
        <f t="shared" si="4"/>
        <v>Ожирение III степени (морбидное)</v>
      </c>
      <c r="AT203" s="1">
        <v>142.0</v>
      </c>
      <c r="AU203" s="1">
        <v>70.0</v>
      </c>
      <c r="AV203" s="9"/>
      <c r="AW203" s="1">
        <v>194.0</v>
      </c>
      <c r="AX203" s="1">
        <v>37.5</v>
      </c>
      <c r="AY203" s="1">
        <v>24.0</v>
      </c>
      <c r="AZ203" s="1">
        <v>56.0</v>
      </c>
      <c r="BA203" s="10" t="str">
        <f t="shared" si="5"/>
        <v>да</v>
      </c>
      <c r="BB203" s="1">
        <v>92.0</v>
      </c>
      <c r="BC203" s="1">
        <v>95.0</v>
      </c>
      <c r="BD203" s="12">
        <f t="shared" si="6"/>
        <v>0.02456140351</v>
      </c>
      <c r="BE203" s="12">
        <f t="shared" si="7"/>
        <v>1</v>
      </c>
      <c r="BF203" s="12">
        <f t="shared" si="8"/>
        <v>8</v>
      </c>
      <c r="BG203" s="1" t="s">
        <v>154</v>
      </c>
      <c r="BH203" s="1" t="s">
        <v>175</v>
      </c>
      <c r="BI203" s="1" t="s">
        <v>154</v>
      </c>
      <c r="BJ203" s="1" t="s">
        <v>696</v>
      </c>
      <c r="BK203" s="1" t="s">
        <v>150</v>
      </c>
      <c r="BL203" s="9"/>
      <c r="BM203" s="1" t="s">
        <v>154</v>
      </c>
      <c r="BN203" s="1" t="s">
        <v>495</v>
      </c>
      <c r="BO203" s="1" t="s">
        <v>154</v>
      </c>
      <c r="BP203" s="1" t="s">
        <v>157</v>
      </c>
      <c r="BQ203" s="9"/>
      <c r="BR203" s="1" t="s">
        <v>154</v>
      </c>
      <c r="BS203" s="1" t="s">
        <v>512</v>
      </c>
      <c r="BT203" s="1" t="s">
        <v>697</v>
      </c>
      <c r="BU203" s="1" t="s">
        <v>195</v>
      </c>
      <c r="BV203" s="1" t="s">
        <v>698</v>
      </c>
      <c r="BW203" s="1" t="s">
        <v>154</v>
      </c>
      <c r="BX203" s="1" t="s">
        <v>154</v>
      </c>
      <c r="BY203" s="1" t="s">
        <v>269</v>
      </c>
      <c r="BZ203" s="1" t="s">
        <v>158</v>
      </c>
      <c r="CA203" s="1" t="s">
        <v>176</v>
      </c>
      <c r="CB203" s="1" t="s">
        <v>150</v>
      </c>
      <c r="CC203" s="1" t="s">
        <v>150</v>
      </c>
      <c r="CD203" s="1" t="s">
        <v>212</v>
      </c>
      <c r="CE203" s="1" t="s">
        <v>150</v>
      </c>
      <c r="CF203" s="1" t="s">
        <v>150</v>
      </c>
      <c r="CG203" s="1" t="s">
        <v>150</v>
      </c>
      <c r="CH203" s="1" t="s">
        <v>150</v>
      </c>
      <c r="CI203" s="1" t="s">
        <v>150</v>
      </c>
      <c r="CJ203" s="1" t="s">
        <v>154</v>
      </c>
      <c r="CK203" s="1" t="s">
        <v>150</v>
      </c>
      <c r="CL203" s="1" t="s">
        <v>699</v>
      </c>
      <c r="CM203" s="1">
        <v>11.8</v>
      </c>
      <c r="CN203" s="1">
        <v>90.3</v>
      </c>
      <c r="CO203" s="7">
        <f t="shared" si="23"/>
        <v>10.6554</v>
      </c>
      <c r="CP203" s="1">
        <v>6.7</v>
      </c>
      <c r="CQ203" s="7">
        <f t="shared" si="10"/>
        <v>0.7139118</v>
      </c>
      <c r="CR203" s="1">
        <v>2.9</v>
      </c>
      <c r="CS203" s="7">
        <f t="shared" si="11"/>
        <v>0.0207034422</v>
      </c>
      <c r="CT203" s="1">
        <v>0.0</v>
      </c>
      <c r="CU203" s="7">
        <f t="shared" si="12"/>
        <v>0</v>
      </c>
      <c r="CV203" s="7">
        <f t="shared" si="13"/>
        <v>14.92537313</v>
      </c>
      <c r="CW203" s="1">
        <v>5.56</v>
      </c>
      <c r="CX203" s="1">
        <v>158.0</v>
      </c>
      <c r="CY203" s="7" t="str">
        <f t="shared" si="14"/>
        <v>Норма</v>
      </c>
      <c r="CZ203" s="1">
        <v>50.0</v>
      </c>
      <c r="DA203" s="1">
        <v>299.0</v>
      </c>
      <c r="DB203" s="1">
        <v>58.5</v>
      </c>
      <c r="DC203" s="1">
        <v>12.62</v>
      </c>
      <c r="DD203" s="1">
        <v>95.1</v>
      </c>
      <c r="DE203" s="1"/>
      <c r="DF203" s="1">
        <v>1.9</v>
      </c>
      <c r="DG203" s="1"/>
      <c r="DH203" s="1">
        <v>2.5</v>
      </c>
      <c r="DI203" s="1"/>
      <c r="DJ203" s="1">
        <v>0.1</v>
      </c>
      <c r="DK203" s="1"/>
      <c r="DL203" s="1"/>
      <c r="DM203" s="1">
        <v>6.31</v>
      </c>
      <c r="DN203" s="1">
        <v>174.0</v>
      </c>
      <c r="DO203" s="7" t="str">
        <f t="shared" si="15"/>
        <v>Норма</v>
      </c>
      <c r="DP203" s="6" t="s">
        <v>640</v>
      </c>
      <c r="DQ203" s="1">
        <v>142.0</v>
      </c>
      <c r="DR203" s="1">
        <v>13.2</v>
      </c>
      <c r="DS203" s="1">
        <v>565.0</v>
      </c>
      <c r="DT203" s="1">
        <v>14.7</v>
      </c>
      <c r="DU203" s="1">
        <v>11.8</v>
      </c>
      <c r="DV203" s="1">
        <v>0.99</v>
      </c>
      <c r="DW203" s="1" t="s">
        <v>473</v>
      </c>
      <c r="DX203" s="1">
        <v>351.0</v>
      </c>
      <c r="DY203" s="1">
        <v>16.9</v>
      </c>
      <c r="DZ203" s="1">
        <v>11.8</v>
      </c>
      <c r="EA203" s="1">
        <v>0.99</v>
      </c>
      <c r="EB203" s="1"/>
      <c r="EC203" s="1">
        <v>8.29</v>
      </c>
      <c r="ED203" s="1">
        <v>13.7</v>
      </c>
      <c r="EE203" s="1">
        <v>28.7</v>
      </c>
      <c r="EF203" s="1">
        <v>38.9</v>
      </c>
      <c r="EG203" s="1">
        <v>74.3</v>
      </c>
      <c r="EH203" s="1">
        <v>13.4</v>
      </c>
      <c r="EI203" s="1">
        <v>6.1</v>
      </c>
      <c r="EJ203" s="1">
        <v>100.0</v>
      </c>
      <c r="EK203" s="34">
        <f t="shared" si="16"/>
        <v>51.43614246</v>
      </c>
      <c r="EL203" s="11" t="str">
        <f t="shared" si="17"/>
        <v>C3a</v>
      </c>
      <c r="EM203" s="1">
        <v>137.7</v>
      </c>
      <c r="EN203" s="1">
        <v>4.5</v>
      </c>
      <c r="EO203" s="1">
        <v>220.4</v>
      </c>
      <c r="EP203" s="1">
        <v>120.8</v>
      </c>
      <c r="EQ203" s="1">
        <v>66.5</v>
      </c>
      <c r="ER203" s="1">
        <v>13.4</v>
      </c>
      <c r="ES203" s="1">
        <v>5.1</v>
      </c>
      <c r="ET203" s="1">
        <v>159.0</v>
      </c>
      <c r="EU203" s="11">
        <f t="shared" si="18"/>
        <v>29.36156953</v>
      </c>
      <c r="EV203" s="11" t="str">
        <f t="shared" si="19"/>
        <v>C4</v>
      </c>
      <c r="EW203" s="1">
        <v>138.4</v>
      </c>
      <c r="EX203" s="1">
        <v>4.9</v>
      </c>
      <c r="EY203" s="9">
        <f t="shared" si="20"/>
        <v>-2.076125938</v>
      </c>
      <c r="EZ203" s="9">
        <f t="shared" si="21"/>
        <v>0.8885609993</v>
      </c>
      <c r="FA203" s="9" t="str">
        <f t="shared" si="22"/>
        <v>Неблагоприятный</v>
      </c>
      <c r="FB203" s="1" t="s">
        <v>150</v>
      </c>
      <c r="FC203" s="39" t="s">
        <v>445</v>
      </c>
    </row>
    <row r="204">
      <c r="A204" s="7">
        <v>203.0</v>
      </c>
      <c r="B204" s="38">
        <v>18.0</v>
      </c>
      <c r="C204" s="7">
        <v>9123.0</v>
      </c>
      <c r="D204" s="39" t="s">
        <v>445</v>
      </c>
      <c r="E204" s="1">
        <v>72.0</v>
      </c>
      <c r="F204" s="1" t="s">
        <v>161</v>
      </c>
      <c r="G204" s="1" t="s">
        <v>150</v>
      </c>
      <c r="H204" s="1">
        <v>24.0</v>
      </c>
      <c r="I204" s="1" t="s">
        <v>150</v>
      </c>
      <c r="J204" s="1" t="s">
        <v>150</v>
      </c>
      <c r="K204" s="9"/>
      <c r="L204" s="1" t="s">
        <v>150</v>
      </c>
      <c r="M204" s="1" t="s">
        <v>150</v>
      </c>
      <c r="N204" s="9"/>
      <c r="O204" s="1" t="str">
        <f t="shared" ref="O204:O206" si="31">IF(EC204&gt;=6.1,IF(EC204&lt;7,"да","нет"),"нет")</f>
        <v>нет</v>
      </c>
      <c r="P204" s="1" t="s">
        <v>150</v>
      </c>
      <c r="Q204" s="1" t="s">
        <v>154</v>
      </c>
      <c r="R204" s="1">
        <v>2.0</v>
      </c>
      <c r="S204" s="1" t="s">
        <v>150</v>
      </c>
      <c r="T204" s="9"/>
      <c r="U204" s="9"/>
      <c r="V204" s="9"/>
      <c r="W204" s="9"/>
      <c r="X204" s="9"/>
      <c r="Y204" s="1" t="s">
        <v>150</v>
      </c>
      <c r="Z204" s="9"/>
      <c r="AA204" s="9"/>
      <c r="AB204" s="9"/>
      <c r="AC204" s="9"/>
      <c r="AD204" s="1" t="s">
        <v>700</v>
      </c>
      <c r="AE204" s="1" t="s">
        <v>154</v>
      </c>
      <c r="AF204" s="1">
        <v>13.0</v>
      </c>
      <c r="AG204" s="1" t="s">
        <v>618</v>
      </c>
      <c r="AH204" s="1" t="s">
        <v>154</v>
      </c>
      <c r="AI204" s="1" t="s">
        <v>619</v>
      </c>
      <c r="AJ204" s="1">
        <v>2.0</v>
      </c>
      <c r="AK204" s="1" t="s">
        <v>701</v>
      </c>
      <c r="AL204" s="1" t="s">
        <v>150</v>
      </c>
      <c r="AM204" s="1"/>
      <c r="AN204" s="1">
        <v>15.0</v>
      </c>
      <c r="AO204" s="1" t="str">
        <f t="shared" si="2"/>
        <v>нет</v>
      </c>
      <c r="AP204" s="1">
        <v>158.0</v>
      </c>
      <c r="AQ204" s="1">
        <v>95.0</v>
      </c>
      <c r="AR204" s="9">
        <f t="shared" si="3"/>
        <v>38.05479891</v>
      </c>
      <c r="AS204" s="7" t="str">
        <f t="shared" si="4"/>
        <v>Ожирение II степени</v>
      </c>
      <c r="AT204" s="1">
        <v>140.0</v>
      </c>
      <c r="AU204" s="1">
        <v>80.0</v>
      </c>
      <c r="AV204" s="9"/>
      <c r="AW204" s="1">
        <v>99.0</v>
      </c>
      <c r="AX204" s="1">
        <v>38.0</v>
      </c>
      <c r="AY204" s="1">
        <v>24.0</v>
      </c>
      <c r="AZ204" s="1">
        <v>84.0</v>
      </c>
      <c r="BA204" s="10" t="str">
        <f t="shared" si="5"/>
        <v>да</v>
      </c>
      <c r="BB204" s="1">
        <v>93.0</v>
      </c>
      <c r="BC204" s="1">
        <v>50.0</v>
      </c>
      <c r="BD204" s="12">
        <f t="shared" si="6"/>
        <v>0.07</v>
      </c>
      <c r="BE204" s="12">
        <f t="shared" si="7"/>
        <v>1</v>
      </c>
      <c r="BF204" s="12">
        <f t="shared" si="8"/>
        <v>6</v>
      </c>
      <c r="BG204" s="1" t="s">
        <v>154</v>
      </c>
      <c r="BH204" s="1" t="s">
        <v>620</v>
      </c>
      <c r="BI204" s="1" t="s">
        <v>154</v>
      </c>
      <c r="BJ204" s="1" t="s">
        <v>175</v>
      </c>
      <c r="BK204" s="1" t="s">
        <v>150</v>
      </c>
      <c r="BL204" s="9"/>
      <c r="BM204" s="1" t="s">
        <v>154</v>
      </c>
      <c r="BN204" s="1" t="s">
        <v>155</v>
      </c>
      <c r="BO204" s="1" t="s">
        <v>150</v>
      </c>
      <c r="BP204" s="9"/>
      <c r="BQ204" s="9"/>
      <c r="BR204" s="1" t="s">
        <v>154</v>
      </c>
      <c r="BS204" s="1" t="s">
        <v>170</v>
      </c>
      <c r="BT204" s="1">
        <v>24.0</v>
      </c>
      <c r="BU204" s="1" t="s">
        <v>195</v>
      </c>
      <c r="BV204" s="1" t="s">
        <v>702</v>
      </c>
      <c r="BW204" s="1" t="s">
        <v>150</v>
      </c>
      <c r="BX204" s="1" t="s">
        <v>154</v>
      </c>
      <c r="BY204" s="1" t="s">
        <v>258</v>
      </c>
      <c r="BZ204" s="1" t="s">
        <v>158</v>
      </c>
      <c r="CA204" s="1" t="s">
        <v>176</v>
      </c>
      <c r="CB204" s="1" t="s">
        <v>185</v>
      </c>
      <c r="CC204" s="1" t="s">
        <v>703</v>
      </c>
      <c r="CD204" s="1" t="s">
        <v>212</v>
      </c>
      <c r="CE204" s="1" t="s">
        <v>150</v>
      </c>
      <c r="CF204" s="1" t="s">
        <v>150</v>
      </c>
      <c r="CG204" s="1" t="s">
        <v>150</v>
      </c>
      <c r="CH204" s="1" t="s">
        <v>150</v>
      </c>
      <c r="CI204" s="1" t="s">
        <v>150</v>
      </c>
      <c r="CJ204" s="1" t="s">
        <v>150</v>
      </c>
      <c r="CK204" s="1" t="s">
        <v>150</v>
      </c>
      <c r="CL204" s="1" t="s">
        <v>704</v>
      </c>
      <c r="CM204" s="1">
        <v>4.1</v>
      </c>
      <c r="CN204" s="1">
        <v>77.4</v>
      </c>
      <c r="CO204" s="7">
        <f t="shared" si="23"/>
        <v>3.1734</v>
      </c>
      <c r="CP204" s="1">
        <v>11.2</v>
      </c>
      <c r="CQ204" s="7">
        <f t="shared" si="10"/>
        <v>0.3554208</v>
      </c>
      <c r="CR204" s="1">
        <v>11.1</v>
      </c>
      <c r="CS204" s="7">
        <f t="shared" si="11"/>
        <v>0.0394517088</v>
      </c>
      <c r="CT204" s="1">
        <v>0.0</v>
      </c>
      <c r="CU204" s="7">
        <f t="shared" si="12"/>
        <v>0</v>
      </c>
      <c r="CV204" s="7">
        <f t="shared" si="13"/>
        <v>8.928571429</v>
      </c>
      <c r="CW204" s="1">
        <v>4.95</v>
      </c>
      <c r="CX204" s="1">
        <v>136.0</v>
      </c>
      <c r="CY204" s="7" t="str">
        <f t="shared" si="14"/>
        <v>Норма</v>
      </c>
      <c r="CZ204" s="6" t="s">
        <v>640</v>
      </c>
      <c r="DA204" s="1">
        <v>185.0</v>
      </c>
      <c r="DB204" s="1">
        <v>75.8</v>
      </c>
      <c r="DC204" s="1">
        <v>7.0</v>
      </c>
      <c r="DD204" s="1">
        <v>88.8</v>
      </c>
      <c r="DE204" s="1"/>
      <c r="DF204" s="1">
        <v>2.8</v>
      </c>
      <c r="DG204" s="1"/>
      <c r="DH204" s="1">
        <v>8.3</v>
      </c>
      <c r="DI204" s="1"/>
      <c r="DJ204" s="1">
        <v>0.0</v>
      </c>
      <c r="DK204" s="1"/>
      <c r="DL204" s="1"/>
      <c r="DM204" s="1">
        <v>3.79</v>
      </c>
      <c r="DN204" s="1">
        <v>104.0</v>
      </c>
      <c r="DO204" s="7" t="str">
        <f t="shared" si="15"/>
        <v>Средняя степень</v>
      </c>
      <c r="DP204" s="6" t="s">
        <v>640</v>
      </c>
      <c r="DQ204" s="1">
        <v>128.0</v>
      </c>
      <c r="DR204" s="1">
        <v>9.3</v>
      </c>
      <c r="DS204" s="1">
        <v>677.0</v>
      </c>
      <c r="DT204" s="1">
        <v>22.9</v>
      </c>
      <c r="DU204" s="1">
        <v>13.4</v>
      </c>
      <c r="DV204" s="1">
        <v>1.14</v>
      </c>
      <c r="DW204" s="1" t="s">
        <v>473</v>
      </c>
      <c r="DX204" s="1">
        <v>520.0</v>
      </c>
      <c r="DY204" s="1">
        <v>40.4</v>
      </c>
      <c r="DZ204" s="1">
        <v>15.5</v>
      </c>
      <c r="EA204" s="1">
        <v>1.32</v>
      </c>
      <c r="EB204" s="1"/>
      <c r="EC204" s="1">
        <v>7.17</v>
      </c>
      <c r="ED204" s="1">
        <v>12.71</v>
      </c>
      <c r="EE204" s="1">
        <v>44.17</v>
      </c>
      <c r="EF204" s="1">
        <v>87.82</v>
      </c>
      <c r="EG204" s="1">
        <v>68.6</v>
      </c>
      <c r="EH204" s="1">
        <v>7.66</v>
      </c>
      <c r="EI204" s="1">
        <v>1.64</v>
      </c>
      <c r="EJ204" s="1">
        <v>122.45</v>
      </c>
      <c r="EK204" s="34">
        <f t="shared" si="16"/>
        <v>38.06450636</v>
      </c>
      <c r="EL204" s="11" t="str">
        <f t="shared" si="17"/>
        <v>C3b</v>
      </c>
      <c r="EM204" s="1">
        <v>137.1</v>
      </c>
      <c r="EN204" s="1">
        <v>3.27</v>
      </c>
      <c r="EO204" s="1">
        <v>33.7</v>
      </c>
      <c r="EP204" s="1">
        <v>16.4</v>
      </c>
      <c r="EQ204" s="1">
        <v>68.6</v>
      </c>
      <c r="ER204" s="1">
        <v>9.0</v>
      </c>
      <c r="ES204" s="1">
        <v>4.8</v>
      </c>
      <c r="ET204" s="1">
        <v>92.0</v>
      </c>
      <c r="EU204" s="11">
        <f t="shared" si="18"/>
        <v>53.78273644</v>
      </c>
      <c r="EV204" s="11" t="str">
        <f t="shared" si="19"/>
        <v>C3a</v>
      </c>
      <c r="EW204" s="1">
        <v>147.1</v>
      </c>
      <c r="EX204" s="1">
        <v>3.49</v>
      </c>
      <c r="EY204" s="9">
        <f t="shared" si="20"/>
        <v>-2.823426872</v>
      </c>
      <c r="EZ204" s="9">
        <f t="shared" si="21"/>
        <v>0.9439287177</v>
      </c>
      <c r="FA204" s="9" t="str">
        <f t="shared" si="22"/>
        <v>Неблагоприятный</v>
      </c>
      <c r="FB204" s="1" t="s">
        <v>150</v>
      </c>
      <c r="FC204" s="39" t="s">
        <v>445</v>
      </c>
    </row>
    <row r="205">
      <c r="A205" s="7">
        <v>204.0</v>
      </c>
      <c r="B205" s="38">
        <v>19.0</v>
      </c>
      <c r="C205" s="7">
        <v>9938.0</v>
      </c>
      <c r="D205" s="39" t="s">
        <v>445</v>
      </c>
      <c r="E205" s="1">
        <v>64.0</v>
      </c>
      <c r="F205" s="1" t="s">
        <v>161</v>
      </c>
      <c r="G205" s="1" t="s">
        <v>150</v>
      </c>
      <c r="H205" s="1">
        <v>7.0</v>
      </c>
      <c r="I205" s="1" t="s">
        <v>150</v>
      </c>
      <c r="J205" s="1" t="s">
        <v>150</v>
      </c>
      <c r="K205" s="9"/>
      <c r="L205" s="1" t="s">
        <v>150</v>
      </c>
      <c r="M205" s="1" t="s">
        <v>150</v>
      </c>
      <c r="N205" s="9"/>
      <c r="O205" s="1" t="str">
        <f t="shared" si="31"/>
        <v>да</v>
      </c>
      <c r="P205" s="1" t="s">
        <v>150</v>
      </c>
      <c r="Q205" s="1" t="s">
        <v>154</v>
      </c>
      <c r="R205" s="1">
        <v>3.0</v>
      </c>
      <c r="S205" s="1" t="s">
        <v>154</v>
      </c>
      <c r="T205" s="1" t="s">
        <v>705</v>
      </c>
      <c r="U205" s="9"/>
      <c r="V205" s="9"/>
      <c r="W205" s="9"/>
      <c r="X205" s="9"/>
      <c r="Y205" s="1" t="s">
        <v>150</v>
      </c>
      <c r="Z205" s="9"/>
      <c r="AA205" s="9"/>
      <c r="AB205" s="9"/>
      <c r="AC205" s="9"/>
      <c r="AD205" s="1" t="s">
        <v>706</v>
      </c>
      <c r="AE205" s="1" t="s">
        <v>154</v>
      </c>
      <c r="AF205" s="1">
        <v>7.0</v>
      </c>
      <c r="AG205" s="1" t="s">
        <v>618</v>
      </c>
      <c r="AH205" s="1" t="s">
        <v>154</v>
      </c>
      <c r="AI205" s="1" t="s">
        <v>630</v>
      </c>
      <c r="AJ205" s="1">
        <v>3.0</v>
      </c>
      <c r="AK205" s="1" t="s">
        <v>5</v>
      </c>
      <c r="AL205" s="1" t="s">
        <v>150</v>
      </c>
      <c r="AM205" s="1"/>
      <c r="AN205" s="1">
        <v>15.0</v>
      </c>
      <c r="AO205" s="1" t="str">
        <f t="shared" si="2"/>
        <v>нет</v>
      </c>
      <c r="AP205" s="1">
        <v>163.0</v>
      </c>
      <c r="AQ205" s="1">
        <v>98.0</v>
      </c>
      <c r="AR205" s="9">
        <f t="shared" si="3"/>
        <v>36.88509165</v>
      </c>
      <c r="AS205" s="7" t="str">
        <f t="shared" si="4"/>
        <v>Ожирение II степени</v>
      </c>
      <c r="AT205" s="1">
        <v>178.0</v>
      </c>
      <c r="AU205" s="1">
        <v>114.0</v>
      </c>
      <c r="AV205" s="9"/>
      <c r="AW205" s="1">
        <v>110.0</v>
      </c>
      <c r="AX205" s="1">
        <v>37.3</v>
      </c>
      <c r="AY205" s="1">
        <v>26.0</v>
      </c>
      <c r="AZ205" s="1">
        <v>79.0</v>
      </c>
      <c r="BA205" s="10" t="str">
        <f t="shared" si="5"/>
        <v>да</v>
      </c>
      <c r="BB205" s="1">
        <v>85.0</v>
      </c>
      <c r="BC205" s="1">
        <v>60.0</v>
      </c>
      <c r="BD205" s="12">
        <f t="shared" si="6"/>
        <v>0.05064102564</v>
      </c>
      <c r="BE205" s="12">
        <f t="shared" si="7"/>
        <v>1</v>
      </c>
      <c r="BF205" s="12">
        <f t="shared" si="8"/>
        <v>7</v>
      </c>
      <c r="BG205" s="1" t="s">
        <v>150</v>
      </c>
      <c r="BH205" s="9"/>
      <c r="BI205" s="1" t="s">
        <v>154</v>
      </c>
      <c r="BJ205" s="1" t="s">
        <v>707</v>
      </c>
      <c r="BK205" s="1" t="s">
        <v>150</v>
      </c>
      <c r="BL205" s="9"/>
      <c r="BM205" s="1" t="s">
        <v>154</v>
      </c>
      <c r="BN205" s="1" t="s">
        <v>495</v>
      </c>
      <c r="BO205" s="1" t="s">
        <v>150</v>
      </c>
      <c r="BP205" s="9"/>
      <c r="BQ205" s="9"/>
      <c r="BR205" s="1" t="s">
        <v>154</v>
      </c>
      <c r="BS205" s="1" t="s">
        <v>708</v>
      </c>
      <c r="BT205" s="1" t="s">
        <v>648</v>
      </c>
      <c r="BU205" s="1" t="s">
        <v>207</v>
      </c>
      <c r="BV205" s="1">
        <v>250.0</v>
      </c>
      <c r="BW205" s="1" t="s">
        <v>150</v>
      </c>
      <c r="BX205" s="1" t="s">
        <v>154</v>
      </c>
      <c r="BY205" s="1" t="s">
        <v>275</v>
      </c>
      <c r="BZ205" s="1" t="s">
        <v>150</v>
      </c>
      <c r="CA205" s="1" t="s">
        <v>176</v>
      </c>
      <c r="CB205" s="1" t="s">
        <v>185</v>
      </c>
      <c r="CC205" s="1" t="s">
        <v>150</v>
      </c>
      <c r="CD205" s="1" t="s">
        <v>247</v>
      </c>
      <c r="CE205" s="1" t="s">
        <v>177</v>
      </c>
      <c r="CF205" s="1" t="s">
        <v>240</v>
      </c>
      <c r="CG205" s="1" t="s">
        <v>150</v>
      </c>
      <c r="CH205" s="1" t="s">
        <v>150</v>
      </c>
      <c r="CI205" s="1" t="s">
        <v>150</v>
      </c>
      <c r="CJ205" s="1" t="s">
        <v>150</v>
      </c>
      <c r="CK205" s="1" t="s">
        <v>150</v>
      </c>
      <c r="CL205" s="1" t="s">
        <v>709</v>
      </c>
      <c r="CM205" s="1">
        <v>15.1</v>
      </c>
      <c r="CN205" s="1">
        <v>96.4</v>
      </c>
      <c r="CO205" s="7">
        <f t="shared" si="23"/>
        <v>14.5564</v>
      </c>
      <c r="CP205" s="1">
        <v>1.7</v>
      </c>
      <c r="CQ205" s="7">
        <f t="shared" si="10"/>
        <v>0.2474588</v>
      </c>
      <c r="CR205" s="1">
        <v>1.5</v>
      </c>
      <c r="CS205" s="7">
        <f t="shared" si="11"/>
        <v>0.003711882</v>
      </c>
      <c r="CT205" s="1">
        <v>0.0</v>
      </c>
      <c r="CU205" s="7">
        <f t="shared" si="12"/>
        <v>0</v>
      </c>
      <c r="CV205" s="7">
        <f t="shared" si="13"/>
        <v>58.82352941</v>
      </c>
      <c r="CW205" s="1">
        <v>4.96</v>
      </c>
      <c r="CX205" s="1">
        <v>126.0</v>
      </c>
      <c r="CY205" s="7" t="str">
        <f t="shared" si="14"/>
        <v>Легкая степень</v>
      </c>
      <c r="CZ205" s="1">
        <v>4.0</v>
      </c>
      <c r="DA205" s="1">
        <v>297.0</v>
      </c>
      <c r="DB205" s="1">
        <v>125.2</v>
      </c>
      <c r="DC205" s="1">
        <v>18.0</v>
      </c>
      <c r="DD205" s="1">
        <v>98.2</v>
      </c>
      <c r="DE205" s="1"/>
      <c r="DF205" s="1">
        <v>0.9</v>
      </c>
      <c r="DG205" s="1"/>
      <c r="DH205" s="1">
        <v>0.3</v>
      </c>
      <c r="DI205" s="1"/>
      <c r="DJ205" s="1">
        <v>0.4</v>
      </c>
      <c r="DK205" s="1"/>
      <c r="DL205" s="1"/>
      <c r="DM205" s="1">
        <v>5.29</v>
      </c>
      <c r="DN205" s="1">
        <v>135.0</v>
      </c>
      <c r="DO205" s="7" t="str">
        <f t="shared" si="15"/>
        <v>Норма</v>
      </c>
      <c r="DP205" s="6" t="s">
        <v>640</v>
      </c>
      <c r="DQ205" s="1">
        <v>111.0</v>
      </c>
      <c r="DR205" s="1">
        <v>22.9</v>
      </c>
      <c r="DS205" s="1">
        <v>474.0</v>
      </c>
      <c r="DT205" s="1">
        <v>26.2</v>
      </c>
      <c r="DU205" s="6" t="s">
        <v>640</v>
      </c>
      <c r="DV205" s="1">
        <v>1.0</v>
      </c>
      <c r="DW205" s="1" t="s">
        <v>473</v>
      </c>
      <c r="DX205" s="1">
        <v>473.0</v>
      </c>
      <c r="DY205" s="1">
        <v>26.5</v>
      </c>
      <c r="DZ205" s="6" t="s">
        <v>640</v>
      </c>
      <c r="EA205" s="1">
        <v>1.17</v>
      </c>
      <c r="EB205" s="1"/>
      <c r="EC205" s="1">
        <v>6.26</v>
      </c>
      <c r="ED205" s="1">
        <v>11.65</v>
      </c>
      <c r="EE205" s="1">
        <v>20.7</v>
      </c>
      <c r="EF205" s="1">
        <v>48.3</v>
      </c>
      <c r="EG205" s="1">
        <v>64.3</v>
      </c>
      <c r="EH205" s="1">
        <v>21.2</v>
      </c>
      <c r="EI205" s="1">
        <v>10.8</v>
      </c>
      <c r="EJ205" s="1">
        <v>2241.0</v>
      </c>
      <c r="EK205" s="34">
        <f t="shared" si="16"/>
        <v>1.198351395</v>
      </c>
      <c r="EL205" s="11" t="str">
        <f t="shared" si="17"/>
        <v>C5</v>
      </c>
      <c r="EM205" s="1">
        <v>140.1</v>
      </c>
      <c r="EN205" s="1">
        <v>2.99</v>
      </c>
      <c r="EO205" s="1">
        <v>37.3</v>
      </c>
      <c r="EP205" s="1">
        <v>49.5</v>
      </c>
      <c r="EQ205" s="1">
        <v>51.7</v>
      </c>
      <c r="ER205" s="1">
        <v>38.1</v>
      </c>
      <c r="ES205" s="1">
        <v>11.7</v>
      </c>
      <c r="ET205" s="1">
        <v>87.0</v>
      </c>
      <c r="EU205" s="11">
        <f t="shared" si="18"/>
        <v>60.86808158</v>
      </c>
      <c r="EV205" s="11" t="str">
        <f t="shared" si="19"/>
        <v>C2</v>
      </c>
      <c r="EW205" s="1">
        <v>141.0</v>
      </c>
      <c r="EX205" s="1">
        <v>3.12</v>
      </c>
      <c r="EY205" s="9">
        <f t="shared" si="20"/>
        <v>-1.726708269</v>
      </c>
      <c r="EZ205" s="9">
        <f t="shared" si="21"/>
        <v>0.8489908873</v>
      </c>
      <c r="FA205" s="9" t="str">
        <f t="shared" si="22"/>
        <v>Неблагоприятный</v>
      </c>
      <c r="FB205" s="1" t="s">
        <v>150</v>
      </c>
      <c r="FC205" s="39" t="s">
        <v>445</v>
      </c>
    </row>
    <row r="206">
      <c r="A206" s="7">
        <v>205.0</v>
      </c>
      <c r="B206" s="38">
        <v>20.0</v>
      </c>
      <c r="C206" s="7">
        <v>9978.0</v>
      </c>
      <c r="D206" s="39" t="s">
        <v>445</v>
      </c>
      <c r="E206" s="1">
        <v>61.0</v>
      </c>
      <c r="F206" s="1" t="s">
        <v>161</v>
      </c>
      <c r="G206" s="1" t="s">
        <v>150</v>
      </c>
      <c r="H206" s="1">
        <v>8.0</v>
      </c>
      <c r="I206" s="1" t="s">
        <v>150</v>
      </c>
      <c r="J206" s="1" t="s">
        <v>150</v>
      </c>
      <c r="K206" s="9"/>
      <c r="L206" s="1" t="s">
        <v>150</v>
      </c>
      <c r="M206" s="1" t="s">
        <v>150</v>
      </c>
      <c r="N206" s="9"/>
      <c r="O206" s="1" t="str">
        <f t="shared" si="31"/>
        <v>нет</v>
      </c>
      <c r="P206" s="1" t="s">
        <v>150</v>
      </c>
      <c r="Q206" s="1" t="s">
        <v>154</v>
      </c>
      <c r="R206" s="1">
        <v>3.0</v>
      </c>
      <c r="S206" s="1" t="s">
        <v>150</v>
      </c>
      <c r="T206" s="9"/>
      <c r="U206" s="9"/>
      <c r="V206" s="9"/>
      <c r="W206" s="9"/>
      <c r="X206" s="9"/>
      <c r="Y206" s="1" t="s">
        <v>150</v>
      </c>
      <c r="Z206" s="9"/>
      <c r="AA206" s="9"/>
      <c r="AB206" s="9"/>
      <c r="AC206" s="9"/>
      <c r="AD206" s="1"/>
      <c r="AE206" s="1" t="s">
        <v>154</v>
      </c>
      <c r="AF206" s="1">
        <v>6.0</v>
      </c>
      <c r="AG206" s="1" t="s">
        <v>635</v>
      </c>
      <c r="AH206" s="1" t="s">
        <v>154</v>
      </c>
      <c r="AI206" s="1" t="s">
        <v>630</v>
      </c>
      <c r="AJ206" s="1">
        <v>1.0</v>
      </c>
      <c r="AK206" s="1" t="s">
        <v>5</v>
      </c>
      <c r="AL206" s="1" t="s">
        <v>150</v>
      </c>
      <c r="AM206" s="1"/>
      <c r="AN206" s="1">
        <v>15.0</v>
      </c>
      <c r="AO206" s="1" t="str">
        <f t="shared" si="2"/>
        <v>нет</v>
      </c>
      <c r="AP206" s="1">
        <v>168.0</v>
      </c>
      <c r="AQ206" s="1">
        <v>114.0</v>
      </c>
      <c r="AR206" s="9">
        <f t="shared" si="3"/>
        <v>40.39115646</v>
      </c>
      <c r="AS206" s="7" t="str">
        <f t="shared" si="4"/>
        <v>Ожирение III степени (морбидное)</v>
      </c>
      <c r="AT206" s="1">
        <v>131.0</v>
      </c>
      <c r="AU206" s="1">
        <v>66.0</v>
      </c>
      <c r="AV206" s="9"/>
      <c r="AW206" s="1">
        <v>99.0</v>
      </c>
      <c r="AX206" s="1">
        <v>36.1</v>
      </c>
      <c r="AY206" s="1">
        <v>22.0</v>
      </c>
      <c r="AZ206" s="1">
        <v>74.0</v>
      </c>
      <c r="BA206" s="10" t="str">
        <f t="shared" si="5"/>
        <v>да</v>
      </c>
      <c r="BB206" s="1">
        <v>87.0</v>
      </c>
      <c r="BC206" s="1">
        <v>60.0</v>
      </c>
      <c r="BD206" s="12">
        <f t="shared" si="6"/>
        <v>0.05606060606</v>
      </c>
      <c r="BE206" s="12">
        <f t="shared" si="7"/>
        <v>1</v>
      </c>
      <c r="BF206" s="12">
        <f t="shared" si="8"/>
        <v>6</v>
      </c>
      <c r="BG206" s="1" t="s">
        <v>522</v>
      </c>
      <c r="BH206" s="9"/>
      <c r="BI206" s="1" t="s">
        <v>154</v>
      </c>
      <c r="BJ206" s="1" t="s">
        <v>262</v>
      </c>
      <c r="BK206" s="1" t="s">
        <v>150</v>
      </c>
      <c r="BL206" s="9"/>
      <c r="BM206" s="1" t="s">
        <v>154</v>
      </c>
      <c r="BN206" s="1" t="s">
        <v>448</v>
      </c>
      <c r="BO206" s="1" t="s">
        <v>522</v>
      </c>
      <c r="BP206" s="9"/>
      <c r="BQ206" s="9"/>
      <c r="BR206" s="1" t="s">
        <v>154</v>
      </c>
      <c r="BS206" s="1" t="s">
        <v>174</v>
      </c>
      <c r="BT206" s="1" t="s">
        <v>674</v>
      </c>
      <c r="BU206" s="1" t="s">
        <v>195</v>
      </c>
      <c r="BV206" s="1" t="s">
        <v>702</v>
      </c>
      <c r="BW206" s="1" t="s">
        <v>150</v>
      </c>
      <c r="BX206" s="1" t="s">
        <v>154</v>
      </c>
      <c r="BY206" s="1" t="s">
        <v>258</v>
      </c>
      <c r="BZ206" s="1" t="s">
        <v>158</v>
      </c>
      <c r="CA206" s="1" t="s">
        <v>710</v>
      </c>
      <c r="CB206" s="1" t="s">
        <v>150</v>
      </c>
      <c r="CC206" s="1" t="s">
        <v>150</v>
      </c>
      <c r="CD206" s="1" t="s">
        <v>150</v>
      </c>
      <c r="CE206" s="1" t="s">
        <v>150</v>
      </c>
      <c r="CF206" s="1" t="s">
        <v>150</v>
      </c>
      <c r="CG206" s="1" t="s">
        <v>150</v>
      </c>
      <c r="CH206" s="1" t="s">
        <v>150</v>
      </c>
      <c r="CI206" s="1" t="s">
        <v>150</v>
      </c>
      <c r="CJ206" s="1" t="s">
        <v>154</v>
      </c>
      <c r="CK206" s="1" t="s">
        <v>150</v>
      </c>
      <c r="CL206" s="1" t="s">
        <v>711</v>
      </c>
      <c r="CM206" s="1">
        <v>12.3</v>
      </c>
      <c r="CN206" s="1">
        <v>90.8</v>
      </c>
      <c r="CO206" s="7">
        <f t="shared" si="23"/>
        <v>11.1684</v>
      </c>
      <c r="CP206" s="1">
        <v>2.8</v>
      </c>
      <c r="CQ206" s="7">
        <f t="shared" si="10"/>
        <v>0.3127152</v>
      </c>
      <c r="CR206" s="1">
        <v>6.3</v>
      </c>
      <c r="CS206" s="7">
        <f t="shared" si="11"/>
        <v>0.0197010576</v>
      </c>
      <c r="CT206" s="1">
        <v>0.0</v>
      </c>
      <c r="CU206" s="7">
        <f t="shared" si="12"/>
        <v>0</v>
      </c>
      <c r="CV206" s="7">
        <f t="shared" si="13"/>
        <v>35.71428571</v>
      </c>
      <c r="CW206" s="1">
        <v>4.5</v>
      </c>
      <c r="CX206" s="1">
        <v>127.0</v>
      </c>
      <c r="CY206" s="7" t="str">
        <f t="shared" si="14"/>
        <v>Легкая степень</v>
      </c>
      <c r="CZ206" s="6" t="s">
        <v>640</v>
      </c>
      <c r="DA206" s="1">
        <v>189.0</v>
      </c>
      <c r="DB206" s="1">
        <v>54.5</v>
      </c>
      <c r="DC206" s="1">
        <v>35.8</v>
      </c>
      <c r="DD206" s="1">
        <v>97.3</v>
      </c>
      <c r="DE206" s="1"/>
      <c r="DF206" s="1">
        <v>0.6</v>
      </c>
      <c r="DG206" s="1"/>
      <c r="DH206" s="1">
        <v>1.6</v>
      </c>
      <c r="DI206" s="1"/>
      <c r="DJ206" s="1">
        <v>0.2</v>
      </c>
      <c r="DK206" s="1"/>
      <c r="DL206" s="1"/>
      <c r="DM206" s="1">
        <v>4.29</v>
      </c>
      <c r="DN206" s="1">
        <v>122.0</v>
      </c>
      <c r="DO206" s="7" t="str">
        <f t="shared" si="15"/>
        <v>Легкая степень</v>
      </c>
      <c r="DP206" s="6" t="s">
        <v>640</v>
      </c>
      <c r="DQ206" s="1">
        <v>218.0</v>
      </c>
      <c r="DR206" s="1">
        <v>122.0</v>
      </c>
      <c r="DS206" s="1">
        <v>594.0</v>
      </c>
      <c r="DT206" s="6" t="s">
        <v>640</v>
      </c>
      <c r="DU206" s="1">
        <v>11.7</v>
      </c>
      <c r="DV206" s="1">
        <v>1.0</v>
      </c>
      <c r="DW206" s="1" t="s">
        <v>473</v>
      </c>
      <c r="DX206" s="1">
        <v>624.0</v>
      </c>
      <c r="DY206" s="6" t="s">
        <v>640</v>
      </c>
      <c r="DZ206" s="1">
        <v>10.0</v>
      </c>
      <c r="EA206" s="1">
        <v>0.85</v>
      </c>
      <c r="EB206" s="1"/>
      <c r="EC206" s="1">
        <v>24.29</v>
      </c>
      <c r="ED206" s="1">
        <v>4.4</v>
      </c>
      <c r="EE206" s="1">
        <v>20.76</v>
      </c>
      <c r="EF206" s="1">
        <v>27.21</v>
      </c>
      <c r="EG206" s="1">
        <v>66.5</v>
      </c>
      <c r="EH206" s="1">
        <v>8.73</v>
      </c>
      <c r="EI206" s="1">
        <v>4.2</v>
      </c>
      <c r="EJ206" s="1">
        <v>109.71</v>
      </c>
      <c r="EK206" s="34">
        <f t="shared" si="16"/>
        <v>46.963772</v>
      </c>
      <c r="EL206" s="11" t="str">
        <f t="shared" si="17"/>
        <v>C3a</v>
      </c>
      <c r="EM206" s="1">
        <v>133.4</v>
      </c>
      <c r="EN206" s="40">
        <v>45962.0</v>
      </c>
      <c r="EO206" s="1">
        <v>55.1</v>
      </c>
      <c r="EP206" s="1">
        <v>71.8</v>
      </c>
      <c r="EQ206" s="1">
        <v>63.6</v>
      </c>
      <c r="ER206" s="1">
        <v>5.5</v>
      </c>
      <c r="ES206" s="1">
        <v>3.9</v>
      </c>
      <c r="ET206" s="1">
        <v>188.0</v>
      </c>
      <c r="EU206" s="11">
        <f t="shared" si="18"/>
        <v>24.48859142</v>
      </c>
      <c r="EV206" s="11" t="str">
        <f t="shared" si="19"/>
        <v>C4</v>
      </c>
      <c r="EW206" s="1">
        <v>133.6</v>
      </c>
      <c r="EX206" s="1">
        <v>3.77</v>
      </c>
      <c r="EY206" s="9">
        <f t="shared" si="20"/>
        <v>-0.8042998844</v>
      </c>
      <c r="EZ206" s="9">
        <f t="shared" si="21"/>
        <v>0.6908935159</v>
      </c>
      <c r="FA206" s="9" t="str">
        <f t="shared" si="22"/>
        <v>Неблагоприятный</v>
      </c>
      <c r="FB206" s="1" t="s">
        <v>150</v>
      </c>
      <c r="FC206" s="39" t="s">
        <v>445</v>
      </c>
    </row>
    <row r="207">
      <c r="A207" s="7">
        <v>206.0</v>
      </c>
      <c r="B207" s="38">
        <v>21.0</v>
      </c>
      <c r="C207" s="7">
        <v>9883.0</v>
      </c>
      <c r="D207" s="39" t="s">
        <v>445</v>
      </c>
      <c r="E207" s="1">
        <v>68.0</v>
      </c>
      <c r="F207" s="1" t="s">
        <v>161</v>
      </c>
      <c r="G207" s="1" t="s">
        <v>150</v>
      </c>
      <c r="H207" s="1">
        <v>15.0</v>
      </c>
      <c r="I207" s="1" t="s">
        <v>150</v>
      </c>
      <c r="J207" s="1" t="s">
        <v>150</v>
      </c>
      <c r="K207" s="9"/>
      <c r="L207" s="1" t="s">
        <v>150</v>
      </c>
      <c r="M207" s="1" t="s">
        <v>150</v>
      </c>
      <c r="N207" s="9"/>
      <c r="O207" s="1" t="s">
        <v>154</v>
      </c>
      <c r="P207" s="1" t="s">
        <v>154</v>
      </c>
      <c r="Q207" s="1" t="s">
        <v>154</v>
      </c>
      <c r="R207" s="1">
        <v>3.0</v>
      </c>
      <c r="S207" s="1" t="s">
        <v>154</v>
      </c>
      <c r="T207" s="1" t="s">
        <v>712</v>
      </c>
      <c r="U207" s="1"/>
      <c r="V207" s="1"/>
      <c r="W207" s="1"/>
      <c r="X207" s="9"/>
      <c r="Y207" s="1" t="s">
        <v>150</v>
      </c>
      <c r="Z207" s="9"/>
      <c r="AA207" s="9"/>
      <c r="AB207" s="9"/>
      <c r="AC207" s="9"/>
      <c r="AD207" s="1" t="s">
        <v>713</v>
      </c>
      <c r="AE207" s="1" t="s">
        <v>154</v>
      </c>
      <c r="AF207" s="1">
        <v>12.0</v>
      </c>
      <c r="AG207" s="1" t="s">
        <v>635</v>
      </c>
      <c r="AH207" s="1" t="s">
        <v>154</v>
      </c>
      <c r="AI207" s="1" t="s">
        <v>619</v>
      </c>
      <c r="AJ207" s="1">
        <v>1.0</v>
      </c>
      <c r="AK207" s="1" t="s">
        <v>641</v>
      </c>
      <c r="AL207" s="1" t="s">
        <v>150</v>
      </c>
      <c r="AM207" s="1"/>
      <c r="AN207" s="1">
        <v>15.0</v>
      </c>
      <c r="AO207" s="1" t="str">
        <f t="shared" si="2"/>
        <v>нет</v>
      </c>
      <c r="AP207" s="1">
        <v>164.0</v>
      </c>
      <c r="AQ207" s="1">
        <v>86.0</v>
      </c>
      <c r="AR207" s="9">
        <f t="shared" si="3"/>
        <v>31.97501487</v>
      </c>
      <c r="AS207" s="7" t="str">
        <f t="shared" si="4"/>
        <v>Ожирение I степени</v>
      </c>
      <c r="AT207" s="1">
        <v>118.0</v>
      </c>
      <c r="AU207" s="1">
        <v>66.0</v>
      </c>
      <c r="AV207" s="9"/>
      <c r="AW207" s="1">
        <v>98.0</v>
      </c>
      <c r="AX207" s="1">
        <v>37.8</v>
      </c>
      <c r="AY207" s="1">
        <v>24.0</v>
      </c>
      <c r="AZ207" s="1">
        <v>68.0</v>
      </c>
      <c r="BA207" s="10" t="str">
        <f t="shared" si="5"/>
        <v>да</v>
      </c>
      <c r="BB207" s="1">
        <v>93.0</v>
      </c>
      <c r="BC207" s="1">
        <v>60.0</v>
      </c>
      <c r="BD207" s="12">
        <f t="shared" si="6"/>
        <v>0.04722222222</v>
      </c>
      <c r="BE207" s="12">
        <f t="shared" si="7"/>
        <v>1</v>
      </c>
      <c r="BF207" s="12">
        <f t="shared" si="8"/>
        <v>6</v>
      </c>
      <c r="BG207" s="1" t="s">
        <v>150</v>
      </c>
      <c r="BH207" s="9"/>
      <c r="BI207" s="1" t="s">
        <v>154</v>
      </c>
      <c r="BJ207" s="1" t="s">
        <v>179</v>
      </c>
      <c r="BK207" s="1" t="s">
        <v>154</v>
      </c>
      <c r="BL207" s="1" t="s">
        <v>189</v>
      </c>
      <c r="BM207" s="1" t="s">
        <v>154</v>
      </c>
      <c r="BN207" s="1" t="s">
        <v>448</v>
      </c>
      <c r="BO207" s="1" t="s">
        <v>154</v>
      </c>
      <c r="BP207" s="1" t="s">
        <v>174</v>
      </c>
      <c r="BQ207" s="1">
        <v>24.0</v>
      </c>
      <c r="BR207" s="1" t="s">
        <v>154</v>
      </c>
      <c r="BS207" s="1" t="s">
        <v>714</v>
      </c>
      <c r="BT207" s="1" t="s">
        <v>715</v>
      </c>
      <c r="BU207" s="1" t="s">
        <v>195</v>
      </c>
      <c r="BV207" s="1" t="s">
        <v>716</v>
      </c>
      <c r="BW207" s="1" t="s">
        <v>150</v>
      </c>
      <c r="BX207" s="1" t="s">
        <v>154</v>
      </c>
      <c r="BY207" s="1" t="s">
        <v>258</v>
      </c>
      <c r="BZ207" s="1" t="s">
        <v>158</v>
      </c>
      <c r="CA207" s="1" t="s">
        <v>150</v>
      </c>
      <c r="CB207" s="1" t="s">
        <v>150</v>
      </c>
      <c r="CC207" s="1" t="s">
        <v>150</v>
      </c>
      <c r="CD207" s="1" t="s">
        <v>150</v>
      </c>
      <c r="CE207" s="1" t="s">
        <v>150</v>
      </c>
      <c r="CF207" s="1" t="s">
        <v>717</v>
      </c>
      <c r="CG207" s="1" t="s">
        <v>150</v>
      </c>
      <c r="CH207" s="1" t="s">
        <v>150</v>
      </c>
      <c r="CI207" s="1" t="s">
        <v>150</v>
      </c>
      <c r="CJ207" s="1" t="s">
        <v>154</v>
      </c>
      <c r="CK207" s="1" t="s">
        <v>150</v>
      </c>
      <c r="CL207" s="1" t="s">
        <v>718</v>
      </c>
      <c r="CM207" s="1">
        <v>11.5</v>
      </c>
      <c r="CN207" s="1">
        <v>85.2</v>
      </c>
      <c r="CO207" s="7">
        <f t="shared" si="23"/>
        <v>9.798</v>
      </c>
      <c r="CP207" s="1">
        <v>5.8</v>
      </c>
      <c r="CQ207" s="7">
        <f t="shared" si="10"/>
        <v>0.568284</v>
      </c>
      <c r="CR207" s="1">
        <v>8.9</v>
      </c>
      <c r="CS207" s="7">
        <f t="shared" si="11"/>
        <v>0.050577276</v>
      </c>
      <c r="CT207" s="1">
        <v>0.0</v>
      </c>
      <c r="CU207" s="7">
        <f t="shared" si="12"/>
        <v>0</v>
      </c>
      <c r="CV207" s="7">
        <f t="shared" si="13"/>
        <v>17.24137931</v>
      </c>
      <c r="CW207" s="1">
        <v>4.87</v>
      </c>
      <c r="CX207" s="1">
        <v>137.0</v>
      </c>
      <c r="CY207" s="7" t="str">
        <f t="shared" si="14"/>
        <v>Норма</v>
      </c>
      <c r="CZ207" s="6" t="s">
        <v>640</v>
      </c>
      <c r="DA207" s="1">
        <v>222.0</v>
      </c>
      <c r="DB207" s="1">
        <v>22.0</v>
      </c>
      <c r="DC207" s="1">
        <v>2.65</v>
      </c>
      <c r="DD207" s="1">
        <v>80.4</v>
      </c>
      <c r="DE207" s="1"/>
      <c r="DF207" s="1">
        <v>18.5</v>
      </c>
      <c r="DG207" s="1"/>
      <c r="DH207" s="1">
        <v>1.1</v>
      </c>
      <c r="DI207" s="1"/>
      <c r="DJ207" s="1">
        <v>0.0</v>
      </c>
      <c r="DK207" s="1"/>
      <c r="DL207" s="1"/>
      <c r="DM207" s="1">
        <v>4.52</v>
      </c>
      <c r="DN207" s="1">
        <v>119.0</v>
      </c>
      <c r="DO207" s="7" t="str">
        <f t="shared" si="15"/>
        <v>Легкая степень</v>
      </c>
      <c r="DP207" s="6" t="s">
        <v>640</v>
      </c>
      <c r="DQ207" s="1">
        <v>39.0</v>
      </c>
      <c r="DR207" s="1">
        <v>112.8</v>
      </c>
      <c r="DS207" s="1">
        <v>583.0</v>
      </c>
      <c r="DT207" s="1">
        <v>38.3</v>
      </c>
      <c r="DU207" s="1">
        <v>15.2</v>
      </c>
      <c r="DV207" s="1">
        <v>1.3</v>
      </c>
      <c r="DW207" s="6" t="s">
        <v>640</v>
      </c>
      <c r="DX207" s="1">
        <v>470.0</v>
      </c>
      <c r="DY207" s="1">
        <v>21.4</v>
      </c>
      <c r="DZ207" s="1">
        <v>14.1</v>
      </c>
      <c r="EA207" s="1">
        <v>1.21</v>
      </c>
      <c r="EB207" s="1"/>
      <c r="EC207" s="1">
        <v>7.08</v>
      </c>
      <c r="ED207" s="1">
        <v>11.37</v>
      </c>
      <c r="EE207" s="1">
        <v>33.3</v>
      </c>
      <c r="EF207" s="1">
        <v>24.91</v>
      </c>
      <c r="EG207" s="1">
        <v>58.6</v>
      </c>
      <c r="EH207" s="1">
        <v>10.77</v>
      </c>
      <c r="EI207" s="6" t="s">
        <v>640</v>
      </c>
      <c r="EJ207" s="1">
        <v>124.0</v>
      </c>
      <c r="EK207" s="34">
        <f t="shared" si="16"/>
        <v>38.55836118</v>
      </c>
      <c r="EL207" s="11" t="str">
        <f t="shared" si="17"/>
        <v>C3b</v>
      </c>
      <c r="EM207" s="1">
        <v>135.8</v>
      </c>
      <c r="EN207" s="1">
        <v>4.68</v>
      </c>
      <c r="EO207" s="1">
        <v>61.3</v>
      </c>
      <c r="EP207" s="1">
        <v>56.3</v>
      </c>
      <c r="EQ207" s="1">
        <v>50.4</v>
      </c>
      <c r="ER207" s="1">
        <v>17.0</v>
      </c>
      <c r="ES207" s="6" t="s">
        <v>640</v>
      </c>
      <c r="ET207" s="1">
        <v>303.0</v>
      </c>
      <c r="EU207" s="11">
        <f t="shared" si="18"/>
        <v>13.09185681</v>
      </c>
      <c r="EV207" s="11" t="str">
        <f t="shared" si="19"/>
        <v>C5</v>
      </c>
      <c r="EW207" s="1">
        <v>134.8</v>
      </c>
      <c r="EX207" s="1">
        <v>3.0</v>
      </c>
      <c r="EY207" s="9">
        <f t="shared" si="20"/>
        <v>0.1534227525</v>
      </c>
      <c r="EZ207" s="9">
        <f t="shared" si="21"/>
        <v>0.4617193716</v>
      </c>
      <c r="FA207" s="9" t="str">
        <f t="shared" si="22"/>
        <v>Благоприятный</v>
      </c>
      <c r="FB207" s="1" t="s">
        <v>256</v>
      </c>
      <c r="FC207" s="39" t="s">
        <v>445</v>
      </c>
    </row>
    <row r="208">
      <c r="A208" s="7">
        <v>207.0</v>
      </c>
      <c r="B208" s="38">
        <v>22.0</v>
      </c>
      <c r="C208" s="7">
        <v>9401.0</v>
      </c>
      <c r="D208" s="39" t="s">
        <v>445</v>
      </c>
      <c r="E208" s="1">
        <v>50.0</v>
      </c>
      <c r="F208" s="1" t="s">
        <v>149</v>
      </c>
      <c r="G208" s="1"/>
      <c r="H208" s="1">
        <v>21.0</v>
      </c>
      <c r="I208" s="1" t="s">
        <v>150</v>
      </c>
      <c r="J208" s="1" t="s">
        <v>150</v>
      </c>
      <c r="K208" s="9"/>
      <c r="L208" s="1" t="s">
        <v>150</v>
      </c>
      <c r="M208" s="1" t="s">
        <v>154</v>
      </c>
      <c r="N208" s="1" t="s">
        <v>657</v>
      </c>
      <c r="O208" s="1" t="s">
        <v>154</v>
      </c>
      <c r="P208" s="1" t="s">
        <v>154</v>
      </c>
      <c r="Q208" s="1" t="s">
        <v>154</v>
      </c>
      <c r="R208" s="1">
        <v>3.0</v>
      </c>
      <c r="S208" s="1" t="s">
        <v>150</v>
      </c>
      <c r="T208" s="9"/>
      <c r="U208" s="1">
        <v>1.0</v>
      </c>
      <c r="V208" s="1" t="s">
        <v>719</v>
      </c>
      <c r="W208" s="9"/>
      <c r="X208" s="9"/>
      <c r="Y208" s="1" t="s">
        <v>150</v>
      </c>
      <c r="Z208" s="9"/>
      <c r="AA208" s="9"/>
      <c r="AB208" s="9"/>
      <c r="AC208" s="9"/>
      <c r="AD208" s="1" t="s">
        <v>720</v>
      </c>
      <c r="AE208" s="1" t="s">
        <v>154</v>
      </c>
      <c r="AF208" s="1">
        <v>14.0</v>
      </c>
      <c r="AG208" s="1" t="s">
        <v>635</v>
      </c>
      <c r="AH208" s="1" t="s">
        <v>154</v>
      </c>
      <c r="AI208" s="1" t="s">
        <v>619</v>
      </c>
      <c r="AJ208" s="1">
        <v>2.0</v>
      </c>
      <c r="AK208" s="1" t="s">
        <v>5</v>
      </c>
      <c r="AL208" s="1" t="s">
        <v>150</v>
      </c>
      <c r="AM208" s="1"/>
      <c r="AN208" s="1">
        <v>15.0</v>
      </c>
      <c r="AO208" s="1" t="str">
        <f t="shared" si="2"/>
        <v>нет</v>
      </c>
      <c r="AP208" s="1">
        <v>168.0</v>
      </c>
      <c r="AQ208" s="1">
        <v>82.0</v>
      </c>
      <c r="AR208" s="9">
        <f t="shared" si="3"/>
        <v>29.05328798</v>
      </c>
      <c r="AS208" s="7" t="str">
        <f t="shared" si="4"/>
        <v>Избыточный вес (предожирение)</v>
      </c>
      <c r="AT208" s="1">
        <v>125.0</v>
      </c>
      <c r="AU208" s="1">
        <v>87.0</v>
      </c>
      <c r="AV208" s="9"/>
      <c r="AW208" s="1">
        <v>95.0</v>
      </c>
      <c r="AX208" s="1">
        <v>37.1</v>
      </c>
      <c r="AY208" s="1">
        <v>20.0</v>
      </c>
      <c r="AZ208" s="1">
        <v>70.0</v>
      </c>
      <c r="BA208" s="10" t="str">
        <f t="shared" si="5"/>
        <v>да</v>
      </c>
      <c r="BB208" s="1">
        <v>92.0</v>
      </c>
      <c r="BC208" s="1">
        <v>50.0</v>
      </c>
      <c r="BD208" s="12">
        <f t="shared" si="6"/>
        <v>0.07</v>
      </c>
      <c r="BE208" s="12">
        <f t="shared" si="7"/>
        <v>0</v>
      </c>
      <c r="BF208" s="12">
        <f t="shared" si="8"/>
        <v>4</v>
      </c>
      <c r="BG208" s="1" t="s">
        <v>154</v>
      </c>
      <c r="BH208" s="1" t="s">
        <v>237</v>
      </c>
      <c r="BI208" s="1" t="s">
        <v>154</v>
      </c>
      <c r="BJ208" s="1" t="s">
        <v>721</v>
      </c>
      <c r="BK208" s="1" t="s">
        <v>154</v>
      </c>
      <c r="BL208" s="9"/>
      <c r="BM208" s="1" t="s">
        <v>154</v>
      </c>
      <c r="BN208" s="1" t="s">
        <v>448</v>
      </c>
      <c r="BO208" s="1" t="s">
        <v>154</v>
      </c>
      <c r="BP208" s="1" t="s">
        <v>157</v>
      </c>
      <c r="BQ208" s="9"/>
      <c r="BR208" s="1" t="s">
        <v>154</v>
      </c>
      <c r="BS208" s="1" t="s">
        <v>477</v>
      </c>
      <c r="BT208" s="1" t="s">
        <v>722</v>
      </c>
      <c r="BU208" s="1" t="s">
        <v>691</v>
      </c>
      <c r="BV208" s="1" t="s">
        <v>723</v>
      </c>
      <c r="BW208" s="1" t="s">
        <v>154</v>
      </c>
      <c r="BX208" s="1" t="s">
        <v>154</v>
      </c>
      <c r="BY208" s="1" t="s">
        <v>269</v>
      </c>
      <c r="BZ208" s="1" t="s">
        <v>158</v>
      </c>
      <c r="CA208" s="1" t="s">
        <v>150</v>
      </c>
      <c r="CB208" s="1" t="s">
        <v>150</v>
      </c>
      <c r="CC208" s="1" t="s">
        <v>150</v>
      </c>
      <c r="CD208" s="1" t="s">
        <v>247</v>
      </c>
      <c r="CE208" s="1" t="s">
        <v>150</v>
      </c>
      <c r="CF208" s="1" t="s">
        <v>150</v>
      </c>
      <c r="CG208" s="1" t="s">
        <v>150</v>
      </c>
      <c r="CH208" s="1" t="s">
        <v>150</v>
      </c>
      <c r="CI208" s="1" t="s">
        <v>150</v>
      </c>
      <c r="CJ208" s="1" t="s">
        <v>154</v>
      </c>
      <c r="CK208" s="1" t="s">
        <v>150</v>
      </c>
      <c r="CL208" s="1" t="s">
        <v>724</v>
      </c>
      <c r="CM208" s="1">
        <v>9.2</v>
      </c>
      <c r="CN208" s="1">
        <v>89.7</v>
      </c>
      <c r="CO208" s="7">
        <f t="shared" si="23"/>
        <v>8.2524</v>
      </c>
      <c r="CP208" s="1">
        <v>4.7</v>
      </c>
      <c r="CQ208" s="7">
        <f t="shared" si="10"/>
        <v>0.3878628</v>
      </c>
      <c r="CR208" s="1">
        <v>5.2</v>
      </c>
      <c r="CS208" s="7">
        <f t="shared" si="11"/>
        <v>0.0201688656</v>
      </c>
      <c r="CT208" s="1">
        <v>0.0</v>
      </c>
      <c r="CU208" s="7">
        <f t="shared" si="12"/>
        <v>0</v>
      </c>
      <c r="CV208" s="7">
        <f t="shared" si="13"/>
        <v>21.27659574</v>
      </c>
      <c r="CW208" s="1">
        <v>4.68</v>
      </c>
      <c r="CX208" s="1">
        <v>131.0</v>
      </c>
      <c r="CY208" s="7" t="str">
        <f t="shared" si="14"/>
        <v>Норма</v>
      </c>
      <c r="CZ208" s="1">
        <v>44.0</v>
      </c>
      <c r="DA208" s="1">
        <v>192.0</v>
      </c>
      <c r="DB208" s="1">
        <v>138.7</v>
      </c>
      <c r="DC208" s="1">
        <v>34.8</v>
      </c>
      <c r="DD208" s="1">
        <v>91.8</v>
      </c>
      <c r="DE208" s="1"/>
      <c r="DF208" s="1">
        <v>2.3</v>
      </c>
      <c r="DG208" s="1"/>
      <c r="DH208" s="1">
        <v>5.4</v>
      </c>
      <c r="DI208" s="1"/>
      <c r="DJ208" s="1">
        <v>0.1</v>
      </c>
      <c r="DK208" s="1"/>
      <c r="DL208" s="1"/>
      <c r="DM208" s="1">
        <v>4.07</v>
      </c>
      <c r="DN208" s="1">
        <v>115.0</v>
      </c>
      <c r="DO208" s="7" t="str">
        <f t="shared" si="15"/>
        <v>Легкая степень</v>
      </c>
      <c r="DP208" s="1">
        <v>20.0</v>
      </c>
      <c r="DQ208" s="1">
        <v>89.0</v>
      </c>
      <c r="DR208" s="1">
        <v>88.0</v>
      </c>
      <c r="DS208" s="1">
        <v>595.0</v>
      </c>
      <c r="DT208" s="1">
        <v>25.1</v>
      </c>
      <c r="DU208" s="1">
        <v>11.3</v>
      </c>
      <c r="DV208" s="1">
        <v>1.0</v>
      </c>
      <c r="DW208" s="1" t="s">
        <v>458</v>
      </c>
      <c r="DX208" s="1">
        <v>252.6</v>
      </c>
      <c r="DY208" s="1">
        <v>45.1</v>
      </c>
      <c r="DZ208" s="1">
        <v>14.2</v>
      </c>
      <c r="EA208" s="1">
        <v>1.21</v>
      </c>
      <c r="EB208" s="1"/>
      <c r="EC208" s="1">
        <v>17.1</v>
      </c>
      <c r="ED208" s="1">
        <v>16.7</v>
      </c>
      <c r="EE208" s="1">
        <v>45.81</v>
      </c>
      <c r="EF208" s="1">
        <v>45.06</v>
      </c>
      <c r="EG208" s="1">
        <v>59.9</v>
      </c>
      <c r="EH208" s="1">
        <v>8.86</v>
      </c>
      <c r="EI208" s="1">
        <v>2.8</v>
      </c>
      <c r="EJ208" s="1">
        <v>125.51</v>
      </c>
      <c r="EK208" s="34">
        <f t="shared" si="16"/>
        <v>43.11980727</v>
      </c>
      <c r="EL208" s="11" t="str">
        <f t="shared" si="17"/>
        <v>C3b</v>
      </c>
      <c r="EM208" s="1">
        <v>132.0</v>
      </c>
      <c r="EN208" s="1">
        <v>4.83</v>
      </c>
      <c r="EO208" s="1">
        <v>44.5</v>
      </c>
      <c r="EP208" s="1">
        <v>25.4</v>
      </c>
      <c r="EQ208" s="1">
        <v>54.6</v>
      </c>
      <c r="ER208" s="1">
        <v>8.6</v>
      </c>
      <c r="ES208" s="1">
        <v>4.3</v>
      </c>
      <c r="ET208" s="1">
        <v>140.0</v>
      </c>
      <c r="EU208" s="11">
        <f t="shared" si="18"/>
        <v>37.78419</v>
      </c>
      <c r="EV208" s="11" t="str">
        <f t="shared" si="19"/>
        <v>C3b</v>
      </c>
      <c r="EW208" s="1">
        <v>142.6</v>
      </c>
      <c r="EX208" s="1">
        <v>3.74</v>
      </c>
      <c r="EY208" s="9">
        <f t="shared" si="20"/>
        <v>1.892414662</v>
      </c>
      <c r="EZ208" s="9">
        <f t="shared" si="21"/>
        <v>0.1309693963</v>
      </c>
      <c r="FA208" s="9" t="str">
        <f t="shared" si="22"/>
        <v>Благоприятный</v>
      </c>
      <c r="FB208" s="1" t="s">
        <v>256</v>
      </c>
      <c r="FC208" s="39" t="s">
        <v>445</v>
      </c>
    </row>
    <row r="209">
      <c r="A209" s="7">
        <v>208.0</v>
      </c>
      <c r="B209" s="38">
        <v>23.0</v>
      </c>
      <c r="C209" s="7">
        <v>9873.0</v>
      </c>
      <c r="D209" s="39" t="s">
        <v>445</v>
      </c>
      <c r="E209" s="1">
        <v>72.0</v>
      </c>
      <c r="F209" s="1" t="s">
        <v>161</v>
      </c>
      <c r="G209" s="1" t="s">
        <v>150</v>
      </c>
      <c r="H209" s="1">
        <v>22.0</v>
      </c>
      <c r="I209" s="1" t="s">
        <v>150</v>
      </c>
      <c r="J209" s="1" t="s">
        <v>150</v>
      </c>
      <c r="K209" s="9"/>
      <c r="L209" s="1" t="s">
        <v>150</v>
      </c>
      <c r="M209" s="1" t="s">
        <v>150</v>
      </c>
      <c r="N209" s="9"/>
      <c r="O209" s="1" t="str">
        <f>IF(EC209&gt;=6.1,IF(EC209&lt;7,"да","нет"),"нет")</f>
        <v>нет</v>
      </c>
      <c r="P209" s="1" t="s">
        <v>150</v>
      </c>
      <c r="Q209" s="1" t="s">
        <v>154</v>
      </c>
      <c r="R209" s="1">
        <v>3.0</v>
      </c>
      <c r="S209" s="1" t="s">
        <v>154</v>
      </c>
      <c r="T209" s="1" t="s">
        <v>725</v>
      </c>
      <c r="U209" s="1" t="s">
        <v>694</v>
      </c>
      <c r="V209" s="1">
        <v>1.0</v>
      </c>
      <c r="W209" s="9"/>
      <c r="X209" s="9"/>
      <c r="Y209" s="1" t="s">
        <v>150</v>
      </c>
      <c r="Z209" s="9"/>
      <c r="AA209" s="9"/>
      <c r="AB209" s="9"/>
      <c r="AC209" s="9"/>
      <c r="AD209" s="1" t="s">
        <v>726</v>
      </c>
      <c r="AE209" s="1" t="s">
        <v>154</v>
      </c>
      <c r="AF209" s="1">
        <v>5.0</v>
      </c>
      <c r="AG209" s="1" t="s">
        <v>635</v>
      </c>
      <c r="AH209" s="1" t="s">
        <v>154</v>
      </c>
      <c r="AI209" s="1" t="s">
        <v>619</v>
      </c>
      <c r="AJ209" s="1">
        <v>2.0</v>
      </c>
      <c r="AK209" s="1" t="s">
        <v>641</v>
      </c>
      <c r="AL209" s="1" t="s">
        <v>150</v>
      </c>
      <c r="AM209" s="1"/>
      <c r="AN209" s="1">
        <v>15.0</v>
      </c>
      <c r="AO209" s="1" t="str">
        <f t="shared" si="2"/>
        <v>нет</v>
      </c>
      <c r="AP209" s="1">
        <v>160.0</v>
      </c>
      <c r="AQ209" s="1">
        <v>84.0</v>
      </c>
      <c r="AR209" s="9">
        <f t="shared" si="3"/>
        <v>32.8125</v>
      </c>
      <c r="AS209" s="7" t="str">
        <f t="shared" si="4"/>
        <v>Ожирение I степени</v>
      </c>
      <c r="AT209" s="1">
        <v>130.0</v>
      </c>
      <c r="AU209" s="1">
        <v>70.0</v>
      </c>
      <c r="AV209" s="9"/>
      <c r="AW209" s="1">
        <v>98.0</v>
      </c>
      <c r="AX209" s="1">
        <v>37.1</v>
      </c>
      <c r="AY209" s="1">
        <v>24.0</v>
      </c>
      <c r="AZ209" s="1">
        <v>86.0</v>
      </c>
      <c r="BA209" s="10" t="str">
        <f t="shared" si="5"/>
        <v>да</v>
      </c>
      <c r="BB209" s="1">
        <v>93.0</v>
      </c>
      <c r="BC209" s="1">
        <v>60.0</v>
      </c>
      <c r="BD209" s="12">
        <f t="shared" si="6"/>
        <v>0.05972222222</v>
      </c>
      <c r="BE209" s="12">
        <f t="shared" si="7"/>
        <v>1</v>
      </c>
      <c r="BF209" s="12">
        <f t="shared" si="8"/>
        <v>6</v>
      </c>
      <c r="BG209" s="1" t="s">
        <v>154</v>
      </c>
      <c r="BH209" s="1" t="s">
        <v>175</v>
      </c>
      <c r="BI209" s="1" t="s">
        <v>154</v>
      </c>
      <c r="BJ209" s="1" t="s">
        <v>727</v>
      </c>
      <c r="BK209" s="1" t="s">
        <v>154</v>
      </c>
      <c r="BL209" s="1" t="s">
        <v>189</v>
      </c>
      <c r="BM209" s="1" t="s">
        <v>154</v>
      </c>
      <c r="BN209" s="1" t="s">
        <v>495</v>
      </c>
      <c r="BO209" s="1" t="s">
        <v>154</v>
      </c>
      <c r="BP209" s="1" t="s">
        <v>157</v>
      </c>
      <c r="BQ209" s="9"/>
      <c r="BR209" s="1" t="s">
        <v>154</v>
      </c>
      <c r="BS209" s="1" t="s">
        <v>170</v>
      </c>
      <c r="BT209" s="1">
        <v>24.0</v>
      </c>
      <c r="BU209" s="1" t="s">
        <v>170</v>
      </c>
      <c r="BV209" s="1">
        <v>24.0</v>
      </c>
      <c r="BW209" s="1" t="s">
        <v>150</v>
      </c>
      <c r="BX209" s="1" t="s">
        <v>154</v>
      </c>
      <c r="BY209" s="1" t="s">
        <v>258</v>
      </c>
      <c r="BZ209" s="1" t="s">
        <v>158</v>
      </c>
      <c r="CA209" s="1" t="s">
        <v>728</v>
      </c>
      <c r="CB209" s="1" t="s">
        <v>150</v>
      </c>
      <c r="CC209" s="1" t="s">
        <v>154</v>
      </c>
      <c r="CD209" s="1" t="s">
        <v>247</v>
      </c>
      <c r="CE209" s="1" t="s">
        <v>728</v>
      </c>
      <c r="CF209" s="1" t="s">
        <v>150</v>
      </c>
      <c r="CG209" s="1" t="s">
        <v>154</v>
      </c>
      <c r="CH209" s="1" t="s">
        <v>150</v>
      </c>
      <c r="CI209" s="1" t="s">
        <v>150</v>
      </c>
      <c r="CJ209" s="1" t="s">
        <v>154</v>
      </c>
      <c r="CK209" s="1" t="s">
        <v>150</v>
      </c>
      <c r="CL209" s="1" t="s">
        <v>316</v>
      </c>
      <c r="CM209" s="1">
        <v>4.98</v>
      </c>
      <c r="CN209" s="1">
        <v>84.6</v>
      </c>
      <c r="CO209" s="7">
        <f t="shared" si="23"/>
        <v>4.21308</v>
      </c>
      <c r="CP209" s="1">
        <v>8.8</v>
      </c>
      <c r="CQ209" s="7">
        <f t="shared" si="10"/>
        <v>0.37075104</v>
      </c>
      <c r="CR209" s="1">
        <v>6.4</v>
      </c>
      <c r="CS209" s="7">
        <f t="shared" si="11"/>
        <v>0.02372806656</v>
      </c>
      <c r="CT209" s="1">
        <v>0.0</v>
      </c>
      <c r="CU209" s="7">
        <f t="shared" si="12"/>
        <v>0</v>
      </c>
      <c r="CV209" s="7">
        <f t="shared" si="13"/>
        <v>11.36363636</v>
      </c>
      <c r="CW209" s="1">
        <v>4.64</v>
      </c>
      <c r="CX209" s="1">
        <v>120.0</v>
      </c>
      <c r="CY209" s="7" t="str">
        <f t="shared" si="14"/>
        <v>Легкая степень</v>
      </c>
      <c r="CZ209" s="1">
        <v>45.0</v>
      </c>
      <c r="DA209" s="1">
        <v>214.0</v>
      </c>
      <c r="DB209" s="1">
        <v>131.0</v>
      </c>
      <c r="DC209" s="1">
        <v>18.46</v>
      </c>
      <c r="DD209" s="1">
        <v>96.0</v>
      </c>
      <c r="DE209" s="1"/>
      <c r="DF209" s="1">
        <v>0.9</v>
      </c>
      <c r="DG209" s="1"/>
      <c r="DH209" s="1">
        <v>2.5</v>
      </c>
      <c r="DI209" s="1"/>
      <c r="DJ209" s="1">
        <v>0.0</v>
      </c>
      <c r="DK209" s="1"/>
      <c r="DL209" s="1"/>
      <c r="DM209" s="1">
        <v>4.53</v>
      </c>
      <c r="DN209" s="1">
        <v>117.0</v>
      </c>
      <c r="DO209" s="7" t="str">
        <f t="shared" si="15"/>
        <v>Легкая степень</v>
      </c>
      <c r="DP209" s="6" t="s">
        <v>640</v>
      </c>
      <c r="DQ209" s="1">
        <v>86.0</v>
      </c>
      <c r="DR209" s="1">
        <v>83.0</v>
      </c>
      <c r="DS209" s="1">
        <v>603.0</v>
      </c>
      <c r="DT209" s="1">
        <v>24.9</v>
      </c>
      <c r="DU209" s="1">
        <v>12.0</v>
      </c>
      <c r="DV209" s="1">
        <v>1.02</v>
      </c>
      <c r="DW209" s="1" t="s">
        <v>458</v>
      </c>
      <c r="DX209" s="1">
        <v>501.7</v>
      </c>
      <c r="DY209" s="1">
        <v>24.7</v>
      </c>
      <c r="DZ209" s="1">
        <v>14.7</v>
      </c>
      <c r="EA209" s="1">
        <v>1.26</v>
      </c>
      <c r="EB209" s="1"/>
      <c r="EC209" s="1">
        <v>7.86</v>
      </c>
      <c r="ED209" s="1">
        <v>10.34</v>
      </c>
      <c r="EE209" s="1">
        <v>32.0</v>
      </c>
      <c r="EF209" s="1">
        <v>26.4</v>
      </c>
      <c r="EG209" s="1">
        <v>63.0</v>
      </c>
      <c r="EH209" s="1">
        <v>6.4</v>
      </c>
      <c r="EI209" s="6" t="s">
        <v>640</v>
      </c>
      <c r="EJ209" s="1">
        <v>94.0</v>
      </c>
      <c r="EK209" s="34">
        <f t="shared" si="16"/>
        <v>52.40235482</v>
      </c>
      <c r="EL209" s="11" t="str">
        <f t="shared" si="17"/>
        <v>C3a</v>
      </c>
      <c r="EM209" s="1">
        <v>149.9</v>
      </c>
      <c r="EN209" s="1">
        <v>3.5</v>
      </c>
      <c r="EO209" s="1">
        <v>51.5</v>
      </c>
      <c r="EP209" s="1">
        <v>22.5</v>
      </c>
      <c r="EQ209" s="1">
        <v>55.2</v>
      </c>
      <c r="ER209" s="1">
        <v>6.0</v>
      </c>
      <c r="ES209" s="6" t="s">
        <v>640</v>
      </c>
      <c r="ET209" s="1">
        <v>180.0</v>
      </c>
      <c r="EU209" s="11">
        <f t="shared" si="18"/>
        <v>23.89119757</v>
      </c>
      <c r="EV209" s="11" t="str">
        <f t="shared" si="19"/>
        <v>C4</v>
      </c>
      <c r="EW209" s="1">
        <v>162.7</v>
      </c>
      <c r="EX209" s="1">
        <v>4.29</v>
      </c>
      <c r="EY209" s="9">
        <f t="shared" si="20"/>
        <v>-0.26268875</v>
      </c>
      <c r="EZ209" s="9">
        <f t="shared" si="21"/>
        <v>0.5652971309</v>
      </c>
      <c r="FA209" s="9" t="str">
        <f t="shared" si="22"/>
        <v>Неблагоприятный</v>
      </c>
      <c r="FB209" s="1" t="s">
        <v>150</v>
      </c>
      <c r="FC209" s="39" t="s">
        <v>445</v>
      </c>
    </row>
    <row r="210">
      <c r="A210" s="7">
        <v>209.0</v>
      </c>
      <c r="B210" s="38">
        <v>24.0</v>
      </c>
      <c r="C210" s="7">
        <v>9867.0</v>
      </c>
      <c r="D210" s="39" t="s">
        <v>445</v>
      </c>
      <c r="E210" s="1">
        <v>78.0</v>
      </c>
      <c r="F210" s="1" t="s">
        <v>161</v>
      </c>
      <c r="G210" s="1" t="s">
        <v>150</v>
      </c>
      <c r="H210" s="1">
        <v>11.0</v>
      </c>
      <c r="I210" s="1" t="s">
        <v>150</v>
      </c>
      <c r="J210" s="1" t="s">
        <v>150</v>
      </c>
      <c r="K210" s="9"/>
      <c r="L210" s="1" t="s">
        <v>154</v>
      </c>
      <c r="M210" s="1" t="s">
        <v>154</v>
      </c>
      <c r="N210" s="1" t="s">
        <v>628</v>
      </c>
      <c r="O210" s="1" t="s">
        <v>154</v>
      </c>
      <c r="P210" s="1" t="s">
        <v>154</v>
      </c>
      <c r="Q210" s="1" t="s">
        <v>154</v>
      </c>
      <c r="R210" s="1">
        <v>3.0</v>
      </c>
      <c r="S210" s="1" t="s">
        <v>150</v>
      </c>
      <c r="T210" s="9"/>
      <c r="U210" s="9"/>
      <c r="V210" s="9"/>
      <c r="W210" s="9"/>
      <c r="X210" s="9"/>
      <c r="Y210" s="1" t="s">
        <v>150</v>
      </c>
      <c r="Z210" s="9"/>
      <c r="AA210" s="9"/>
      <c r="AB210" s="9"/>
      <c r="AC210" s="9"/>
      <c r="AD210" s="1" t="s">
        <v>729</v>
      </c>
      <c r="AE210" s="1" t="s">
        <v>154</v>
      </c>
      <c r="AF210" s="1">
        <v>6.0</v>
      </c>
      <c r="AG210" s="1" t="s">
        <v>618</v>
      </c>
      <c r="AH210" s="1" t="s">
        <v>154</v>
      </c>
      <c r="AI210" s="1" t="s">
        <v>619</v>
      </c>
      <c r="AJ210" s="1">
        <v>2.0</v>
      </c>
      <c r="AK210" s="1" t="s">
        <v>5</v>
      </c>
      <c r="AL210" s="1" t="s">
        <v>150</v>
      </c>
      <c r="AM210" s="1"/>
      <c r="AN210" s="1">
        <v>15.0</v>
      </c>
      <c r="AO210" s="1" t="str">
        <f t="shared" si="2"/>
        <v>нет</v>
      </c>
      <c r="AP210" s="1">
        <v>150.0</v>
      </c>
      <c r="AQ210" s="1">
        <v>100.0</v>
      </c>
      <c r="AR210" s="9">
        <f t="shared" si="3"/>
        <v>44.44444444</v>
      </c>
      <c r="AS210" s="7" t="str">
        <f t="shared" si="4"/>
        <v>Ожирение III степени (морбидное)</v>
      </c>
      <c r="AT210" s="1">
        <v>160.0</v>
      </c>
      <c r="AU210" s="1">
        <v>100.0</v>
      </c>
      <c r="AV210" s="9"/>
      <c r="AW210" s="1">
        <v>102.0</v>
      </c>
      <c r="AX210" s="1">
        <v>38.5</v>
      </c>
      <c r="AY210" s="1">
        <v>26.0</v>
      </c>
      <c r="AZ210" s="1">
        <v>82.0</v>
      </c>
      <c r="BA210" s="10" t="str">
        <f t="shared" si="5"/>
        <v>да</v>
      </c>
      <c r="BB210" s="1">
        <v>93.0</v>
      </c>
      <c r="BC210" s="1">
        <v>60.0</v>
      </c>
      <c r="BD210" s="12">
        <f t="shared" si="6"/>
        <v>0.05256410256</v>
      </c>
      <c r="BE210" s="12">
        <f t="shared" si="7"/>
        <v>1</v>
      </c>
      <c r="BF210" s="12">
        <f t="shared" si="8"/>
        <v>8</v>
      </c>
      <c r="BG210" s="1" t="s">
        <v>154</v>
      </c>
      <c r="BH210" s="1" t="s">
        <v>169</v>
      </c>
      <c r="BI210" s="1" t="s">
        <v>154</v>
      </c>
      <c r="BJ210" s="1" t="s">
        <v>237</v>
      </c>
      <c r="BK210" s="1" t="s">
        <v>150</v>
      </c>
      <c r="BL210" s="9"/>
      <c r="BM210" s="1" t="s">
        <v>154</v>
      </c>
      <c r="BN210" s="1" t="s">
        <v>495</v>
      </c>
      <c r="BO210" s="1" t="s">
        <v>154</v>
      </c>
      <c r="BP210" s="1" t="s">
        <v>157</v>
      </c>
      <c r="BQ210" s="9"/>
      <c r="BR210" s="1" t="s">
        <v>154</v>
      </c>
      <c r="BS210" s="1" t="s">
        <v>174</v>
      </c>
      <c r="BT210" s="1" t="s">
        <v>674</v>
      </c>
      <c r="BU210" s="1" t="s">
        <v>195</v>
      </c>
      <c r="BV210" s="1" t="s">
        <v>681</v>
      </c>
      <c r="BW210" s="1" t="s">
        <v>154</v>
      </c>
      <c r="BX210" s="1" t="s">
        <v>154</v>
      </c>
      <c r="BY210" s="1" t="s">
        <v>258</v>
      </c>
      <c r="BZ210" s="1" t="s">
        <v>158</v>
      </c>
      <c r="CA210" s="1" t="s">
        <v>150</v>
      </c>
      <c r="CB210" s="1" t="s">
        <v>150</v>
      </c>
      <c r="CC210" s="1" t="s">
        <v>150</v>
      </c>
      <c r="CD210" s="1" t="s">
        <v>150</v>
      </c>
      <c r="CE210" s="1" t="s">
        <v>150</v>
      </c>
      <c r="CF210" s="1" t="s">
        <v>150</v>
      </c>
      <c r="CG210" s="1" t="s">
        <v>150</v>
      </c>
      <c r="CH210" s="1" t="s">
        <v>150</v>
      </c>
      <c r="CI210" s="1" t="s">
        <v>150</v>
      </c>
      <c r="CJ210" s="1" t="s">
        <v>154</v>
      </c>
      <c r="CK210" s="1" t="s">
        <v>150</v>
      </c>
      <c r="CL210" s="1" t="s">
        <v>730</v>
      </c>
      <c r="CM210" s="1">
        <v>8.88</v>
      </c>
      <c r="CN210" s="1">
        <v>76.0</v>
      </c>
      <c r="CO210" s="7">
        <f t="shared" si="23"/>
        <v>6.7488</v>
      </c>
      <c r="CP210" s="1">
        <v>9.4</v>
      </c>
      <c r="CQ210" s="7">
        <f t="shared" si="10"/>
        <v>0.6343872</v>
      </c>
      <c r="CR210" s="1">
        <v>7.0</v>
      </c>
      <c r="CS210" s="7">
        <f t="shared" si="11"/>
        <v>0.044407104</v>
      </c>
      <c r="CT210" s="1">
        <v>0.0</v>
      </c>
      <c r="CU210" s="7">
        <f t="shared" si="12"/>
        <v>0</v>
      </c>
      <c r="CV210" s="7">
        <f t="shared" si="13"/>
        <v>10.63829787</v>
      </c>
      <c r="CW210" s="1">
        <v>4.78</v>
      </c>
      <c r="CX210" s="1">
        <v>135.0</v>
      </c>
      <c r="CY210" s="7" t="str">
        <f t="shared" si="14"/>
        <v>Норма</v>
      </c>
      <c r="CZ210" s="1">
        <v>52.0</v>
      </c>
      <c r="DA210" s="1">
        <v>240.0</v>
      </c>
      <c r="DB210" s="1">
        <v>56.7</v>
      </c>
      <c r="DC210" s="1">
        <v>32.7</v>
      </c>
      <c r="DD210" s="1">
        <v>96.0</v>
      </c>
      <c r="DE210" s="1"/>
      <c r="DF210" s="1">
        <v>1.5</v>
      </c>
      <c r="DG210" s="1"/>
      <c r="DH210" s="1">
        <v>3.4</v>
      </c>
      <c r="DI210" s="1"/>
      <c r="DJ210" s="1">
        <v>0.0</v>
      </c>
      <c r="DK210" s="1"/>
      <c r="DL210" s="1"/>
      <c r="DM210" s="1">
        <v>4.48</v>
      </c>
      <c r="DN210" s="1">
        <v>127.0</v>
      </c>
      <c r="DO210" s="7" t="str">
        <f t="shared" si="15"/>
        <v>Легкая степень</v>
      </c>
      <c r="DP210" s="1">
        <v>22.0</v>
      </c>
      <c r="DQ210" s="1">
        <v>75.0</v>
      </c>
      <c r="DR210" s="1">
        <v>88.0</v>
      </c>
      <c r="DS210" s="1">
        <v>530.0</v>
      </c>
      <c r="DT210" s="1">
        <v>26.4</v>
      </c>
      <c r="DU210" s="1">
        <v>12.2</v>
      </c>
      <c r="DV210" s="1">
        <v>1.04</v>
      </c>
      <c r="DW210" s="1" t="s">
        <v>473</v>
      </c>
      <c r="DX210" s="1">
        <v>633.6</v>
      </c>
      <c r="DY210" s="1">
        <v>31.0</v>
      </c>
      <c r="DZ210" s="1">
        <v>11.3</v>
      </c>
      <c r="EA210" s="1">
        <v>0.97</v>
      </c>
      <c r="EB210" s="1"/>
      <c r="EC210" s="1">
        <v>17.56</v>
      </c>
      <c r="ED210" s="1">
        <v>16.79</v>
      </c>
      <c r="EE210" s="1">
        <v>27.4</v>
      </c>
      <c r="EF210" s="1">
        <v>33.4</v>
      </c>
      <c r="EG210" s="1">
        <v>68.4</v>
      </c>
      <c r="EH210" s="1">
        <v>8.0</v>
      </c>
      <c r="EI210" s="1">
        <v>4.1</v>
      </c>
      <c r="EJ210" s="1">
        <v>137.0</v>
      </c>
      <c r="EK210" s="34">
        <f t="shared" si="16"/>
        <v>31.86124218</v>
      </c>
      <c r="EL210" s="11" t="str">
        <f t="shared" si="17"/>
        <v>C3b</v>
      </c>
      <c r="EM210" s="1">
        <v>136.1</v>
      </c>
      <c r="EN210" s="1">
        <v>3.75</v>
      </c>
      <c r="EO210" s="1">
        <v>44.5</v>
      </c>
      <c r="EP210" s="1">
        <v>25.4</v>
      </c>
      <c r="EQ210" s="1">
        <v>54.6</v>
      </c>
      <c r="ER210" s="1">
        <v>8.6</v>
      </c>
      <c r="ES210" s="1">
        <v>4.8</v>
      </c>
      <c r="ET210" s="1">
        <v>140.0</v>
      </c>
      <c r="EU210" s="11">
        <f t="shared" si="18"/>
        <v>31.03766735</v>
      </c>
      <c r="EV210" s="11" t="str">
        <f t="shared" si="19"/>
        <v>C3b</v>
      </c>
      <c r="EW210" s="1">
        <v>142.6</v>
      </c>
      <c r="EX210" s="1">
        <v>3.74</v>
      </c>
      <c r="EY210" s="9">
        <f t="shared" si="20"/>
        <v>-3.125982222</v>
      </c>
      <c r="EZ210" s="9">
        <f t="shared" si="21"/>
        <v>0.9579518539</v>
      </c>
      <c r="FA210" s="9" t="str">
        <f t="shared" si="22"/>
        <v>Неблагоприятный</v>
      </c>
      <c r="FB210" s="1" t="s">
        <v>150</v>
      </c>
      <c r="FC210" s="39" t="s">
        <v>445</v>
      </c>
    </row>
    <row r="211">
      <c r="A211" s="7">
        <v>210.0</v>
      </c>
      <c r="B211" s="38">
        <v>25.0</v>
      </c>
      <c r="C211" s="7">
        <v>9271.0</v>
      </c>
      <c r="D211" s="39" t="s">
        <v>445</v>
      </c>
      <c r="E211" s="1">
        <v>54.0</v>
      </c>
      <c r="F211" s="1" t="s">
        <v>161</v>
      </c>
      <c r="G211" s="1" t="s">
        <v>150</v>
      </c>
      <c r="H211" s="1">
        <v>21.0</v>
      </c>
      <c r="I211" s="1" t="s">
        <v>150</v>
      </c>
      <c r="J211" s="1" t="s">
        <v>150</v>
      </c>
      <c r="K211" s="9"/>
      <c r="L211" s="1" t="s">
        <v>150</v>
      </c>
      <c r="M211" s="1" t="s">
        <v>150</v>
      </c>
      <c r="N211" s="9"/>
      <c r="O211" s="1" t="str">
        <f t="shared" ref="O211:O217" si="32">IF(EC211&gt;=6.1,IF(EC211&lt;7,"да","нет"),"нет")</f>
        <v>нет</v>
      </c>
      <c r="P211" s="1" t="s">
        <v>150</v>
      </c>
      <c r="Q211" s="1" t="s">
        <v>154</v>
      </c>
      <c r="R211" s="1">
        <v>2.0</v>
      </c>
      <c r="S211" s="1" t="s">
        <v>150</v>
      </c>
      <c r="T211" s="9"/>
      <c r="U211" s="9"/>
      <c r="V211" s="9"/>
      <c r="W211" s="9"/>
      <c r="X211" s="9"/>
      <c r="Y211" s="1" t="s">
        <v>150</v>
      </c>
      <c r="Z211" s="9"/>
      <c r="AA211" s="9"/>
      <c r="AB211" s="9"/>
      <c r="AC211" s="9"/>
      <c r="AD211" s="1"/>
      <c r="AE211" s="1" t="s">
        <v>154</v>
      </c>
      <c r="AF211" s="1">
        <v>21.0</v>
      </c>
      <c r="AG211" s="1" t="s">
        <v>618</v>
      </c>
      <c r="AH211" s="1" t="s">
        <v>154</v>
      </c>
      <c r="AI211" s="1" t="s">
        <v>630</v>
      </c>
      <c r="AJ211" s="1">
        <v>4.0</v>
      </c>
      <c r="AK211" s="1" t="s">
        <v>701</v>
      </c>
      <c r="AL211" s="1" t="s">
        <v>150</v>
      </c>
      <c r="AM211" s="1"/>
      <c r="AN211" s="1">
        <v>15.0</v>
      </c>
      <c r="AO211" s="1" t="str">
        <f t="shared" si="2"/>
        <v>нет</v>
      </c>
      <c r="AP211" s="1">
        <v>170.0</v>
      </c>
      <c r="AQ211" s="1">
        <v>92.0</v>
      </c>
      <c r="AR211" s="9">
        <f t="shared" si="3"/>
        <v>31.83391003</v>
      </c>
      <c r="AS211" s="7" t="str">
        <f t="shared" si="4"/>
        <v>Ожирение I степени</v>
      </c>
      <c r="AT211" s="1">
        <v>141.0</v>
      </c>
      <c r="AU211" s="1">
        <v>90.0</v>
      </c>
      <c r="AV211" s="9"/>
      <c r="AW211" s="1">
        <v>95.0</v>
      </c>
      <c r="AX211" s="1">
        <v>37.5</v>
      </c>
      <c r="AY211" s="1">
        <v>30.0</v>
      </c>
      <c r="AZ211" s="1">
        <v>66.0</v>
      </c>
      <c r="BA211" s="10" t="str">
        <f t="shared" si="5"/>
        <v>да</v>
      </c>
      <c r="BB211" s="1">
        <v>89.0</v>
      </c>
      <c r="BC211" s="1">
        <v>60.0</v>
      </c>
      <c r="BD211" s="12">
        <f t="shared" si="6"/>
        <v>0.03666666667</v>
      </c>
      <c r="BE211" s="12">
        <f t="shared" si="7"/>
        <v>1</v>
      </c>
      <c r="BF211" s="12">
        <f t="shared" si="8"/>
        <v>7</v>
      </c>
      <c r="BG211" s="1" t="s">
        <v>522</v>
      </c>
      <c r="BH211" s="9"/>
      <c r="BI211" s="1" t="s">
        <v>154</v>
      </c>
      <c r="BJ211" s="1" t="s">
        <v>475</v>
      </c>
      <c r="BK211" s="1" t="s">
        <v>154</v>
      </c>
      <c r="BL211" s="1" t="s">
        <v>189</v>
      </c>
      <c r="BM211" s="1" t="s">
        <v>154</v>
      </c>
      <c r="BN211" s="1" t="s">
        <v>155</v>
      </c>
      <c r="BO211" s="1" t="s">
        <v>522</v>
      </c>
      <c r="BP211" s="9"/>
      <c r="BQ211" s="9"/>
      <c r="BR211" s="1" t="s">
        <v>154</v>
      </c>
      <c r="BS211" s="1" t="s">
        <v>636</v>
      </c>
      <c r="BT211" s="1" t="s">
        <v>731</v>
      </c>
      <c r="BU211" s="1" t="s">
        <v>170</v>
      </c>
      <c r="BV211" s="1">
        <v>16.0</v>
      </c>
      <c r="BW211" s="1" t="s">
        <v>150</v>
      </c>
      <c r="BX211" s="1" t="s">
        <v>154</v>
      </c>
      <c r="BY211" s="1" t="s">
        <v>258</v>
      </c>
      <c r="BZ211" s="1" t="s">
        <v>158</v>
      </c>
      <c r="CA211" s="1" t="s">
        <v>167</v>
      </c>
      <c r="CB211" s="1" t="s">
        <v>150</v>
      </c>
      <c r="CC211" s="1" t="s">
        <v>150</v>
      </c>
      <c r="CD211" s="1" t="s">
        <v>212</v>
      </c>
      <c r="CE211" s="1" t="s">
        <v>150</v>
      </c>
      <c r="CF211" s="1" t="s">
        <v>150</v>
      </c>
      <c r="CG211" s="1" t="s">
        <v>150</v>
      </c>
      <c r="CH211" s="1" t="s">
        <v>150</v>
      </c>
      <c r="CI211" s="1" t="s">
        <v>150</v>
      </c>
      <c r="CJ211" s="1" t="s">
        <v>154</v>
      </c>
      <c r="CK211" s="1" t="s">
        <v>150</v>
      </c>
      <c r="CL211" s="1" t="s">
        <v>732</v>
      </c>
      <c r="CM211" s="1">
        <v>12.5</v>
      </c>
      <c r="CN211" s="1">
        <v>84.1</v>
      </c>
      <c r="CO211" s="7">
        <f t="shared" si="23"/>
        <v>10.5125</v>
      </c>
      <c r="CP211" s="1">
        <v>9.7</v>
      </c>
      <c r="CQ211" s="7">
        <f t="shared" si="10"/>
        <v>1.0197125</v>
      </c>
      <c r="CR211" s="1">
        <v>5.7</v>
      </c>
      <c r="CS211" s="7">
        <f t="shared" si="11"/>
        <v>0.0581236125</v>
      </c>
      <c r="CT211" s="1">
        <v>0.0</v>
      </c>
      <c r="CU211" s="7">
        <f t="shared" si="12"/>
        <v>0</v>
      </c>
      <c r="CV211" s="7">
        <f t="shared" si="13"/>
        <v>10.30927835</v>
      </c>
      <c r="CW211" s="1">
        <v>4.03</v>
      </c>
      <c r="CX211" s="1">
        <v>124.0</v>
      </c>
      <c r="CY211" s="7" t="str">
        <f t="shared" si="14"/>
        <v>Легкая степень</v>
      </c>
      <c r="CZ211" s="6" t="s">
        <v>640</v>
      </c>
      <c r="DA211" s="1">
        <v>277.0</v>
      </c>
      <c r="DB211" s="1">
        <v>152.2</v>
      </c>
      <c r="DC211" s="1">
        <v>19.2</v>
      </c>
      <c r="DD211" s="1">
        <v>87.1</v>
      </c>
      <c r="DE211" s="1"/>
      <c r="DF211" s="1">
        <v>9.6</v>
      </c>
      <c r="DG211" s="1"/>
      <c r="DH211" s="1">
        <v>2.9</v>
      </c>
      <c r="DI211" s="1"/>
      <c r="DJ211" s="1">
        <v>0.1</v>
      </c>
      <c r="DK211" s="1"/>
      <c r="DL211" s="1"/>
      <c r="DM211" s="1">
        <v>3.68</v>
      </c>
      <c r="DN211" s="1">
        <v>112.0</v>
      </c>
      <c r="DO211" s="7" t="str">
        <f t="shared" si="15"/>
        <v>Легкая степень</v>
      </c>
      <c r="DP211" s="6" t="s">
        <v>640</v>
      </c>
      <c r="DQ211" s="1">
        <v>233.0</v>
      </c>
      <c r="DR211" s="1">
        <v>26.8</v>
      </c>
      <c r="DS211" s="1">
        <v>593.0</v>
      </c>
      <c r="DT211" s="1">
        <v>23.1</v>
      </c>
      <c r="DU211" s="1">
        <v>11.0</v>
      </c>
      <c r="DV211" s="1">
        <v>0.94</v>
      </c>
      <c r="DW211" s="1" t="s">
        <v>473</v>
      </c>
      <c r="DX211" s="1">
        <v>730.0</v>
      </c>
      <c r="DY211" s="1">
        <v>28.7</v>
      </c>
      <c r="DZ211" s="1">
        <v>14.0</v>
      </c>
      <c r="EA211" s="1">
        <v>1.2</v>
      </c>
      <c r="EB211" s="1"/>
      <c r="EC211" s="1">
        <v>9.56</v>
      </c>
      <c r="ED211" s="1">
        <v>10.38</v>
      </c>
      <c r="EE211" s="1">
        <v>24.0</v>
      </c>
      <c r="EF211" s="1">
        <v>38.7</v>
      </c>
      <c r="EG211" s="1">
        <v>70.5</v>
      </c>
      <c r="EH211" s="1">
        <v>6.0</v>
      </c>
      <c r="EI211" s="1">
        <v>3.3</v>
      </c>
      <c r="EJ211" s="1">
        <v>78.0</v>
      </c>
      <c r="EK211" s="34">
        <f t="shared" si="16"/>
        <v>74.51325424</v>
      </c>
      <c r="EL211" s="11" t="str">
        <f t="shared" si="17"/>
        <v>C2</v>
      </c>
      <c r="EM211" s="1">
        <v>153.0</v>
      </c>
      <c r="EN211" s="1">
        <v>5.19</v>
      </c>
      <c r="EO211" s="1">
        <v>25.2</v>
      </c>
      <c r="EP211" s="1">
        <v>17.0</v>
      </c>
      <c r="EQ211" s="1">
        <v>67.2</v>
      </c>
      <c r="ER211" s="1">
        <v>11.7</v>
      </c>
      <c r="ES211" s="1">
        <v>4.6</v>
      </c>
      <c r="ET211" s="1">
        <v>56.0</v>
      </c>
      <c r="EU211" s="11">
        <f t="shared" si="18"/>
        <v>101.8437245</v>
      </c>
      <c r="EV211" s="11" t="str">
        <f t="shared" si="19"/>
        <v>C1</v>
      </c>
      <c r="EW211" s="1">
        <v>139.1</v>
      </c>
      <c r="EX211" s="1">
        <v>3.54</v>
      </c>
      <c r="EY211" s="9">
        <f t="shared" si="20"/>
        <v>-0.1244944291</v>
      </c>
      <c r="EZ211" s="9">
        <f t="shared" si="21"/>
        <v>0.5310834711</v>
      </c>
      <c r="FA211" s="9" t="str">
        <f t="shared" si="22"/>
        <v>Неблагоприятный</v>
      </c>
      <c r="FB211" s="1" t="s">
        <v>150</v>
      </c>
      <c r="FC211" s="39" t="s">
        <v>445</v>
      </c>
    </row>
    <row r="212">
      <c r="A212" s="7">
        <v>211.0</v>
      </c>
      <c r="B212" s="38">
        <v>26.0</v>
      </c>
      <c r="C212" s="7">
        <v>9962.0</v>
      </c>
      <c r="D212" s="39" t="s">
        <v>445</v>
      </c>
      <c r="E212" s="1">
        <v>73.0</v>
      </c>
      <c r="F212" s="1" t="s">
        <v>149</v>
      </c>
      <c r="G212" s="1"/>
      <c r="H212" s="1">
        <v>12.0</v>
      </c>
      <c r="I212" s="1" t="s">
        <v>150</v>
      </c>
      <c r="J212" s="1" t="s">
        <v>150</v>
      </c>
      <c r="K212" s="9"/>
      <c r="L212" s="1" t="s">
        <v>150</v>
      </c>
      <c r="M212" s="1" t="s">
        <v>150</v>
      </c>
      <c r="N212" s="9"/>
      <c r="O212" s="1" t="str">
        <f t="shared" si="32"/>
        <v>да</v>
      </c>
      <c r="P212" s="1" t="s">
        <v>150</v>
      </c>
      <c r="Q212" s="1" t="s">
        <v>154</v>
      </c>
      <c r="R212" s="1">
        <v>3.0</v>
      </c>
      <c r="S212" s="1" t="s">
        <v>154</v>
      </c>
      <c r="T212" s="1" t="s">
        <v>733</v>
      </c>
      <c r="Y212" s="1" t="s">
        <v>150</v>
      </c>
      <c r="Z212" s="9"/>
      <c r="AA212" s="9"/>
      <c r="AB212" s="9"/>
      <c r="AC212" s="9"/>
      <c r="AD212" s="1"/>
      <c r="AE212" s="1" t="s">
        <v>154</v>
      </c>
      <c r="AF212" s="1">
        <v>2.0</v>
      </c>
      <c r="AG212" s="1" t="s">
        <v>618</v>
      </c>
      <c r="AH212" s="1" t="s">
        <v>154</v>
      </c>
      <c r="AI212" s="1" t="s">
        <v>619</v>
      </c>
      <c r="AJ212" s="1">
        <v>3.0</v>
      </c>
      <c r="AK212" s="1" t="s">
        <v>5</v>
      </c>
      <c r="AL212" s="1" t="s">
        <v>150</v>
      </c>
      <c r="AM212" s="1"/>
      <c r="AN212" s="1">
        <v>15.0</v>
      </c>
      <c r="AO212" s="1" t="str">
        <f t="shared" si="2"/>
        <v>нет</v>
      </c>
      <c r="AP212" s="1">
        <v>174.0</v>
      </c>
      <c r="AQ212" s="1">
        <v>79.0</v>
      </c>
      <c r="AR212" s="9">
        <f t="shared" si="3"/>
        <v>26.0932752</v>
      </c>
      <c r="AS212" s="7" t="str">
        <f t="shared" si="4"/>
        <v>Избыточный вес (предожирение)</v>
      </c>
      <c r="AT212" s="1">
        <v>130.0</v>
      </c>
      <c r="AU212" s="1">
        <v>70.0</v>
      </c>
      <c r="AV212" s="9"/>
      <c r="AW212" s="1">
        <v>68.0</v>
      </c>
      <c r="AX212" s="1">
        <v>38.0</v>
      </c>
      <c r="AY212" s="1">
        <v>24.0</v>
      </c>
      <c r="AZ212" s="1">
        <v>84.0</v>
      </c>
      <c r="BA212" s="10" t="str">
        <f t="shared" si="5"/>
        <v>да</v>
      </c>
      <c r="BB212" s="1">
        <v>95.0</v>
      </c>
      <c r="BC212" s="1">
        <v>60.0</v>
      </c>
      <c r="BD212" s="12">
        <f t="shared" si="6"/>
        <v>0.05833333333</v>
      </c>
      <c r="BE212" s="12">
        <f t="shared" si="7"/>
        <v>1</v>
      </c>
      <c r="BF212" s="12">
        <f t="shared" si="8"/>
        <v>5</v>
      </c>
      <c r="BG212" s="1" t="s">
        <v>154</v>
      </c>
      <c r="BH212" s="1" t="s">
        <v>198</v>
      </c>
      <c r="BI212" s="1" t="s">
        <v>154</v>
      </c>
      <c r="BJ212" s="1" t="s">
        <v>237</v>
      </c>
      <c r="BK212" s="1" t="s">
        <v>150</v>
      </c>
      <c r="BL212" s="9"/>
      <c r="BM212" s="1" t="s">
        <v>154</v>
      </c>
      <c r="BN212" s="1" t="s">
        <v>448</v>
      </c>
      <c r="BO212" s="1" t="s">
        <v>154</v>
      </c>
      <c r="BP212" s="1" t="s">
        <v>157</v>
      </c>
      <c r="BQ212" s="9"/>
      <c r="BR212" s="1" t="s">
        <v>154</v>
      </c>
      <c r="BS212" s="1" t="s">
        <v>734</v>
      </c>
      <c r="BT212" s="1" t="s">
        <v>681</v>
      </c>
      <c r="BU212" s="1" t="s">
        <v>170</v>
      </c>
      <c r="BV212" s="1">
        <v>24.0</v>
      </c>
      <c r="BW212" s="1" t="s">
        <v>150</v>
      </c>
      <c r="BX212" s="1" t="s">
        <v>154</v>
      </c>
      <c r="BY212" s="1" t="s">
        <v>258</v>
      </c>
      <c r="BZ212" s="1" t="s">
        <v>158</v>
      </c>
      <c r="CA212" s="1" t="s">
        <v>167</v>
      </c>
      <c r="CB212" s="1" t="s">
        <v>185</v>
      </c>
      <c r="CC212" s="1" t="s">
        <v>150</v>
      </c>
      <c r="CD212" s="1" t="s">
        <v>247</v>
      </c>
      <c r="CE212" s="1" t="s">
        <v>150</v>
      </c>
      <c r="CF212" s="1" t="s">
        <v>240</v>
      </c>
      <c r="CG212" s="1" t="s">
        <v>150</v>
      </c>
      <c r="CH212" s="1" t="s">
        <v>150</v>
      </c>
      <c r="CI212" s="1" t="s">
        <v>150</v>
      </c>
      <c r="CJ212" s="1" t="s">
        <v>154</v>
      </c>
      <c r="CK212" s="1" t="s">
        <v>150</v>
      </c>
      <c r="CL212" s="1" t="s">
        <v>643</v>
      </c>
      <c r="CM212" s="1">
        <v>6.2</v>
      </c>
      <c r="CN212" s="1">
        <v>90.7</v>
      </c>
      <c r="CO212" s="7">
        <f t="shared" si="23"/>
        <v>5.6234</v>
      </c>
      <c r="CP212" s="1">
        <v>3.7</v>
      </c>
      <c r="CQ212" s="7">
        <f t="shared" si="10"/>
        <v>0.2080658</v>
      </c>
      <c r="CR212" s="1">
        <v>5.2</v>
      </c>
      <c r="CS212" s="7">
        <f t="shared" si="11"/>
        <v>0.0108194216</v>
      </c>
      <c r="CT212" s="1">
        <v>0.1</v>
      </c>
      <c r="CU212" s="7">
        <f t="shared" si="12"/>
        <v>0.0000108194216</v>
      </c>
      <c r="CV212" s="7">
        <f t="shared" si="13"/>
        <v>27.02702703</v>
      </c>
      <c r="CW212" s="1">
        <v>4.92</v>
      </c>
      <c r="CX212" s="1">
        <v>135.0</v>
      </c>
      <c r="CY212" s="7" t="str">
        <f t="shared" si="14"/>
        <v>Норма</v>
      </c>
      <c r="CZ212" s="6" t="s">
        <v>640</v>
      </c>
      <c r="DA212" s="1">
        <v>169.0</v>
      </c>
      <c r="DB212" s="1">
        <v>108.3</v>
      </c>
      <c r="DC212" s="1">
        <v>18.4</v>
      </c>
      <c r="DD212" s="1">
        <v>88.7</v>
      </c>
      <c r="DE212" s="1"/>
      <c r="DF212" s="1">
        <v>3.1</v>
      </c>
      <c r="DG212" s="1"/>
      <c r="DH212" s="1">
        <v>7.9</v>
      </c>
      <c r="DI212" s="1"/>
      <c r="DJ212" s="1">
        <v>0.0</v>
      </c>
      <c r="DK212" s="1"/>
      <c r="DL212" s="1"/>
      <c r="DM212" s="1">
        <v>5.08</v>
      </c>
      <c r="DN212" s="1">
        <v>136.0</v>
      </c>
      <c r="DO212" s="7" t="str">
        <f t="shared" si="15"/>
        <v>Норма</v>
      </c>
      <c r="DP212" s="6" t="s">
        <v>640</v>
      </c>
      <c r="DQ212" s="1">
        <v>135.0</v>
      </c>
      <c r="DR212" s="1">
        <v>76.3</v>
      </c>
      <c r="DS212" s="1">
        <v>634.0</v>
      </c>
      <c r="DT212" s="1">
        <v>24.9</v>
      </c>
      <c r="DU212" s="1">
        <v>11.3</v>
      </c>
      <c r="DV212" s="1">
        <v>0.97</v>
      </c>
      <c r="DW212" s="1" t="s">
        <v>473</v>
      </c>
      <c r="DX212" s="1">
        <v>563.0</v>
      </c>
      <c r="DY212" s="1">
        <v>26.6</v>
      </c>
      <c r="DZ212" s="1">
        <v>12.7</v>
      </c>
      <c r="EA212" s="1">
        <v>1.08</v>
      </c>
      <c r="EB212" s="1"/>
      <c r="EC212" s="1">
        <v>6.83</v>
      </c>
      <c r="ED212" s="1">
        <v>4.82</v>
      </c>
      <c r="EE212" s="1">
        <v>122.1</v>
      </c>
      <c r="EF212" s="1">
        <v>150.9</v>
      </c>
      <c r="EG212" s="1">
        <v>53.8</v>
      </c>
      <c r="EH212" s="1">
        <v>11.3</v>
      </c>
      <c r="EI212" s="1">
        <v>6.2</v>
      </c>
      <c r="EJ212" s="1">
        <v>105.0</v>
      </c>
      <c r="EK212" s="34">
        <f t="shared" si="16"/>
        <v>45.51911024</v>
      </c>
      <c r="EL212" s="11" t="str">
        <f t="shared" si="17"/>
        <v>C3a</v>
      </c>
      <c r="EM212" s="1">
        <v>141.9</v>
      </c>
      <c r="EN212" s="1">
        <v>4.09</v>
      </c>
      <c r="EO212" s="1">
        <v>47.0</v>
      </c>
      <c r="EP212" s="1">
        <v>79.8</v>
      </c>
      <c r="EQ212" s="1">
        <v>52.5</v>
      </c>
      <c r="ER212" s="1">
        <v>14.8</v>
      </c>
      <c r="ES212" s="1">
        <v>6.8</v>
      </c>
      <c r="ET212" s="1">
        <v>127.0</v>
      </c>
      <c r="EU212" s="11">
        <f t="shared" si="18"/>
        <v>36.16703682</v>
      </c>
      <c r="EV212" s="11" t="str">
        <f t="shared" si="19"/>
        <v>C3b</v>
      </c>
      <c r="EW212" s="1">
        <v>138.1</v>
      </c>
      <c r="EX212" s="1">
        <v>3.82</v>
      </c>
      <c r="EY212" s="9">
        <f t="shared" si="20"/>
        <v>-1.549989836</v>
      </c>
      <c r="EZ212" s="9">
        <f t="shared" si="21"/>
        <v>0.8249122639</v>
      </c>
      <c r="FA212" s="9" t="str">
        <f t="shared" si="22"/>
        <v>Неблагоприятный</v>
      </c>
      <c r="FB212" s="1" t="s">
        <v>150</v>
      </c>
      <c r="FC212" s="39" t="s">
        <v>445</v>
      </c>
    </row>
    <row r="213">
      <c r="A213" s="7">
        <v>212.0</v>
      </c>
      <c r="B213" s="38">
        <v>27.0</v>
      </c>
      <c r="C213" s="7">
        <v>9157.0</v>
      </c>
      <c r="D213" s="39" t="s">
        <v>445</v>
      </c>
      <c r="E213" s="1">
        <v>56.0</v>
      </c>
      <c r="F213" s="1" t="s">
        <v>149</v>
      </c>
      <c r="G213" s="1"/>
      <c r="H213" s="1">
        <v>26.0</v>
      </c>
      <c r="I213" s="1" t="s">
        <v>150</v>
      </c>
      <c r="J213" s="1" t="s">
        <v>150</v>
      </c>
      <c r="K213" s="9"/>
      <c r="L213" s="1" t="s">
        <v>150</v>
      </c>
      <c r="M213" s="1" t="s">
        <v>150</v>
      </c>
      <c r="N213" s="9"/>
      <c r="O213" s="1" t="str">
        <f t="shared" si="32"/>
        <v>нет</v>
      </c>
      <c r="P213" s="1" t="s">
        <v>150</v>
      </c>
      <c r="Q213" s="1" t="s">
        <v>154</v>
      </c>
      <c r="R213" s="1">
        <v>3.0</v>
      </c>
      <c r="S213" s="1" t="s">
        <v>154</v>
      </c>
      <c r="T213" s="1" t="s">
        <v>735</v>
      </c>
      <c r="U213" s="1" t="s">
        <v>694</v>
      </c>
      <c r="V213" s="1">
        <v>1.0</v>
      </c>
      <c r="W213" s="9"/>
      <c r="X213" s="9"/>
      <c r="Y213" s="1" t="s">
        <v>150</v>
      </c>
      <c r="Z213" s="9"/>
      <c r="AA213" s="9"/>
      <c r="AB213" s="9"/>
      <c r="AC213" s="9"/>
      <c r="AD213" s="1" t="s">
        <v>720</v>
      </c>
      <c r="AE213" s="1" t="s">
        <v>154</v>
      </c>
      <c r="AF213" s="1">
        <v>2.0</v>
      </c>
      <c r="AG213" s="1" t="s">
        <v>635</v>
      </c>
      <c r="AH213" s="1" t="s">
        <v>154</v>
      </c>
      <c r="AI213" s="1" t="s">
        <v>630</v>
      </c>
      <c r="AJ213" s="1">
        <v>2.0</v>
      </c>
      <c r="AK213" s="1" t="s">
        <v>5</v>
      </c>
      <c r="AL213" s="1" t="s">
        <v>150</v>
      </c>
      <c r="AM213" s="1"/>
      <c r="AN213" s="1">
        <v>15.0</v>
      </c>
      <c r="AO213" s="1" t="str">
        <f t="shared" si="2"/>
        <v>нет</v>
      </c>
      <c r="AP213" s="1">
        <v>175.0</v>
      </c>
      <c r="AQ213" s="1">
        <v>106.0</v>
      </c>
      <c r="AR213" s="9">
        <f t="shared" si="3"/>
        <v>34.6122449</v>
      </c>
      <c r="AS213" s="7" t="str">
        <f t="shared" si="4"/>
        <v>Ожирение I степени</v>
      </c>
      <c r="AT213" s="1">
        <v>82.0</v>
      </c>
      <c r="AU213" s="1">
        <v>69.0</v>
      </c>
      <c r="AV213" s="9"/>
      <c r="AW213" s="1">
        <v>80.0</v>
      </c>
      <c r="AX213" s="1">
        <v>37.5</v>
      </c>
      <c r="AY213" s="1">
        <v>22.0</v>
      </c>
      <c r="AZ213" s="1">
        <v>92.0</v>
      </c>
      <c r="BA213" s="10" t="str">
        <f t="shared" si="5"/>
        <v>да</v>
      </c>
      <c r="BB213" s="1">
        <v>97.0</v>
      </c>
      <c r="BC213" s="1">
        <v>50.0</v>
      </c>
      <c r="BD213" s="12">
        <f t="shared" si="6"/>
        <v>0.08363636364</v>
      </c>
      <c r="BE213" s="12">
        <f t="shared" si="7"/>
        <v>2</v>
      </c>
      <c r="BF213" s="12">
        <f t="shared" si="8"/>
        <v>7</v>
      </c>
      <c r="BG213" s="1" t="s">
        <v>154</v>
      </c>
      <c r="BH213" s="1" t="s">
        <v>237</v>
      </c>
      <c r="BI213" s="1" t="s">
        <v>154</v>
      </c>
      <c r="BJ213" s="1" t="s">
        <v>620</v>
      </c>
      <c r="BK213" s="1" t="s">
        <v>150</v>
      </c>
      <c r="BL213" s="9"/>
      <c r="BM213" s="1" t="s">
        <v>154</v>
      </c>
      <c r="BN213" s="1" t="s">
        <v>448</v>
      </c>
      <c r="BO213" s="1" t="s">
        <v>150</v>
      </c>
      <c r="BP213" s="9"/>
      <c r="BQ213" s="9"/>
      <c r="BR213" s="1" t="s">
        <v>154</v>
      </c>
      <c r="BS213" s="1" t="s">
        <v>306</v>
      </c>
      <c r="BT213" s="1" t="s">
        <v>503</v>
      </c>
      <c r="BU213" s="1" t="s">
        <v>170</v>
      </c>
      <c r="BV213" s="1">
        <v>16.0</v>
      </c>
      <c r="BW213" s="1" t="s">
        <v>150</v>
      </c>
      <c r="BX213" s="1" t="s">
        <v>154</v>
      </c>
      <c r="BY213" s="1" t="s">
        <v>258</v>
      </c>
      <c r="BZ213" s="1" t="s">
        <v>158</v>
      </c>
      <c r="CA213" s="1" t="s">
        <v>167</v>
      </c>
      <c r="CB213" s="1" t="s">
        <v>185</v>
      </c>
      <c r="CC213" s="1" t="s">
        <v>150</v>
      </c>
      <c r="CD213" s="1" t="s">
        <v>736</v>
      </c>
      <c r="CE213" s="1" t="s">
        <v>150</v>
      </c>
      <c r="CF213" s="1" t="s">
        <v>150</v>
      </c>
      <c r="CG213" s="1" t="s">
        <v>150</v>
      </c>
      <c r="CH213" s="1" t="s">
        <v>150</v>
      </c>
      <c r="CI213" s="1" t="s">
        <v>150</v>
      </c>
      <c r="CJ213" s="1" t="s">
        <v>150</v>
      </c>
      <c r="CK213" s="1" t="s">
        <v>150</v>
      </c>
      <c r="CL213" s="1" t="s">
        <v>737</v>
      </c>
      <c r="CM213" s="1">
        <v>10.7</v>
      </c>
      <c r="CN213" s="1">
        <v>84.4</v>
      </c>
      <c r="CO213" s="7">
        <f t="shared" si="23"/>
        <v>9.0308</v>
      </c>
      <c r="CP213" s="1">
        <v>10.4</v>
      </c>
      <c r="CQ213" s="7">
        <f t="shared" si="10"/>
        <v>0.9392032</v>
      </c>
      <c r="CR213" s="1">
        <v>5.0</v>
      </c>
      <c r="CS213" s="7">
        <f t="shared" si="11"/>
        <v>0.04696016</v>
      </c>
      <c r="CT213" s="1">
        <v>0.0</v>
      </c>
      <c r="CU213" s="7">
        <f t="shared" si="12"/>
        <v>0</v>
      </c>
      <c r="CV213" s="7">
        <f t="shared" si="13"/>
        <v>9.615384615</v>
      </c>
      <c r="CW213" s="1">
        <v>6.01</v>
      </c>
      <c r="CX213" s="1">
        <v>168.0</v>
      </c>
      <c r="CY213" s="7" t="str">
        <f t="shared" si="14"/>
        <v>Норма</v>
      </c>
      <c r="CZ213" s="1">
        <v>28.0</v>
      </c>
      <c r="DA213" s="1">
        <v>135.0</v>
      </c>
      <c r="DB213" s="1">
        <v>160.0</v>
      </c>
      <c r="DC213" s="1">
        <v>9.5</v>
      </c>
      <c r="DD213" s="1">
        <v>90.7</v>
      </c>
      <c r="DE213" s="1"/>
      <c r="DF213" s="1">
        <v>5.9</v>
      </c>
      <c r="DG213" s="1"/>
      <c r="DH213" s="1">
        <v>2.4</v>
      </c>
      <c r="DI213" s="1"/>
      <c r="DJ213" s="1">
        <v>0.6</v>
      </c>
      <c r="DK213" s="1"/>
      <c r="DL213" s="1"/>
      <c r="DM213" s="1">
        <v>4.68</v>
      </c>
      <c r="DN213" s="1">
        <v>132.0</v>
      </c>
      <c r="DO213" s="7" t="str">
        <f t="shared" si="15"/>
        <v>Норма</v>
      </c>
      <c r="DP213" s="1">
        <v>17.0</v>
      </c>
      <c r="DQ213" s="1">
        <v>109.0</v>
      </c>
      <c r="DR213" s="1">
        <v>30.8</v>
      </c>
      <c r="DS213" s="1">
        <v>611.0</v>
      </c>
      <c r="DT213" s="1">
        <v>21.2</v>
      </c>
      <c r="DU213" s="1">
        <v>12.4</v>
      </c>
      <c r="DV213" s="1">
        <v>1.06</v>
      </c>
      <c r="DW213" s="1" t="s">
        <v>473</v>
      </c>
      <c r="DX213" s="1">
        <v>620.0</v>
      </c>
      <c r="DY213" s="1">
        <v>25.7</v>
      </c>
      <c r="DZ213" s="1">
        <v>14.4</v>
      </c>
      <c r="EA213" s="1">
        <v>1.23</v>
      </c>
      <c r="EB213" s="1"/>
      <c r="EC213" s="1">
        <v>7.06</v>
      </c>
      <c r="ED213" s="1">
        <v>22.45</v>
      </c>
      <c r="EE213" s="1">
        <v>47.0</v>
      </c>
      <c r="EF213" s="1">
        <v>83.1</v>
      </c>
      <c r="EG213" s="1">
        <v>78.2</v>
      </c>
      <c r="EH213" s="1">
        <v>14.7</v>
      </c>
      <c r="EI213" s="1">
        <v>6.9</v>
      </c>
      <c r="EJ213" s="1">
        <v>184.0</v>
      </c>
      <c r="EK213" s="34">
        <f t="shared" si="16"/>
        <v>26.03212701</v>
      </c>
      <c r="EL213" s="11" t="str">
        <f t="shared" si="17"/>
        <v>C4</v>
      </c>
      <c r="EM213" s="1">
        <v>135.7</v>
      </c>
      <c r="EN213" s="1">
        <v>4.98</v>
      </c>
      <c r="EO213" s="1">
        <v>51.42</v>
      </c>
      <c r="EP213" s="1">
        <v>44.89</v>
      </c>
      <c r="EQ213" s="1">
        <v>60.2</v>
      </c>
      <c r="ER213" s="1">
        <v>29.4</v>
      </c>
      <c r="ES213" s="1">
        <v>9.6</v>
      </c>
      <c r="ET213" s="1">
        <v>94.06</v>
      </c>
      <c r="EU213" s="11">
        <f t="shared" si="18"/>
        <v>58.59057882</v>
      </c>
      <c r="EV213" s="11" t="str">
        <f t="shared" si="19"/>
        <v>C3a</v>
      </c>
      <c r="EW213" s="1">
        <v>134.0</v>
      </c>
      <c r="EX213" s="1">
        <v>5.0</v>
      </c>
      <c r="EY213" s="9">
        <f t="shared" si="20"/>
        <v>-1.641068776</v>
      </c>
      <c r="EZ213" s="9">
        <f t="shared" si="21"/>
        <v>0.8376803134</v>
      </c>
      <c r="FA213" s="9" t="str">
        <f t="shared" si="22"/>
        <v>Неблагоприятный</v>
      </c>
      <c r="FB213" s="1" t="s">
        <v>150</v>
      </c>
      <c r="FC213" s="39" t="s">
        <v>445</v>
      </c>
    </row>
    <row r="214">
      <c r="A214" s="7">
        <v>213.0</v>
      </c>
      <c r="B214" s="38">
        <v>28.0</v>
      </c>
      <c r="C214" s="7">
        <v>9893.0</v>
      </c>
      <c r="D214" s="39" t="s">
        <v>445</v>
      </c>
      <c r="E214" s="1">
        <v>32.0</v>
      </c>
      <c r="F214" s="1" t="s">
        <v>149</v>
      </c>
      <c r="G214" s="1"/>
      <c r="H214" s="1">
        <v>3.0</v>
      </c>
      <c r="I214" s="1" t="s">
        <v>150</v>
      </c>
      <c r="J214" s="1" t="s">
        <v>150</v>
      </c>
      <c r="K214" s="9"/>
      <c r="L214" s="1" t="s">
        <v>150</v>
      </c>
      <c r="M214" s="1" t="s">
        <v>150</v>
      </c>
      <c r="N214" s="9"/>
      <c r="O214" s="1" t="str">
        <f t="shared" si="32"/>
        <v>да</v>
      </c>
      <c r="P214" s="1" t="s">
        <v>150</v>
      </c>
      <c r="Q214" s="1" t="s">
        <v>154</v>
      </c>
      <c r="R214" s="1">
        <v>2.0</v>
      </c>
      <c r="S214" s="1" t="s">
        <v>150</v>
      </c>
      <c r="T214" s="9"/>
      <c r="U214" s="9"/>
      <c r="V214" s="9"/>
      <c r="W214" s="9"/>
      <c r="X214" s="9"/>
      <c r="Y214" s="1" t="s">
        <v>150</v>
      </c>
      <c r="Z214" s="9"/>
      <c r="AA214" s="9"/>
      <c r="AB214" s="9"/>
      <c r="AC214" s="9"/>
      <c r="AD214" s="1"/>
      <c r="AE214" s="1" t="s">
        <v>154</v>
      </c>
      <c r="AF214" s="1">
        <v>3.0</v>
      </c>
      <c r="AG214" s="1" t="s">
        <v>635</v>
      </c>
      <c r="AH214" s="1" t="s">
        <v>154</v>
      </c>
      <c r="AI214" s="1" t="s">
        <v>619</v>
      </c>
      <c r="AJ214" s="1">
        <v>3.0</v>
      </c>
      <c r="AK214" s="1" t="s">
        <v>641</v>
      </c>
      <c r="AL214" s="1" t="s">
        <v>150</v>
      </c>
      <c r="AM214" s="1"/>
      <c r="AN214" s="1">
        <v>15.0</v>
      </c>
      <c r="AO214" s="1" t="str">
        <f t="shared" si="2"/>
        <v>нет</v>
      </c>
      <c r="AP214" s="1">
        <v>180.0</v>
      </c>
      <c r="AQ214" s="1">
        <v>188.0</v>
      </c>
      <c r="AR214" s="9">
        <f t="shared" si="3"/>
        <v>58.02469136</v>
      </c>
      <c r="AS214" s="7" t="str">
        <f t="shared" si="4"/>
        <v>Ожирение III степени (морбидное)</v>
      </c>
      <c r="AT214" s="1">
        <v>144.0</v>
      </c>
      <c r="AU214" s="1">
        <v>76.0</v>
      </c>
      <c r="AV214" s="9"/>
      <c r="AW214" s="1">
        <v>102.0</v>
      </c>
      <c r="AX214" s="1">
        <v>38.5</v>
      </c>
      <c r="AY214" s="1">
        <v>24.0</v>
      </c>
      <c r="AZ214" s="1">
        <v>84.0</v>
      </c>
      <c r="BA214" s="10" t="str">
        <f t="shared" si="5"/>
        <v>да</v>
      </c>
      <c r="BB214" s="1">
        <v>94.0</v>
      </c>
      <c r="BC214" s="1">
        <v>60.0</v>
      </c>
      <c r="BD214" s="12">
        <f t="shared" si="6"/>
        <v>0.05833333333</v>
      </c>
      <c r="BE214" s="12">
        <f t="shared" si="7"/>
        <v>1</v>
      </c>
      <c r="BF214" s="12">
        <f t="shared" si="8"/>
        <v>7</v>
      </c>
      <c r="BG214" s="1" t="s">
        <v>154</v>
      </c>
      <c r="BH214" s="1" t="s">
        <v>163</v>
      </c>
      <c r="BI214" s="1" t="s">
        <v>154</v>
      </c>
      <c r="BJ214" s="1" t="s">
        <v>237</v>
      </c>
      <c r="BK214" s="1" t="s">
        <v>150</v>
      </c>
      <c r="BL214" s="9"/>
      <c r="BM214" s="1" t="s">
        <v>154</v>
      </c>
      <c r="BN214" s="1" t="s">
        <v>448</v>
      </c>
      <c r="BO214" s="1" t="s">
        <v>154</v>
      </c>
      <c r="BP214" s="1" t="s">
        <v>157</v>
      </c>
      <c r="BQ214" s="1">
        <v>20.0</v>
      </c>
      <c r="BR214" s="1" t="s">
        <v>154</v>
      </c>
      <c r="BS214" s="1" t="s">
        <v>636</v>
      </c>
      <c r="BT214" s="1" t="s">
        <v>738</v>
      </c>
      <c r="BU214" s="1" t="s">
        <v>195</v>
      </c>
      <c r="BV214" s="1" t="s">
        <v>681</v>
      </c>
      <c r="BW214" s="1" t="s">
        <v>150</v>
      </c>
      <c r="BX214" s="1" t="s">
        <v>154</v>
      </c>
      <c r="BY214" s="1" t="s">
        <v>258</v>
      </c>
      <c r="BZ214" s="1" t="s">
        <v>158</v>
      </c>
      <c r="CA214" s="1" t="s">
        <v>167</v>
      </c>
      <c r="CB214" s="1" t="s">
        <v>150</v>
      </c>
      <c r="CC214" s="1" t="s">
        <v>150</v>
      </c>
      <c r="CD214" s="1" t="s">
        <v>247</v>
      </c>
      <c r="CE214" s="1" t="s">
        <v>150</v>
      </c>
      <c r="CF214" s="1" t="s">
        <v>240</v>
      </c>
      <c r="CG214" s="1" t="s">
        <v>150</v>
      </c>
      <c r="CH214" s="1" t="s">
        <v>150</v>
      </c>
      <c r="CI214" s="1" t="s">
        <v>150</v>
      </c>
      <c r="CJ214" s="1" t="s">
        <v>154</v>
      </c>
      <c r="CK214" s="1" t="s">
        <v>150</v>
      </c>
      <c r="CL214" s="1" t="s">
        <v>739</v>
      </c>
      <c r="CM214" s="1">
        <v>6.2</v>
      </c>
      <c r="CN214" s="1">
        <v>88.3</v>
      </c>
      <c r="CO214" s="7">
        <f t="shared" si="23"/>
        <v>5.4746</v>
      </c>
      <c r="CP214" s="1">
        <v>7.8</v>
      </c>
      <c r="CQ214" s="7">
        <f t="shared" si="10"/>
        <v>0.4270188</v>
      </c>
      <c r="CR214" s="1">
        <v>3.8</v>
      </c>
      <c r="CS214" s="7">
        <f t="shared" si="11"/>
        <v>0.0162267144</v>
      </c>
      <c r="CT214" s="1">
        <v>0.0</v>
      </c>
      <c r="CU214" s="7">
        <f t="shared" si="12"/>
        <v>0</v>
      </c>
      <c r="CV214" s="7">
        <f t="shared" si="13"/>
        <v>12.82051282</v>
      </c>
      <c r="CW214" s="1">
        <v>5.08</v>
      </c>
      <c r="CX214" s="1">
        <v>139.0</v>
      </c>
      <c r="CY214" s="7" t="str">
        <f t="shared" si="14"/>
        <v>Норма</v>
      </c>
      <c r="CZ214" s="6" t="s">
        <v>640</v>
      </c>
      <c r="DA214" s="1">
        <v>131.0</v>
      </c>
      <c r="DB214" s="1">
        <v>53.0</v>
      </c>
      <c r="DC214" s="1">
        <v>3.4</v>
      </c>
      <c r="DD214" s="1">
        <v>77.8</v>
      </c>
      <c r="DE214" s="1"/>
      <c r="DF214" s="1">
        <v>11.9</v>
      </c>
      <c r="DG214" s="1"/>
      <c r="DH214" s="1">
        <v>9.9</v>
      </c>
      <c r="DI214" s="1"/>
      <c r="DJ214" s="1">
        <v>0.3</v>
      </c>
      <c r="DK214" s="1"/>
      <c r="DL214" s="1"/>
      <c r="DM214" s="1">
        <v>5.04</v>
      </c>
      <c r="DN214" s="1">
        <v>138.0</v>
      </c>
      <c r="DO214" s="7" t="str">
        <f t="shared" si="15"/>
        <v>Норма</v>
      </c>
      <c r="DP214" s="6" t="s">
        <v>640</v>
      </c>
      <c r="DQ214" s="1">
        <v>141.0</v>
      </c>
      <c r="DR214" s="1">
        <v>40.2</v>
      </c>
      <c r="DS214" s="1">
        <v>612.0</v>
      </c>
      <c r="DT214" s="1">
        <v>38.3</v>
      </c>
      <c r="DU214" s="1">
        <v>16.8</v>
      </c>
      <c r="DV214" s="1">
        <v>1.44</v>
      </c>
      <c r="DW214" s="1" t="s">
        <v>473</v>
      </c>
      <c r="DX214" s="1">
        <v>531.0</v>
      </c>
      <c r="DY214" s="1">
        <v>29.7</v>
      </c>
      <c r="DZ214" s="1">
        <v>12.0</v>
      </c>
      <c r="EA214" s="1">
        <v>1.02</v>
      </c>
      <c r="EB214" s="1"/>
      <c r="EC214" s="1">
        <v>6.3</v>
      </c>
      <c r="ED214" s="1">
        <v>5.91</v>
      </c>
      <c r="EE214" s="1">
        <v>34.5</v>
      </c>
      <c r="EF214" s="1">
        <v>79.8</v>
      </c>
      <c r="EG214" s="1">
        <v>71.6</v>
      </c>
      <c r="EH214" s="1">
        <v>12.6</v>
      </c>
      <c r="EI214" s="1">
        <v>5.8</v>
      </c>
      <c r="EJ214" s="1">
        <v>134.0</v>
      </c>
      <c r="EK214" s="34">
        <f t="shared" si="16"/>
        <v>45.2087748</v>
      </c>
      <c r="EL214" s="11" t="str">
        <f t="shared" si="17"/>
        <v>C3a</v>
      </c>
      <c r="EM214" s="1">
        <v>130.6</v>
      </c>
      <c r="EN214" s="1">
        <v>1.03</v>
      </c>
      <c r="EO214" s="1">
        <v>52.1</v>
      </c>
      <c r="EP214" s="1">
        <v>107.6</v>
      </c>
      <c r="EQ214" s="1">
        <v>67.6</v>
      </c>
      <c r="ER214" s="1">
        <v>9.5</v>
      </c>
      <c r="ES214" s="1">
        <v>6.3</v>
      </c>
      <c r="ET214" s="1">
        <v>111.0</v>
      </c>
      <c r="EU214" s="11">
        <f t="shared" si="18"/>
        <v>56.76713252</v>
      </c>
      <c r="EV214" s="11" t="str">
        <f t="shared" si="19"/>
        <v>C3a</v>
      </c>
      <c r="EW214" s="1">
        <v>136.4</v>
      </c>
      <c r="EX214" s="1">
        <v>1.11</v>
      </c>
      <c r="EY214" s="9">
        <f t="shared" si="20"/>
        <v>-3.165541235</v>
      </c>
      <c r="EZ214" s="9">
        <f t="shared" si="21"/>
        <v>0.9595167411</v>
      </c>
      <c r="FA214" s="9" t="str">
        <f t="shared" si="22"/>
        <v>Неблагоприятный</v>
      </c>
      <c r="FB214" s="1" t="s">
        <v>150</v>
      </c>
      <c r="FC214" s="39" t="s">
        <v>445</v>
      </c>
    </row>
    <row r="215">
      <c r="A215" s="7">
        <v>214.0</v>
      </c>
      <c r="B215" s="38">
        <v>29.0</v>
      </c>
      <c r="C215" s="7">
        <v>10584.0</v>
      </c>
      <c r="D215" s="39" t="s">
        <v>445</v>
      </c>
      <c r="E215" s="1">
        <v>58.0</v>
      </c>
      <c r="F215" s="1" t="s">
        <v>161</v>
      </c>
      <c r="G215" s="1" t="s">
        <v>150</v>
      </c>
      <c r="H215" s="1">
        <v>5.0</v>
      </c>
      <c r="I215" s="1" t="s">
        <v>154</v>
      </c>
      <c r="J215" s="1" t="s">
        <v>150</v>
      </c>
      <c r="K215" s="9"/>
      <c r="L215" s="1" t="s">
        <v>150</v>
      </c>
      <c r="M215" s="1" t="s">
        <v>150</v>
      </c>
      <c r="N215" s="9"/>
      <c r="O215" s="1" t="str">
        <f t="shared" si="32"/>
        <v>нет</v>
      </c>
      <c r="P215" s="1" t="s">
        <v>150</v>
      </c>
      <c r="Q215" s="1" t="s">
        <v>154</v>
      </c>
      <c r="R215" s="1">
        <v>3.0</v>
      </c>
      <c r="S215" s="1" t="s">
        <v>150</v>
      </c>
      <c r="T215" s="9"/>
      <c r="U215" s="9"/>
      <c r="V215" s="9"/>
      <c r="W215" s="9"/>
      <c r="X215" s="1" t="s">
        <v>154</v>
      </c>
      <c r="Y215" s="1" t="s">
        <v>150</v>
      </c>
      <c r="Z215" s="9"/>
      <c r="AA215" s="9"/>
      <c r="AB215" s="9"/>
      <c r="AC215" s="9"/>
      <c r="AD215" s="1"/>
      <c r="AE215" s="1" t="s">
        <v>154</v>
      </c>
      <c r="AF215" s="1">
        <v>3.0</v>
      </c>
      <c r="AG215" s="1" t="s">
        <v>618</v>
      </c>
      <c r="AH215" s="1" t="s">
        <v>154</v>
      </c>
      <c r="AI215" s="1" t="s">
        <v>619</v>
      </c>
      <c r="AJ215" s="1">
        <v>3.0</v>
      </c>
      <c r="AK215" s="1" t="s">
        <v>5</v>
      </c>
      <c r="AL215" s="1" t="s">
        <v>154</v>
      </c>
      <c r="AM215" s="1" t="s">
        <v>740</v>
      </c>
      <c r="AN215" s="1">
        <v>15.0</v>
      </c>
      <c r="AO215" s="1" t="str">
        <f t="shared" si="2"/>
        <v>нет</v>
      </c>
      <c r="AP215" s="1">
        <v>155.0</v>
      </c>
      <c r="AQ215" s="1">
        <v>95.0</v>
      </c>
      <c r="AR215" s="9">
        <f t="shared" si="3"/>
        <v>39.5421436</v>
      </c>
      <c r="AS215" s="7" t="str">
        <f t="shared" si="4"/>
        <v>Ожирение II степени</v>
      </c>
      <c r="AT215" s="1">
        <v>145.0</v>
      </c>
      <c r="AU215" s="1">
        <v>94.0</v>
      </c>
      <c r="AV215" s="9"/>
      <c r="AW215" s="1">
        <v>86.0</v>
      </c>
      <c r="AX215" s="1">
        <v>38.5</v>
      </c>
      <c r="AY215" s="1">
        <v>24.0</v>
      </c>
      <c r="AZ215" s="1">
        <v>87.0</v>
      </c>
      <c r="BA215" s="10" t="str">
        <f t="shared" si="5"/>
        <v>да</v>
      </c>
      <c r="BB215" s="1">
        <v>95.0</v>
      </c>
      <c r="BC215" s="1">
        <v>60.0</v>
      </c>
      <c r="BD215" s="12">
        <f t="shared" si="6"/>
        <v>0.06041666667</v>
      </c>
      <c r="BE215" s="12">
        <f t="shared" si="7"/>
        <v>1</v>
      </c>
      <c r="BF215" s="12">
        <f t="shared" si="8"/>
        <v>6</v>
      </c>
      <c r="BG215" s="1" t="s">
        <v>154</v>
      </c>
      <c r="BH215" s="1" t="s">
        <v>175</v>
      </c>
      <c r="BI215" s="1" t="s">
        <v>154</v>
      </c>
      <c r="BJ215" s="1" t="s">
        <v>475</v>
      </c>
      <c r="BK215" s="1" t="s">
        <v>150</v>
      </c>
      <c r="BL215" s="9"/>
      <c r="BM215" s="1" t="s">
        <v>154</v>
      </c>
      <c r="BN215" s="1" t="s">
        <v>495</v>
      </c>
      <c r="BO215" s="1" t="s">
        <v>154</v>
      </c>
      <c r="BP215" s="1" t="s">
        <v>157</v>
      </c>
      <c r="BQ215" s="1">
        <v>24.0</v>
      </c>
      <c r="BR215" s="1" t="s">
        <v>154</v>
      </c>
      <c r="BS215" s="1" t="s">
        <v>477</v>
      </c>
      <c r="BT215" s="15" t="s">
        <v>741</v>
      </c>
      <c r="BU215" s="1" t="s">
        <v>170</v>
      </c>
      <c r="BV215" s="1">
        <v>32.0</v>
      </c>
      <c r="BW215" s="1" t="s">
        <v>150</v>
      </c>
      <c r="BX215" s="1" t="s">
        <v>154</v>
      </c>
      <c r="BY215" s="1" t="s">
        <v>269</v>
      </c>
      <c r="BZ215" s="1" t="s">
        <v>158</v>
      </c>
      <c r="CA215" s="1" t="s">
        <v>167</v>
      </c>
      <c r="CB215" s="1" t="s">
        <v>150</v>
      </c>
      <c r="CC215" s="1" t="s">
        <v>150</v>
      </c>
      <c r="CD215" s="1" t="s">
        <v>150</v>
      </c>
      <c r="CE215" s="1" t="s">
        <v>150</v>
      </c>
      <c r="CF215" s="1" t="s">
        <v>150</v>
      </c>
      <c r="CG215" s="1" t="s">
        <v>150</v>
      </c>
      <c r="CH215" s="1" t="s">
        <v>150</v>
      </c>
      <c r="CI215" s="1" t="s">
        <v>150</v>
      </c>
      <c r="CJ215" s="1" t="s">
        <v>150</v>
      </c>
      <c r="CK215" s="1" t="s">
        <v>150</v>
      </c>
      <c r="CL215" s="1" t="s">
        <v>273</v>
      </c>
      <c r="CM215" s="1">
        <v>8.1</v>
      </c>
      <c r="CN215" s="1">
        <v>84.8</v>
      </c>
      <c r="CO215" s="7">
        <f t="shared" si="23"/>
        <v>6.8688</v>
      </c>
      <c r="CP215" s="1">
        <v>10.3</v>
      </c>
      <c r="CQ215" s="7">
        <f t="shared" si="10"/>
        <v>0.7074864</v>
      </c>
      <c r="CR215" s="1">
        <v>4.7</v>
      </c>
      <c r="CS215" s="7">
        <f t="shared" si="11"/>
        <v>0.0332518608</v>
      </c>
      <c r="CT215" s="1">
        <v>0.0</v>
      </c>
      <c r="CU215" s="7">
        <f t="shared" si="12"/>
        <v>0</v>
      </c>
      <c r="CV215" s="7">
        <f t="shared" si="13"/>
        <v>9.708737864</v>
      </c>
      <c r="CW215" s="1">
        <v>4.88</v>
      </c>
      <c r="CX215" s="1">
        <v>138.0</v>
      </c>
      <c r="CY215" s="7" t="str">
        <f t="shared" si="14"/>
        <v>Норма</v>
      </c>
      <c r="CZ215" s="6" t="s">
        <v>640</v>
      </c>
      <c r="DA215" s="1">
        <v>205.0</v>
      </c>
      <c r="DB215" s="1">
        <v>52.8</v>
      </c>
      <c r="DC215" s="1">
        <v>11.5</v>
      </c>
      <c r="DD215" s="1">
        <v>89.8</v>
      </c>
      <c r="DE215" s="1"/>
      <c r="DF215" s="1">
        <v>6.5</v>
      </c>
      <c r="DG215" s="1"/>
      <c r="DH215" s="1">
        <v>3.3</v>
      </c>
      <c r="DI215" s="1"/>
      <c r="DJ215" s="1">
        <v>0.1</v>
      </c>
      <c r="DK215" s="1"/>
      <c r="DL215" s="1"/>
      <c r="DM215" s="1">
        <v>4.63</v>
      </c>
      <c r="DN215" s="1">
        <v>129.0</v>
      </c>
      <c r="DO215" s="7" t="str">
        <f t="shared" si="15"/>
        <v>Легкая степень</v>
      </c>
      <c r="DP215" s="6" t="s">
        <v>640</v>
      </c>
      <c r="DQ215" s="1">
        <v>388.0</v>
      </c>
      <c r="DR215" s="1">
        <v>1.2</v>
      </c>
      <c r="DS215" s="1">
        <v>503.0</v>
      </c>
      <c r="DT215" s="1">
        <v>26.2</v>
      </c>
      <c r="DU215" s="1">
        <v>12.0</v>
      </c>
      <c r="DV215" s="1">
        <v>1.026</v>
      </c>
      <c r="DW215" s="1" t="s">
        <v>473</v>
      </c>
      <c r="DX215" s="1">
        <v>211.0</v>
      </c>
      <c r="DY215" s="1">
        <v>21.0</v>
      </c>
      <c r="DZ215" s="1">
        <v>11.4</v>
      </c>
      <c r="EA215" s="1">
        <v>0.974</v>
      </c>
      <c r="EB215" s="1"/>
      <c r="EC215" s="1">
        <v>12.2</v>
      </c>
      <c r="ED215" s="1">
        <v>10.88</v>
      </c>
      <c r="EE215" s="1">
        <v>28.8</v>
      </c>
      <c r="EF215" s="1">
        <v>46.9</v>
      </c>
      <c r="EG215" s="1">
        <v>76.6</v>
      </c>
      <c r="EH215" s="1">
        <v>7.4</v>
      </c>
      <c r="EI215" s="1">
        <v>3.5</v>
      </c>
      <c r="EJ215" s="1">
        <v>117.0</v>
      </c>
      <c r="EK215" s="34">
        <f t="shared" si="16"/>
        <v>44.37477793</v>
      </c>
      <c r="EL215" s="11" t="str">
        <f t="shared" si="17"/>
        <v>C3b</v>
      </c>
      <c r="EM215" s="1">
        <v>138.8</v>
      </c>
      <c r="EN215" s="1">
        <v>1.19</v>
      </c>
      <c r="EO215" s="1">
        <v>62.4</v>
      </c>
      <c r="EP215" s="1">
        <v>61.8</v>
      </c>
      <c r="EQ215" s="1">
        <v>66.4</v>
      </c>
      <c r="ER215" s="1">
        <v>12.2</v>
      </c>
      <c r="ES215" s="1">
        <v>5.6</v>
      </c>
      <c r="ET215" s="1">
        <v>92.0</v>
      </c>
      <c r="EU215" s="11">
        <f t="shared" si="18"/>
        <v>59.34080264</v>
      </c>
      <c r="EV215" s="11" t="str">
        <f t="shared" si="19"/>
        <v>C3a</v>
      </c>
      <c r="EW215" s="1">
        <v>135.8</v>
      </c>
      <c r="EX215" s="1">
        <v>1.15</v>
      </c>
      <c r="EY215" s="9">
        <f t="shared" si="20"/>
        <v>-1.056251873</v>
      </c>
      <c r="EZ215" s="9">
        <f t="shared" si="21"/>
        <v>0.7419736221</v>
      </c>
      <c r="FA215" s="9" t="str">
        <f t="shared" si="22"/>
        <v>Неблагоприятный</v>
      </c>
      <c r="FB215" s="1" t="s">
        <v>150</v>
      </c>
      <c r="FC215" s="39" t="s">
        <v>445</v>
      </c>
    </row>
    <row r="216">
      <c r="A216" s="7">
        <v>215.0</v>
      </c>
      <c r="B216" s="38">
        <v>30.0</v>
      </c>
      <c r="C216" s="7">
        <v>7509.0</v>
      </c>
      <c r="D216" s="39" t="s">
        <v>445</v>
      </c>
      <c r="E216" s="1">
        <v>70.0</v>
      </c>
      <c r="F216" s="1" t="s">
        <v>161</v>
      </c>
      <c r="G216" s="1" t="s">
        <v>150</v>
      </c>
      <c r="H216" s="1">
        <v>13.0</v>
      </c>
      <c r="I216" s="1" t="s">
        <v>150</v>
      </c>
      <c r="J216" s="1" t="s">
        <v>150</v>
      </c>
      <c r="K216" s="9"/>
      <c r="L216" s="1" t="s">
        <v>150</v>
      </c>
      <c r="M216" s="1" t="s">
        <v>154</v>
      </c>
      <c r="N216" s="1" t="s">
        <v>657</v>
      </c>
      <c r="O216" s="1" t="str">
        <f t="shared" si="32"/>
        <v>да</v>
      </c>
      <c r="P216" s="1" t="s">
        <v>154</v>
      </c>
      <c r="Q216" s="1" t="s">
        <v>154</v>
      </c>
      <c r="R216" s="1">
        <v>2.0</v>
      </c>
      <c r="S216" s="1" t="s">
        <v>154</v>
      </c>
      <c r="T216" s="1" t="s">
        <v>742</v>
      </c>
      <c r="U216" s="1" t="s">
        <v>694</v>
      </c>
      <c r="V216" s="1">
        <v>1.0</v>
      </c>
      <c r="W216" s="9"/>
      <c r="X216" s="9"/>
      <c r="Y216" s="1" t="s">
        <v>150</v>
      </c>
      <c r="Z216" s="9"/>
      <c r="AA216" s="9"/>
      <c r="AB216" s="9"/>
      <c r="AC216" s="9"/>
      <c r="AD216" s="1" t="s">
        <v>743</v>
      </c>
      <c r="AE216" s="1" t="s">
        <v>154</v>
      </c>
      <c r="AF216" s="1">
        <v>8.0</v>
      </c>
      <c r="AG216" s="1" t="s">
        <v>618</v>
      </c>
      <c r="AH216" s="1" t="s">
        <v>154</v>
      </c>
      <c r="AI216" s="1" t="s">
        <v>630</v>
      </c>
      <c r="AJ216" s="1">
        <v>3.0</v>
      </c>
      <c r="AK216" s="1" t="s">
        <v>641</v>
      </c>
      <c r="AL216" s="1" t="s">
        <v>150</v>
      </c>
      <c r="AM216" s="1"/>
      <c r="AN216" s="1">
        <v>15.0</v>
      </c>
      <c r="AO216" s="1" t="str">
        <f t="shared" si="2"/>
        <v>нет</v>
      </c>
      <c r="AP216" s="1">
        <v>158.0</v>
      </c>
      <c r="AQ216" s="1">
        <v>70.0</v>
      </c>
      <c r="AR216" s="9">
        <f t="shared" si="3"/>
        <v>28.04037814</v>
      </c>
      <c r="AS216" s="7" t="str">
        <f t="shared" si="4"/>
        <v>Избыточный вес (предожирение)</v>
      </c>
      <c r="AT216" s="1">
        <v>190.0</v>
      </c>
      <c r="AU216" s="1">
        <v>90.0</v>
      </c>
      <c r="AV216" s="9"/>
      <c r="AW216" s="1">
        <v>90.0</v>
      </c>
      <c r="AX216" s="1">
        <v>38.0</v>
      </c>
      <c r="AY216" s="1">
        <v>24.0</v>
      </c>
      <c r="AZ216" s="1">
        <v>80.0</v>
      </c>
      <c r="BA216" s="10" t="str">
        <f t="shared" si="5"/>
        <v>да</v>
      </c>
      <c r="BB216" s="1">
        <v>91.0</v>
      </c>
      <c r="BC216" s="1">
        <v>60.0</v>
      </c>
      <c r="BD216" s="12">
        <f t="shared" si="6"/>
        <v>0.05555555556</v>
      </c>
      <c r="BE216" s="12">
        <f t="shared" si="7"/>
        <v>1</v>
      </c>
      <c r="BF216" s="12">
        <f t="shared" si="8"/>
        <v>5</v>
      </c>
      <c r="BG216" s="1" t="s">
        <v>154</v>
      </c>
      <c r="BH216" s="1" t="s">
        <v>169</v>
      </c>
      <c r="BI216" s="1" t="s">
        <v>154</v>
      </c>
      <c r="BJ216" s="1" t="s">
        <v>175</v>
      </c>
      <c r="BK216" s="1" t="s">
        <v>150</v>
      </c>
      <c r="BL216" s="9"/>
      <c r="BM216" s="1" t="s">
        <v>154</v>
      </c>
      <c r="BN216" s="1" t="s">
        <v>155</v>
      </c>
      <c r="BO216" s="1" t="s">
        <v>150</v>
      </c>
      <c r="BP216" s="9"/>
      <c r="BQ216" s="9"/>
      <c r="BR216" s="1" t="s">
        <v>154</v>
      </c>
      <c r="BS216" s="1" t="s">
        <v>174</v>
      </c>
      <c r="BT216" s="1" t="s">
        <v>681</v>
      </c>
      <c r="BU216" s="1" t="s">
        <v>195</v>
      </c>
      <c r="BV216" s="1" t="s">
        <v>744</v>
      </c>
      <c r="BW216" s="1" t="s">
        <v>150</v>
      </c>
      <c r="BX216" s="1" t="s">
        <v>154</v>
      </c>
      <c r="BY216" s="1" t="s">
        <v>275</v>
      </c>
      <c r="BZ216" s="1" t="s">
        <v>158</v>
      </c>
      <c r="CA216" s="1" t="s">
        <v>745</v>
      </c>
      <c r="CB216" s="1" t="s">
        <v>150</v>
      </c>
      <c r="CC216" s="1" t="s">
        <v>150</v>
      </c>
      <c r="CD216" s="1" t="s">
        <v>150</v>
      </c>
      <c r="CE216" s="1" t="s">
        <v>746</v>
      </c>
      <c r="CF216" s="1" t="s">
        <v>150</v>
      </c>
      <c r="CG216" s="1" t="s">
        <v>150</v>
      </c>
      <c r="CH216" s="1" t="s">
        <v>150</v>
      </c>
      <c r="CI216" s="1" t="s">
        <v>150</v>
      </c>
      <c r="CJ216" s="1" t="s">
        <v>150</v>
      </c>
      <c r="CK216" s="1" t="s">
        <v>150</v>
      </c>
      <c r="CL216" s="1" t="s">
        <v>747</v>
      </c>
      <c r="CM216" s="1">
        <v>4.6</v>
      </c>
      <c r="CN216" s="1">
        <v>77.2</v>
      </c>
      <c r="CO216" s="7">
        <f t="shared" si="23"/>
        <v>3.5512</v>
      </c>
      <c r="CP216" s="1">
        <v>13.3</v>
      </c>
      <c r="CQ216" s="7">
        <f t="shared" si="10"/>
        <v>0.4723096</v>
      </c>
      <c r="CR216" s="1">
        <v>9.3</v>
      </c>
      <c r="CS216" s="7">
        <f t="shared" si="11"/>
        <v>0.0439247928</v>
      </c>
      <c r="CT216" s="1">
        <v>0.1</v>
      </c>
      <c r="CU216" s="7">
        <f t="shared" si="12"/>
        <v>0.0000439247928</v>
      </c>
      <c r="CV216" s="7">
        <f t="shared" si="13"/>
        <v>7.518796992</v>
      </c>
      <c r="CW216" s="1">
        <v>4.95</v>
      </c>
      <c r="CX216" s="1">
        <v>144.0</v>
      </c>
      <c r="CY216" s="7" t="str">
        <f t="shared" si="14"/>
        <v>Норма</v>
      </c>
      <c r="CZ216" s="1">
        <v>23.0</v>
      </c>
      <c r="DA216" s="1">
        <v>119.0</v>
      </c>
      <c r="DB216" s="1">
        <v>53.5</v>
      </c>
      <c r="DC216" s="1">
        <v>15.2</v>
      </c>
      <c r="DD216" s="1">
        <v>91.8</v>
      </c>
      <c r="DE216" s="1"/>
      <c r="DF216" s="1">
        <v>1.9</v>
      </c>
      <c r="DG216" s="1"/>
      <c r="DH216" s="1">
        <v>6.0</v>
      </c>
      <c r="DI216" s="1"/>
      <c r="DJ216" s="1">
        <v>0.0</v>
      </c>
      <c r="DK216" s="1"/>
      <c r="DL216" s="1"/>
      <c r="DM216" s="1">
        <v>3.26</v>
      </c>
      <c r="DN216" s="1">
        <v>96.0</v>
      </c>
      <c r="DO216" s="7" t="str">
        <f t="shared" si="15"/>
        <v>Средняя степень</v>
      </c>
      <c r="DP216" s="1">
        <v>5.0</v>
      </c>
      <c r="DQ216" s="1">
        <v>141.0</v>
      </c>
      <c r="DR216" s="1">
        <v>12.12</v>
      </c>
      <c r="DS216" s="1">
        <v>634.7</v>
      </c>
      <c r="DT216" s="1">
        <v>32.3</v>
      </c>
      <c r="DU216" s="1">
        <v>11.1</v>
      </c>
      <c r="DV216" s="1">
        <v>1.06</v>
      </c>
      <c r="DW216" s="6" t="s">
        <v>640</v>
      </c>
      <c r="DX216" s="1">
        <v>242.0</v>
      </c>
      <c r="DY216" s="1">
        <v>35.0</v>
      </c>
      <c r="DZ216" s="1">
        <v>11.3</v>
      </c>
      <c r="EA216" s="1">
        <v>0.96</v>
      </c>
      <c r="EB216" s="1"/>
      <c r="EC216" s="1">
        <v>6.72</v>
      </c>
      <c r="ED216" s="1">
        <v>9.28</v>
      </c>
      <c r="EE216" s="1">
        <v>53.35</v>
      </c>
      <c r="EF216" s="1">
        <v>85.85</v>
      </c>
      <c r="EG216" s="1">
        <v>73.3</v>
      </c>
      <c r="EH216" s="1">
        <v>9.4</v>
      </c>
      <c r="EI216" s="1">
        <v>1.44</v>
      </c>
      <c r="EJ216" s="1">
        <v>154.15</v>
      </c>
      <c r="EK216" s="34">
        <f t="shared" si="16"/>
        <v>29.22403335</v>
      </c>
      <c r="EL216" s="11" t="str">
        <f t="shared" si="17"/>
        <v>C4</v>
      </c>
      <c r="EM216" s="1">
        <v>119.1</v>
      </c>
      <c r="EN216" s="1">
        <v>3.74</v>
      </c>
      <c r="EO216" s="1">
        <v>41.52</v>
      </c>
      <c r="EP216" s="1">
        <v>34.14</v>
      </c>
      <c r="EQ216" s="1">
        <v>53.3</v>
      </c>
      <c r="ER216" s="1">
        <v>5.91</v>
      </c>
      <c r="ES216" s="1">
        <v>1.24</v>
      </c>
      <c r="ET216" s="1">
        <v>116.47</v>
      </c>
      <c r="EU216" s="11">
        <f t="shared" si="18"/>
        <v>41.01201091</v>
      </c>
      <c r="EV216" s="11" t="str">
        <f t="shared" si="19"/>
        <v>C3b</v>
      </c>
      <c r="EW216" s="1">
        <v>143.9</v>
      </c>
      <c r="EX216" s="1">
        <v>3.89</v>
      </c>
      <c r="EY216" s="9">
        <f t="shared" si="20"/>
        <v>-0.851309432</v>
      </c>
      <c r="EZ216" s="9">
        <f t="shared" si="21"/>
        <v>0.7008417536</v>
      </c>
      <c r="FA216" s="9" t="str">
        <f t="shared" si="22"/>
        <v>Неблагоприятный</v>
      </c>
      <c r="FB216" s="1" t="s">
        <v>150</v>
      </c>
      <c r="FC216" s="39" t="s">
        <v>445</v>
      </c>
    </row>
    <row r="217">
      <c r="A217" s="7">
        <v>216.0</v>
      </c>
      <c r="B217" s="38">
        <v>31.0</v>
      </c>
      <c r="C217" s="7">
        <v>8092.0</v>
      </c>
      <c r="D217" s="39" t="s">
        <v>445</v>
      </c>
      <c r="E217" s="1">
        <v>58.0</v>
      </c>
      <c r="F217" s="1" t="s">
        <v>161</v>
      </c>
      <c r="G217" s="1" t="s">
        <v>150</v>
      </c>
      <c r="H217" s="1">
        <v>6.0</v>
      </c>
      <c r="I217" s="1" t="s">
        <v>150</v>
      </c>
      <c r="J217" s="1" t="s">
        <v>150</v>
      </c>
      <c r="K217" s="9"/>
      <c r="L217" s="1" t="s">
        <v>150</v>
      </c>
      <c r="M217" s="1" t="s">
        <v>150</v>
      </c>
      <c r="N217" s="9"/>
      <c r="O217" s="1" t="str">
        <f t="shared" si="32"/>
        <v>нет</v>
      </c>
      <c r="P217" s="1" t="s">
        <v>150</v>
      </c>
      <c r="Q217" s="1" t="s">
        <v>154</v>
      </c>
      <c r="R217" s="1">
        <v>3.0</v>
      </c>
      <c r="S217" s="1" t="s">
        <v>154</v>
      </c>
      <c r="T217" s="1" t="s">
        <v>748</v>
      </c>
      <c r="Y217" s="1" t="s">
        <v>150</v>
      </c>
      <c r="Z217" s="9"/>
      <c r="AA217" s="9"/>
      <c r="AB217" s="9"/>
      <c r="AC217" s="9"/>
      <c r="AD217" s="1" t="s">
        <v>749</v>
      </c>
      <c r="AE217" s="1" t="s">
        <v>154</v>
      </c>
      <c r="AF217" s="1">
        <v>6.0</v>
      </c>
      <c r="AG217" s="1" t="s">
        <v>635</v>
      </c>
      <c r="AH217" s="1" t="s">
        <v>154</v>
      </c>
      <c r="AI217" s="1" t="s">
        <v>619</v>
      </c>
      <c r="AJ217" s="1">
        <v>2.0</v>
      </c>
      <c r="AK217" s="1" t="s">
        <v>641</v>
      </c>
      <c r="AL217" s="1" t="s">
        <v>150</v>
      </c>
      <c r="AM217" s="1"/>
      <c r="AN217" s="1">
        <v>15.0</v>
      </c>
      <c r="AO217" s="1" t="str">
        <f t="shared" si="2"/>
        <v>нет</v>
      </c>
      <c r="AP217" s="1">
        <v>170.0</v>
      </c>
      <c r="AQ217" s="1">
        <v>88.0</v>
      </c>
      <c r="AR217" s="9">
        <f t="shared" si="3"/>
        <v>30.44982699</v>
      </c>
      <c r="AS217" s="7" t="str">
        <f t="shared" si="4"/>
        <v>Ожирение I степени</v>
      </c>
      <c r="AT217" s="1">
        <v>156.0</v>
      </c>
      <c r="AU217" s="1">
        <v>97.0</v>
      </c>
      <c r="AV217" s="9"/>
      <c r="AW217" s="1">
        <v>94.0</v>
      </c>
      <c r="AX217" s="1">
        <v>37.0</v>
      </c>
      <c r="AY217" s="1">
        <v>32.0</v>
      </c>
      <c r="AZ217" s="1">
        <v>66.0</v>
      </c>
      <c r="BA217" s="10" t="str">
        <f t="shared" si="5"/>
        <v>да</v>
      </c>
      <c r="BB217" s="1">
        <v>80.0</v>
      </c>
      <c r="BC217" s="1">
        <v>95.0</v>
      </c>
      <c r="BD217" s="12">
        <f t="shared" si="6"/>
        <v>0.02171052632</v>
      </c>
      <c r="BE217" s="12">
        <f t="shared" si="7"/>
        <v>1</v>
      </c>
      <c r="BF217" s="12">
        <f t="shared" si="8"/>
        <v>7</v>
      </c>
      <c r="BG217" s="1" t="s">
        <v>522</v>
      </c>
      <c r="BH217" s="9"/>
      <c r="BI217" s="1" t="s">
        <v>154</v>
      </c>
      <c r="BJ217" s="1" t="s">
        <v>750</v>
      </c>
      <c r="BK217" s="1" t="s">
        <v>150</v>
      </c>
      <c r="BL217" s="9"/>
      <c r="BM217" s="1" t="s">
        <v>154</v>
      </c>
      <c r="BN217" s="1" t="s">
        <v>557</v>
      </c>
      <c r="BO217" s="1" t="s">
        <v>522</v>
      </c>
      <c r="BP217" s="9"/>
      <c r="BQ217" s="9"/>
      <c r="BR217" s="1" t="s">
        <v>154</v>
      </c>
      <c r="BS217" s="1" t="s">
        <v>174</v>
      </c>
      <c r="BT217" s="1" t="s">
        <v>503</v>
      </c>
      <c r="BU217" s="1" t="s">
        <v>170</v>
      </c>
      <c r="BV217" s="1">
        <v>32.0</v>
      </c>
      <c r="BW217" s="1" t="s">
        <v>154</v>
      </c>
      <c r="BX217" s="1" t="s">
        <v>154</v>
      </c>
      <c r="BY217" s="1" t="s">
        <v>239</v>
      </c>
      <c r="BZ217" s="1" t="s">
        <v>158</v>
      </c>
      <c r="CA217" s="1" t="s">
        <v>150</v>
      </c>
      <c r="CB217" s="1" t="s">
        <v>150</v>
      </c>
      <c r="CC217" s="1" t="s">
        <v>150</v>
      </c>
      <c r="CD217" s="1" t="s">
        <v>150</v>
      </c>
      <c r="CE217" s="1" t="s">
        <v>746</v>
      </c>
      <c r="CF217" s="1" t="s">
        <v>150</v>
      </c>
      <c r="CG217" s="1" t="s">
        <v>150</v>
      </c>
      <c r="CH217" s="1" t="s">
        <v>150</v>
      </c>
      <c r="CI217" s="1" t="s">
        <v>150</v>
      </c>
      <c r="CJ217" s="1" t="s">
        <v>150</v>
      </c>
      <c r="CK217" s="1" t="s">
        <v>150</v>
      </c>
      <c r="CL217" s="1" t="s">
        <v>751</v>
      </c>
      <c r="CM217" s="1">
        <v>14.3</v>
      </c>
      <c r="CN217" s="1">
        <v>91.6</v>
      </c>
      <c r="CO217" s="7">
        <f t="shared" si="23"/>
        <v>13.0988</v>
      </c>
      <c r="CP217" s="1">
        <v>4.5</v>
      </c>
      <c r="CQ217" s="7">
        <f t="shared" si="10"/>
        <v>0.589446</v>
      </c>
      <c r="CR217" s="1">
        <v>2.8</v>
      </c>
      <c r="CS217" s="7">
        <f t="shared" si="11"/>
        <v>0.016504488</v>
      </c>
      <c r="CT217" s="1">
        <v>0.8</v>
      </c>
      <c r="CU217" s="7">
        <f t="shared" si="12"/>
        <v>0.000132035904</v>
      </c>
      <c r="CV217" s="7">
        <f t="shared" si="13"/>
        <v>22.22222222</v>
      </c>
      <c r="CW217" s="1">
        <v>5.14</v>
      </c>
      <c r="CX217" s="1">
        <v>139.0</v>
      </c>
      <c r="CY217" s="7" t="str">
        <f t="shared" si="14"/>
        <v>Норма</v>
      </c>
      <c r="CZ217" s="6" t="s">
        <v>640</v>
      </c>
      <c r="DA217" s="1">
        <v>123.0</v>
      </c>
      <c r="DB217" s="1">
        <v>248.5</v>
      </c>
      <c r="DC217" s="1">
        <v>11.2</v>
      </c>
      <c r="DD217" s="1">
        <v>96.3</v>
      </c>
      <c r="DE217" s="1"/>
      <c r="DF217" s="1">
        <v>1.9</v>
      </c>
      <c r="DG217" s="1"/>
      <c r="DH217" s="1">
        <v>1.5</v>
      </c>
      <c r="DI217" s="1"/>
      <c r="DJ217" s="1">
        <v>0.0</v>
      </c>
      <c r="DK217" s="1"/>
      <c r="DL217" s="1"/>
      <c r="DM217" s="1">
        <v>5.1</v>
      </c>
      <c r="DN217" s="1">
        <v>139.0</v>
      </c>
      <c r="DO217" s="7" t="str">
        <f t="shared" si="15"/>
        <v>Норма</v>
      </c>
      <c r="DP217" s="6" t="s">
        <v>640</v>
      </c>
      <c r="DQ217" s="1">
        <v>108.0</v>
      </c>
      <c r="DR217" s="1">
        <v>13.5</v>
      </c>
      <c r="DS217" s="1">
        <v>129.0</v>
      </c>
      <c r="DT217" s="1">
        <v>23.7</v>
      </c>
      <c r="DU217" s="1">
        <v>14.2</v>
      </c>
      <c r="DV217" s="1">
        <v>1.21</v>
      </c>
      <c r="DW217" s="6" t="s">
        <v>640</v>
      </c>
      <c r="DX217" s="1">
        <v>64.0</v>
      </c>
      <c r="DY217" s="1">
        <v>22.9</v>
      </c>
      <c r="DZ217" s="1">
        <v>14.9</v>
      </c>
      <c r="EA217" s="1">
        <v>1.274</v>
      </c>
      <c r="EB217" s="1"/>
      <c r="EC217" s="1">
        <v>9.56</v>
      </c>
      <c r="ED217" s="1">
        <v>10.28</v>
      </c>
      <c r="EE217" s="1">
        <v>70.69</v>
      </c>
      <c r="EF217" s="1">
        <v>47.3</v>
      </c>
      <c r="EG217" s="1">
        <v>65.1</v>
      </c>
      <c r="EH217" s="1">
        <v>13.6</v>
      </c>
      <c r="EI217" s="1">
        <v>2.84</v>
      </c>
      <c r="EJ217" s="1">
        <v>115.83</v>
      </c>
      <c r="EK217" s="34">
        <f t="shared" si="16"/>
        <v>44.91725859</v>
      </c>
      <c r="EL217" s="11" t="str">
        <f t="shared" si="17"/>
        <v>C3b</v>
      </c>
      <c r="EM217" s="1">
        <v>136.3</v>
      </c>
      <c r="EN217" s="1">
        <v>1.06</v>
      </c>
      <c r="EO217" s="1">
        <v>46.48</v>
      </c>
      <c r="EP217" s="1">
        <v>28.97</v>
      </c>
      <c r="EQ217" s="1">
        <v>62.0</v>
      </c>
      <c r="ER217" s="1">
        <v>31.88</v>
      </c>
      <c r="ES217" s="1">
        <v>12.38</v>
      </c>
      <c r="ET217" s="1">
        <v>64.61</v>
      </c>
      <c r="EU217" s="11">
        <f t="shared" si="18"/>
        <v>90.97467496</v>
      </c>
      <c r="EV217" s="11" t="str">
        <f t="shared" si="19"/>
        <v>C1</v>
      </c>
      <c r="EW217" s="1">
        <v>145.1</v>
      </c>
      <c r="EX217" s="1">
        <v>3.6</v>
      </c>
      <c r="EY217" s="9">
        <f t="shared" si="20"/>
        <v>0.5853013287</v>
      </c>
      <c r="EZ217" s="9">
        <f t="shared" si="21"/>
        <v>0.3577136724</v>
      </c>
      <c r="FA217" s="9" t="str">
        <f t="shared" si="22"/>
        <v>Благоприятный</v>
      </c>
      <c r="FB217" s="1" t="s">
        <v>256</v>
      </c>
      <c r="FC217" s="39" t="s">
        <v>445</v>
      </c>
    </row>
    <row r="218">
      <c r="A218" s="7">
        <v>217.0</v>
      </c>
      <c r="B218" s="38">
        <v>32.0</v>
      </c>
      <c r="C218" s="7">
        <v>8174.0</v>
      </c>
      <c r="D218" s="39" t="s">
        <v>445</v>
      </c>
      <c r="E218" s="1">
        <v>58.0</v>
      </c>
      <c r="F218" s="1" t="s">
        <v>149</v>
      </c>
      <c r="G218" s="1"/>
      <c r="H218" s="1">
        <v>7.0</v>
      </c>
      <c r="I218" s="1" t="s">
        <v>150</v>
      </c>
      <c r="J218" s="1" t="s">
        <v>150</v>
      </c>
      <c r="K218" s="9"/>
      <c r="L218" s="1" t="s">
        <v>150</v>
      </c>
      <c r="M218" s="1" t="s">
        <v>154</v>
      </c>
      <c r="N218" s="1" t="s">
        <v>657</v>
      </c>
      <c r="O218" s="1" t="s">
        <v>154</v>
      </c>
      <c r="P218" s="1" t="s">
        <v>154</v>
      </c>
      <c r="Q218" s="1" t="s">
        <v>154</v>
      </c>
      <c r="R218" s="1">
        <v>3.0</v>
      </c>
      <c r="S218" s="1" t="s">
        <v>150</v>
      </c>
      <c r="T218" s="9"/>
      <c r="U218" s="1" t="s">
        <v>694</v>
      </c>
      <c r="V218" s="1">
        <v>1.0</v>
      </c>
      <c r="W218" s="9"/>
      <c r="X218" s="9"/>
      <c r="Y218" s="1" t="s">
        <v>150</v>
      </c>
      <c r="Z218" s="9"/>
      <c r="AA218" s="9"/>
      <c r="AB218" s="9"/>
      <c r="AC218" s="9"/>
      <c r="AD218" s="1" t="s">
        <v>752</v>
      </c>
      <c r="AE218" s="1" t="s">
        <v>154</v>
      </c>
      <c r="AF218" s="1">
        <v>1.0</v>
      </c>
      <c r="AG218" s="1" t="s">
        <v>635</v>
      </c>
      <c r="AH218" s="1" t="s">
        <v>154</v>
      </c>
      <c r="AI218" s="1" t="s">
        <v>153</v>
      </c>
      <c r="AJ218" s="1">
        <v>3.0</v>
      </c>
      <c r="AK218" s="1" t="s">
        <v>641</v>
      </c>
      <c r="AL218" s="1" t="s">
        <v>150</v>
      </c>
      <c r="AM218" s="1"/>
      <c r="AN218" s="1">
        <v>15.0</v>
      </c>
      <c r="AO218" s="1" t="str">
        <f t="shared" si="2"/>
        <v>нет</v>
      </c>
      <c r="AP218" s="1">
        <v>174.0</v>
      </c>
      <c r="AQ218" s="1">
        <v>143.0</v>
      </c>
      <c r="AR218" s="9">
        <f t="shared" si="3"/>
        <v>47.23213106</v>
      </c>
      <c r="AS218" s="7" t="str">
        <f t="shared" si="4"/>
        <v>Ожирение III степени (морбидное)</v>
      </c>
      <c r="AT218" s="1">
        <v>143.0</v>
      </c>
      <c r="AU218" s="1">
        <v>96.0</v>
      </c>
      <c r="AV218" s="9"/>
      <c r="AW218" s="1">
        <v>98.0</v>
      </c>
      <c r="AX218" s="1">
        <v>38.5</v>
      </c>
      <c r="AY218" s="1">
        <v>20.0</v>
      </c>
      <c r="AZ218" s="1">
        <v>85.0</v>
      </c>
      <c r="BA218" s="10" t="str">
        <f t="shared" si="5"/>
        <v>да</v>
      </c>
      <c r="BB218" s="1">
        <v>95.0</v>
      </c>
      <c r="BC218" s="1">
        <v>44.0</v>
      </c>
      <c r="BD218" s="12">
        <f t="shared" si="6"/>
        <v>0.09659090909</v>
      </c>
      <c r="BE218" s="12">
        <f t="shared" si="7"/>
        <v>0</v>
      </c>
      <c r="BF218" s="12">
        <f t="shared" si="8"/>
        <v>5</v>
      </c>
      <c r="BG218" s="1" t="s">
        <v>154</v>
      </c>
      <c r="BH218" s="1" t="s">
        <v>163</v>
      </c>
      <c r="BI218" s="1" t="s">
        <v>154</v>
      </c>
      <c r="BJ218" s="1" t="s">
        <v>237</v>
      </c>
      <c r="BK218" s="1" t="s">
        <v>150</v>
      </c>
      <c r="BL218" s="9"/>
      <c r="BM218" s="1" t="s">
        <v>154</v>
      </c>
      <c r="BN218" s="1" t="s">
        <v>557</v>
      </c>
      <c r="BO218" s="1" t="s">
        <v>154</v>
      </c>
      <c r="BP218" s="1" t="s">
        <v>157</v>
      </c>
      <c r="BQ218" s="9"/>
      <c r="BR218" s="1" t="s">
        <v>154</v>
      </c>
      <c r="BS218" s="1" t="s">
        <v>207</v>
      </c>
      <c r="BT218" s="15">
        <v>500.0</v>
      </c>
      <c r="BU218" s="1" t="s">
        <v>170</v>
      </c>
      <c r="BV218" s="1">
        <v>1000.0</v>
      </c>
      <c r="BW218" s="1" t="s">
        <v>154</v>
      </c>
      <c r="BX218" s="1" t="s">
        <v>154</v>
      </c>
      <c r="BY218" s="1" t="s">
        <v>173</v>
      </c>
      <c r="BZ218" s="1" t="s">
        <v>150</v>
      </c>
      <c r="CA218" s="1" t="s">
        <v>150</v>
      </c>
      <c r="CB218" s="1" t="s">
        <v>150</v>
      </c>
      <c r="CC218" s="1" t="s">
        <v>150</v>
      </c>
      <c r="CD218" s="1" t="s">
        <v>150</v>
      </c>
      <c r="CE218" s="1" t="s">
        <v>150</v>
      </c>
      <c r="CF218" s="1" t="s">
        <v>150</v>
      </c>
      <c r="CG218" s="1" t="s">
        <v>150</v>
      </c>
      <c r="CH218" s="1" t="s">
        <v>150</v>
      </c>
      <c r="CI218" s="1" t="s">
        <v>150</v>
      </c>
      <c r="CJ218" s="1" t="s">
        <v>150</v>
      </c>
      <c r="CK218" s="1" t="s">
        <v>150</v>
      </c>
      <c r="CL218" s="1" t="s">
        <v>753</v>
      </c>
      <c r="CM218" s="1">
        <v>7.1</v>
      </c>
      <c r="CN218" s="1">
        <v>82.7</v>
      </c>
      <c r="CO218" s="7">
        <f t="shared" si="23"/>
        <v>5.8717</v>
      </c>
      <c r="CP218" s="1">
        <v>11.5</v>
      </c>
      <c r="CQ218" s="7">
        <f t="shared" si="10"/>
        <v>0.6752455</v>
      </c>
      <c r="CR218" s="1">
        <v>5.5</v>
      </c>
      <c r="CS218" s="7">
        <f t="shared" si="11"/>
        <v>0.0371385025</v>
      </c>
      <c r="CT218" s="1">
        <v>0.0</v>
      </c>
      <c r="CU218" s="7">
        <f t="shared" si="12"/>
        <v>0</v>
      </c>
      <c r="CV218" s="7">
        <f t="shared" si="13"/>
        <v>8.695652174</v>
      </c>
      <c r="CW218" s="1">
        <v>5.19</v>
      </c>
      <c r="CX218" s="1">
        <v>149.0</v>
      </c>
      <c r="CY218" s="7" t="str">
        <f t="shared" si="14"/>
        <v>Норма</v>
      </c>
      <c r="CZ218" s="6" t="s">
        <v>640</v>
      </c>
      <c r="DA218" s="1">
        <v>211.0</v>
      </c>
      <c r="DB218" s="1">
        <v>154.2</v>
      </c>
      <c r="DC218" s="1">
        <v>24.5</v>
      </c>
      <c r="DD218" s="1">
        <v>92.2</v>
      </c>
      <c r="DE218" s="1"/>
      <c r="DF218" s="1">
        <v>2.3</v>
      </c>
      <c r="DG218" s="1"/>
      <c r="DH218" s="1">
        <v>4.9</v>
      </c>
      <c r="DI218" s="1"/>
      <c r="DJ218" s="1">
        <v>0.5</v>
      </c>
      <c r="DK218" s="1"/>
      <c r="DL218" s="1"/>
      <c r="DM218" s="1">
        <v>5.58</v>
      </c>
      <c r="DN218" s="1">
        <v>164.0</v>
      </c>
      <c r="DO218" s="7" t="str">
        <f t="shared" si="15"/>
        <v>Норма</v>
      </c>
      <c r="DP218" s="6" t="s">
        <v>640</v>
      </c>
      <c r="DQ218" s="1">
        <v>253.0</v>
      </c>
      <c r="DR218" s="6" t="s">
        <v>640</v>
      </c>
      <c r="DS218" s="1">
        <v>890.0</v>
      </c>
      <c r="DT218" s="6" t="s">
        <v>640</v>
      </c>
      <c r="DU218" s="1">
        <v>15.9</v>
      </c>
      <c r="DV218" s="1">
        <v>1.36</v>
      </c>
      <c r="DW218" s="6" t="s">
        <v>640</v>
      </c>
      <c r="DX218" s="1">
        <v>448.0</v>
      </c>
      <c r="DY218" s="1">
        <v>17.5</v>
      </c>
      <c r="DZ218" s="1">
        <v>11.9</v>
      </c>
      <c r="EA218" s="1">
        <v>1.017</v>
      </c>
      <c r="EB218" s="1"/>
      <c r="EC218" s="1">
        <v>27.65</v>
      </c>
      <c r="ED218" s="1">
        <v>32.14</v>
      </c>
      <c r="EE218" s="1">
        <v>23.33</v>
      </c>
      <c r="EF218" s="1">
        <v>34.34</v>
      </c>
      <c r="EG218" s="1">
        <v>70.3</v>
      </c>
      <c r="EH218" s="1">
        <v>11.28</v>
      </c>
      <c r="EI218" s="6" t="s">
        <v>640</v>
      </c>
      <c r="EJ218" s="1">
        <v>114.04</v>
      </c>
      <c r="EK218" s="34">
        <f t="shared" si="16"/>
        <v>45.77103513</v>
      </c>
      <c r="EL218" s="11" t="str">
        <f t="shared" si="17"/>
        <v>C3a</v>
      </c>
      <c r="EM218" s="1">
        <v>134.0</v>
      </c>
      <c r="EN218" s="1">
        <v>7.8</v>
      </c>
      <c r="EO218" s="1">
        <v>26.43</v>
      </c>
      <c r="EP218" s="1">
        <v>19.35</v>
      </c>
      <c r="EQ218" s="1">
        <v>66.2</v>
      </c>
      <c r="ER218" s="1">
        <v>9.61</v>
      </c>
      <c r="ES218" s="6" t="s">
        <v>640</v>
      </c>
      <c r="ET218" s="1">
        <v>313.31</v>
      </c>
      <c r="EU218" s="11">
        <f t="shared" si="18"/>
        <v>13.48776602</v>
      </c>
      <c r="EV218" s="11" t="str">
        <f t="shared" si="19"/>
        <v>C5</v>
      </c>
      <c r="EW218" s="6" t="s">
        <v>640</v>
      </c>
      <c r="EX218" s="6" t="s">
        <v>640</v>
      </c>
      <c r="EY218" s="9">
        <f t="shared" si="20"/>
        <v>-1.2393954</v>
      </c>
      <c r="EZ218" s="9">
        <f t="shared" si="21"/>
        <v>0.7754587573</v>
      </c>
      <c r="FA218" s="9" t="str">
        <f t="shared" si="22"/>
        <v>Неблагоприятный</v>
      </c>
      <c r="FB218" s="1" t="s">
        <v>150</v>
      </c>
      <c r="FC218" s="39" t="s">
        <v>445</v>
      </c>
    </row>
    <row r="219">
      <c r="A219" s="7">
        <v>218.0</v>
      </c>
      <c r="B219" s="38">
        <v>33.0</v>
      </c>
      <c r="C219" s="7">
        <v>5809.0</v>
      </c>
      <c r="D219" s="39" t="s">
        <v>445</v>
      </c>
      <c r="E219" s="1">
        <v>63.0</v>
      </c>
      <c r="F219" s="1" t="s">
        <v>149</v>
      </c>
      <c r="G219" s="1"/>
      <c r="H219" s="1">
        <v>70.0</v>
      </c>
      <c r="I219" s="1" t="s">
        <v>150</v>
      </c>
      <c r="J219" s="1" t="s">
        <v>150</v>
      </c>
      <c r="K219" s="9"/>
      <c r="L219" s="1" t="s">
        <v>150</v>
      </c>
      <c r="M219" s="1" t="s">
        <v>150</v>
      </c>
      <c r="N219" s="9"/>
      <c r="O219" s="1" t="str">
        <f t="shared" ref="O219:O220" si="33">IF(EC219&gt;=6.1,IF(EC219&lt;7,"да","нет"),"нет")</f>
        <v>нет</v>
      </c>
      <c r="P219" s="1" t="s">
        <v>150</v>
      </c>
      <c r="Q219" s="1" t="s">
        <v>154</v>
      </c>
      <c r="R219" s="1">
        <v>2.0</v>
      </c>
      <c r="S219" s="1" t="s">
        <v>150</v>
      </c>
      <c r="T219" s="9"/>
      <c r="U219" s="9"/>
      <c r="V219" s="9"/>
      <c r="W219" s="9"/>
      <c r="X219" s="9"/>
      <c r="Y219" s="1" t="s">
        <v>150</v>
      </c>
      <c r="Z219" s="9"/>
      <c r="AA219" s="9"/>
      <c r="AB219" s="9"/>
      <c r="AC219" s="9"/>
      <c r="AD219" s="1"/>
      <c r="AE219" s="1" t="s">
        <v>154</v>
      </c>
      <c r="AF219" s="1">
        <v>3.0</v>
      </c>
      <c r="AG219" s="1" t="s">
        <v>635</v>
      </c>
      <c r="AH219" s="1" t="s">
        <v>154</v>
      </c>
      <c r="AI219" s="1" t="s">
        <v>619</v>
      </c>
      <c r="AJ219" s="1">
        <v>1.0</v>
      </c>
      <c r="AK219" s="1" t="s">
        <v>5</v>
      </c>
      <c r="AL219" s="1" t="s">
        <v>150</v>
      </c>
      <c r="AM219" s="1"/>
      <c r="AN219" s="1">
        <v>15.0</v>
      </c>
      <c r="AO219" s="1" t="str">
        <f t="shared" si="2"/>
        <v>нет</v>
      </c>
      <c r="AP219" s="1">
        <v>180.0</v>
      </c>
      <c r="AQ219" s="1">
        <v>92.0</v>
      </c>
      <c r="AR219" s="9">
        <f t="shared" si="3"/>
        <v>28.39506173</v>
      </c>
      <c r="AS219" s="7" t="str">
        <f t="shared" si="4"/>
        <v>Избыточный вес (предожирение)</v>
      </c>
      <c r="AT219" s="1">
        <v>134.0</v>
      </c>
      <c r="AU219" s="1">
        <v>87.0</v>
      </c>
      <c r="AV219" s="9"/>
      <c r="AW219" s="1">
        <v>80.0</v>
      </c>
      <c r="AX219" s="1">
        <v>37.8</v>
      </c>
      <c r="AY219" s="1">
        <v>22.0</v>
      </c>
      <c r="AZ219" s="1">
        <v>86.0</v>
      </c>
      <c r="BA219" s="10" t="str">
        <f t="shared" si="5"/>
        <v>да</v>
      </c>
      <c r="BB219" s="1">
        <v>95.0</v>
      </c>
      <c r="BC219" s="1">
        <v>40.0</v>
      </c>
      <c r="BD219" s="12">
        <f t="shared" si="6"/>
        <v>0.09772727273</v>
      </c>
      <c r="BE219" s="12">
        <f t="shared" si="7"/>
        <v>1</v>
      </c>
      <c r="BF219" s="12">
        <f t="shared" si="8"/>
        <v>5</v>
      </c>
      <c r="BG219" s="1" t="s">
        <v>522</v>
      </c>
      <c r="BH219" s="9"/>
      <c r="BI219" s="1" t="s">
        <v>154</v>
      </c>
      <c r="BJ219" s="1" t="s">
        <v>754</v>
      </c>
      <c r="BK219" s="1" t="s">
        <v>150</v>
      </c>
      <c r="BL219" s="9"/>
      <c r="BM219" s="1" t="s">
        <v>154</v>
      </c>
      <c r="BN219" s="1" t="s">
        <v>448</v>
      </c>
      <c r="BO219" s="1" t="s">
        <v>522</v>
      </c>
      <c r="BP219" s="9"/>
      <c r="BQ219" s="9"/>
      <c r="BR219" s="1" t="s">
        <v>154</v>
      </c>
      <c r="BS219" s="1" t="s">
        <v>755</v>
      </c>
      <c r="BT219" s="1" t="s">
        <v>756</v>
      </c>
      <c r="BU219" s="1" t="s">
        <v>195</v>
      </c>
      <c r="BV219" s="1" t="s">
        <v>757</v>
      </c>
      <c r="BW219" s="1" t="s">
        <v>150</v>
      </c>
      <c r="BX219" s="1" t="s">
        <v>154</v>
      </c>
      <c r="BY219" s="1" t="s">
        <v>269</v>
      </c>
      <c r="BZ219" s="1" t="s">
        <v>158</v>
      </c>
      <c r="CA219" s="1" t="s">
        <v>150</v>
      </c>
      <c r="CB219" s="1" t="s">
        <v>150</v>
      </c>
      <c r="CC219" s="1" t="s">
        <v>150</v>
      </c>
      <c r="CD219" s="1" t="s">
        <v>150</v>
      </c>
      <c r="CE219" s="1" t="s">
        <v>150</v>
      </c>
      <c r="CF219" s="1" t="s">
        <v>150</v>
      </c>
      <c r="CG219" s="1" t="s">
        <v>154</v>
      </c>
      <c r="CH219" s="1" t="s">
        <v>150</v>
      </c>
      <c r="CI219" s="1" t="s">
        <v>150</v>
      </c>
      <c r="CJ219" s="1" t="s">
        <v>154</v>
      </c>
      <c r="CK219" s="1" t="s">
        <v>150</v>
      </c>
      <c r="CL219" s="1" t="s">
        <v>758</v>
      </c>
      <c r="CM219" s="1">
        <v>6.0</v>
      </c>
      <c r="CN219" s="1">
        <v>84.0</v>
      </c>
      <c r="CO219" s="7">
        <f t="shared" si="23"/>
        <v>5.04</v>
      </c>
      <c r="CP219" s="1">
        <v>9.7</v>
      </c>
      <c r="CQ219" s="7">
        <f t="shared" si="10"/>
        <v>0.48888</v>
      </c>
      <c r="CR219" s="1">
        <v>6.3</v>
      </c>
      <c r="CS219" s="7">
        <f t="shared" si="11"/>
        <v>0.03079944</v>
      </c>
      <c r="CT219" s="1">
        <v>0.0</v>
      </c>
      <c r="CU219" s="7">
        <f t="shared" si="12"/>
        <v>0</v>
      </c>
      <c r="CV219" s="7">
        <f t="shared" si="13"/>
        <v>10.30927835</v>
      </c>
      <c r="CW219" s="1">
        <v>5.5</v>
      </c>
      <c r="CX219" s="1">
        <v>160.0</v>
      </c>
      <c r="CY219" s="7" t="str">
        <f t="shared" si="14"/>
        <v>Норма</v>
      </c>
      <c r="CZ219" s="1">
        <v>11.0</v>
      </c>
      <c r="DA219" s="1">
        <v>157.0</v>
      </c>
      <c r="DB219" s="1">
        <v>72.3</v>
      </c>
      <c r="DC219" s="1">
        <v>2.8</v>
      </c>
      <c r="DD219" s="1">
        <v>88.5</v>
      </c>
      <c r="DE219" s="1"/>
      <c r="DF219" s="1">
        <v>7.0</v>
      </c>
      <c r="DG219" s="1"/>
      <c r="DH219" s="1">
        <v>1.5</v>
      </c>
      <c r="DI219" s="1"/>
      <c r="DJ219" s="1">
        <v>2.7</v>
      </c>
      <c r="DK219" s="1"/>
      <c r="DL219" s="1"/>
      <c r="DM219" s="1">
        <v>2.79</v>
      </c>
      <c r="DN219" s="1">
        <v>86.0</v>
      </c>
      <c r="DO219" s="7" t="str">
        <f t="shared" si="15"/>
        <v>Средняя степень</v>
      </c>
      <c r="DP219" s="1">
        <v>75.0</v>
      </c>
      <c r="DQ219" s="1">
        <v>66.0</v>
      </c>
      <c r="DR219" s="1">
        <v>121.2</v>
      </c>
      <c r="DS219" s="1">
        <v>622.0</v>
      </c>
      <c r="DT219" s="1">
        <v>23.2</v>
      </c>
      <c r="DU219" s="1">
        <v>12.1</v>
      </c>
      <c r="DV219" s="1">
        <v>1.03</v>
      </c>
      <c r="DW219" s="6" t="s">
        <v>640</v>
      </c>
      <c r="DX219" s="1">
        <v>1200.0</v>
      </c>
      <c r="DY219" s="1">
        <v>20.2</v>
      </c>
      <c r="DZ219" s="1">
        <v>12.2</v>
      </c>
      <c r="EA219" s="1">
        <v>1.04</v>
      </c>
      <c r="EB219" s="1"/>
      <c r="EC219" s="1">
        <v>8.05</v>
      </c>
      <c r="ED219" s="1">
        <v>11.49</v>
      </c>
      <c r="EE219" s="1">
        <v>103.14</v>
      </c>
      <c r="EF219" s="1">
        <v>63.83</v>
      </c>
      <c r="EG219" s="1">
        <v>55.9</v>
      </c>
      <c r="EH219" s="1">
        <v>11.49</v>
      </c>
      <c r="EI219" s="1">
        <v>2.9</v>
      </c>
      <c r="EJ219" s="1">
        <v>105.56</v>
      </c>
      <c r="EK219" s="34">
        <f t="shared" si="16"/>
        <v>48.51861439</v>
      </c>
      <c r="EL219" s="11" t="str">
        <f t="shared" si="17"/>
        <v>C3a</v>
      </c>
      <c r="EM219" s="1">
        <v>131.2</v>
      </c>
      <c r="EN219" s="1">
        <v>4.07</v>
      </c>
      <c r="EO219" s="1">
        <v>34.1</v>
      </c>
      <c r="EP219" s="1">
        <v>24.6</v>
      </c>
      <c r="EQ219" s="1">
        <v>51.2</v>
      </c>
      <c r="ER219" s="1">
        <v>15.9</v>
      </c>
      <c r="ES219" s="1">
        <v>4.6</v>
      </c>
      <c r="ET219" s="1">
        <v>74.0</v>
      </c>
      <c r="EU219" s="11">
        <f t="shared" si="18"/>
        <v>74.54490967</v>
      </c>
      <c r="EV219" s="11" t="str">
        <f t="shared" si="19"/>
        <v>C2</v>
      </c>
      <c r="EW219" s="1">
        <v>126.3</v>
      </c>
      <c r="EX219" s="1">
        <v>3.69</v>
      </c>
      <c r="EY219" s="9">
        <f t="shared" si="20"/>
        <v>1.479527247</v>
      </c>
      <c r="EZ219" s="9">
        <f t="shared" si="21"/>
        <v>0.1854988365</v>
      </c>
      <c r="FA219" s="9" t="str">
        <f t="shared" si="22"/>
        <v>Благоприятный</v>
      </c>
      <c r="FB219" s="1" t="s">
        <v>256</v>
      </c>
      <c r="FC219" s="39" t="s">
        <v>445</v>
      </c>
    </row>
    <row r="220">
      <c r="A220" s="7">
        <v>219.0</v>
      </c>
      <c r="B220" s="38">
        <v>34.0</v>
      </c>
      <c r="C220" s="7">
        <v>7344.0</v>
      </c>
      <c r="D220" s="39" t="s">
        <v>445</v>
      </c>
      <c r="E220" s="1">
        <v>37.0</v>
      </c>
      <c r="F220" s="1" t="s">
        <v>149</v>
      </c>
      <c r="G220" s="1"/>
      <c r="H220" s="1">
        <v>13.0</v>
      </c>
      <c r="I220" s="1" t="s">
        <v>150</v>
      </c>
      <c r="J220" s="1" t="s">
        <v>150</v>
      </c>
      <c r="K220" s="9"/>
      <c r="L220" s="1" t="s">
        <v>150</v>
      </c>
      <c r="M220" s="1" t="s">
        <v>150</v>
      </c>
      <c r="N220" s="9"/>
      <c r="O220" s="1" t="str">
        <f t="shared" si="33"/>
        <v>нет</v>
      </c>
      <c r="P220" s="1" t="s">
        <v>150</v>
      </c>
      <c r="Q220" s="1" t="s">
        <v>150</v>
      </c>
      <c r="R220" s="9"/>
      <c r="S220" s="1" t="s">
        <v>150</v>
      </c>
      <c r="T220" s="9"/>
      <c r="U220" s="9"/>
      <c r="V220" s="9"/>
      <c r="W220" s="9"/>
      <c r="X220" s="9"/>
      <c r="Y220" s="1" t="s">
        <v>150</v>
      </c>
      <c r="Z220" s="9"/>
      <c r="AA220" s="9"/>
      <c r="AB220" s="9"/>
      <c r="AC220" s="9"/>
      <c r="AD220" s="1"/>
      <c r="AE220" s="1" t="s">
        <v>154</v>
      </c>
      <c r="AF220" s="39">
        <v>6.0</v>
      </c>
      <c r="AG220" s="1" t="s">
        <v>635</v>
      </c>
      <c r="AH220" s="1" t="s">
        <v>154</v>
      </c>
      <c r="AI220" s="1" t="s">
        <v>630</v>
      </c>
      <c r="AJ220" s="1">
        <v>1.0</v>
      </c>
      <c r="AK220" s="1" t="s">
        <v>5</v>
      </c>
      <c r="AL220" s="1" t="s">
        <v>150</v>
      </c>
      <c r="AM220" s="1"/>
      <c r="AN220" s="1">
        <v>15.0</v>
      </c>
      <c r="AO220" s="1" t="str">
        <f t="shared" si="2"/>
        <v>нет</v>
      </c>
      <c r="AP220" s="1">
        <v>176.0</v>
      </c>
      <c r="AQ220" s="1">
        <v>103.0</v>
      </c>
      <c r="AR220" s="9">
        <f t="shared" si="3"/>
        <v>33.25154959</v>
      </c>
      <c r="AS220" s="7" t="str">
        <f t="shared" si="4"/>
        <v>Ожирение I степени</v>
      </c>
      <c r="AT220" s="1">
        <v>113.0</v>
      </c>
      <c r="AU220" s="1">
        <v>66.0</v>
      </c>
      <c r="AV220" s="9"/>
      <c r="AW220" s="1">
        <v>76.0</v>
      </c>
      <c r="AX220" s="1">
        <v>38.4</v>
      </c>
      <c r="AY220" s="1">
        <v>22.0</v>
      </c>
      <c r="AZ220" s="1">
        <v>87.0</v>
      </c>
      <c r="BA220" s="10" t="str">
        <f t="shared" si="5"/>
        <v>да</v>
      </c>
      <c r="BB220" s="1">
        <v>94.0</v>
      </c>
      <c r="BC220" s="1">
        <v>95.0</v>
      </c>
      <c r="BD220" s="12">
        <f t="shared" si="6"/>
        <v>0.04162679426</v>
      </c>
      <c r="BE220" s="12">
        <f t="shared" si="7"/>
        <v>1</v>
      </c>
      <c r="BF220" s="12">
        <f t="shared" si="8"/>
        <v>6</v>
      </c>
      <c r="BG220" s="1" t="s">
        <v>154</v>
      </c>
      <c r="BH220" s="1" t="s">
        <v>233</v>
      </c>
      <c r="BI220" s="1" t="s">
        <v>154</v>
      </c>
      <c r="BJ220" s="1" t="s">
        <v>659</v>
      </c>
      <c r="BK220" s="1" t="s">
        <v>150</v>
      </c>
      <c r="BL220" s="9"/>
      <c r="BM220" s="1" t="s">
        <v>154</v>
      </c>
      <c r="BN220" s="1" t="s">
        <v>155</v>
      </c>
      <c r="BO220" s="1" t="s">
        <v>154</v>
      </c>
      <c r="BP220" s="1" t="s">
        <v>170</v>
      </c>
      <c r="BQ220" s="9"/>
      <c r="BR220" s="1" t="s">
        <v>154</v>
      </c>
      <c r="BS220" s="1" t="s">
        <v>759</v>
      </c>
      <c r="BT220" s="1" t="s">
        <v>760</v>
      </c>
      <c r="BU220" s="1" t="s">
        <v>195</v>
      </c>
      <c r="BV220" s="1" t="s">
        <v>761</v>
      </c>
      <c r="BW220" s="1" t="s">
        <v>150</v>
      </c>
      <c r="BX220" s="1" t="s">
        <v>154</v>
      </c>
      <c r="BY220" s="1" t="s">
        <v>258</v>
      </c>
      <c r="BZ220" s="1" t="s">
        <v>158</v>
      </c>
      <c r="CA220" s="1" t="s">
        <v>150</v>
      </c>
      <c r="CB220" s="1" t="s">
        <v>150</v>
      </c>
      <c r="CC220" s="1" t="s">
        <v>150</v>
      </c>
      <c r="CD220" s="1" t="s">
        <v>247</v>
      </c>
      <c r="CE220" s="1" t="s">
        <v>150</v>
      </c>
      <c r="CF220" s="1" t="s">
        <v>150</v>
      </c>
      <c r="CG220" s="1" t="s">
        <v>150</v>
      </c>
      <c r="CH220" s="1" t="s">
        <v>150</v>
      </c>
      <c r="CI220" s="1" t="s">
        <v>150</v>
      </c>
      <c r="CJ220" s="1" t="s">
        <v>154</v>
      </c>
      <c r="CK220" s="1" t="s">
        <v>150</v>
      </c>
      <c r="CL220" s="1" t="s">
        <v>762</v>
      </c>
      <c r="CM220" s="1">
        <v>5.6</v>
      </c>
      <c r="CN220" s="1">
        <v>83.0</v>
      </c>
      <c r="CO220" s="7">
        <f t="shared" si="23"/>
        <v>4.648</v>
      </c>
      <c r="CP220" s="1">
        <v>12.8</v>
      </c>
      <c r="CQ220" s="7">
        <f t="shared" si="10"/>
        <v>0.594944</v>
      </c>
      <c r="CR220" s="1">
        <v>4.0</v>
      </c>
      <c r="CS220" s="7">
        <f t="shared" si="11"/>
        <v>0.02379776</v>
      </c>
      <c r="CT220" s="1">
        <v>0.0</v>
      </c>
      <c r="CU220" s="7">
        <f t="shared" si="12"/>
        <v>0</v>
      </c>
      <c r="CV220" s="7">
        <f t="shared" si="13"/>
        <v>7.8125</v>
      </c>
      <c r="CW220" s="1">
        <v>4.75</v>
      </c>
      <c r="CX220" s="1">
        <v>124.0</v>
      </c>
      <c r="CY220" s="7" t="str">
        <f t="shared" si="14"/>
        <v>Легкая степень</v>
      </c>
      <c r="CZ220" s="1">
        <v>24.0</v>
      </c>
      <c r="DA220" s="1">
        <v>148.0</v>
      </c>
      <c r="DB220" s="1">
        <v>78.8</v>
      </c>
      <c r="DC220" s="1">
        <v>24.2</v>
      </c>
      <c r="DD220" s="1">
        <v>92.6</v>
      </c>
      <c r="DE220" s="1"/>
      <c r="DF220" s="1">
        <v>6.0</v>
      </c>
      <c r="DG220" s="1"/>
      <c r="DH220" s="1">
        <v>1.3</v>
      </c>
      <c r="DI220" s="1"/>
      <c r="DJ220" s="1">
        <v>0.0</v>
      </c>
      <c r="DK220" s="1"/>
      <c r="DL220" s="1"/>
      <c r="DM220" s="1">
        <v>4.72</v>
      </c>
      <c r="DN220" s="1">
        <v>124.0</v>
      </c>
      <c r="DO220" s="7" t="str">
        <f t="shared" si="15"/>
        <v>Легкая степень</v>
      </c>
      <c r="DP220" s="1">
        <v>22.0</v>
      </c>
      <c r="DQ220" s="1">
        <v>185.0</v>
      </c>
      <c r="DR220" s="1">
        <v>35.6</v>
      </c>
      <c r="DS220" s="1">
        <v>644.0</v>
      </c>
      <c r="DT220" s="1">
        <v>23.0</v>
      </c>
      <c r="DU220" s="1">
        <v>15.5</v>
      </c>
      <c r="DV220" s="1">
        <v>1.32</v>
      </c>
      <c r="DW220" s="1" t="s">
        <v>458</v>
      </c>
      <c r="DX220" s="1">
        <v>349.0</v>
      </c>
      <c r="DY220" s="1">
        <v>67.3</v>
      </c>
      <c r="DZ220" s="1">
        <v>15.1</v>
      </c>
      <c r="EA220" s="1">
        <v>1.29</v>
      </c>
      <c r="EB220" s="1"/>
      <c r="EC220" s="1">
        <v>5.42</v>
      </c>
      <c r="ED220" s="1">
        <v>11.44</v>
      </c>
      <c r="EE220" s="1">
        <v>117.8</v>
      </c>
      <c r="EF220" s="1">
        <v>101.5</v>
      </c>
      <c r="EG220" s="1">
        <v>69.3</v>
      </c>
      <c r="EH220" s="1">
        <v>16.7</v>
      </c>
      <c r="EI220" s="1">
        <v>10.4</v>
      </c>
      <c r="EJ220" s="1">
        <v>85.0</v>
      </c>
      <c r="EK220" s="34">
        <f t="shared" si="16"/>
        <v>75.67827076</v>
      </c>
      <c r="EL220" s="11" t="str">
        <f t="shared" si="17"/>
        <v>C2</v>
      </c>
      <c r="EM220" s="1">
        <v>138.0</v>
      </c>
      <c r="EN220" s="1">
        <v>4.46</v>
      </c>
      <c r="EO220" s="1">
        <v>135.4</v>
      </c>
      <c r="EP220" s="1">
        <v>205.2</v>
      </c>
      <c r="EQ220" s="1">
        <v>46.5</v>
      </c>
      <c r="ER220" s="1">
        <v>10.2</v>
      </c>
      <c r="ES220" s="1">
        <v>7.8</v>
      </c>
      <c r="ET220" s="1">
        <v>661.0</v>
      </c>
      <c r="EU220" s="11">
        <f t="shared" si="18"/>
        <v>6.338917749</v>
      </c>
      <c r="EV220" s="11" t="str">
        <f t="shared" si="19"/>
        <v>C5</v>
      </c>
      <c r="EW220" s="1">
        <v>141.5</v>
      </c>
      <c r="EX220" s="1">
        <v>5.7</v>
      </c>
      <c r="EY220" s="9">
        <f t="shared" si="20"/>
        <v>1.007812924</v>
      </c>
      <c r="EZ220" s="9">
        <f t="shared" si="21"/>
        <v>0.2674080832</v>
      </c>
      <c r="FA220" s="9" t="str">
        <f t="shared" si="22"/>
        <v>Благоприятный</v>
      </c>
      <c r="FB220" s="1" t="s">
        <v>256</v>
      </c>
      <c r="FC220" s="39" t="s">
        <v>445</v>
      </c>
    </row>
    <row r="221">
      <c r="A221" s="7">
        <v>220.0</v>
      </c>
      <c r="B221" s="38">
        <v>35.0</v>
      </c>
      <c r="C221" s="7">
        <v>6846.0</v>
      </c>
      <c r="D221" s="39" t="s">
        <v>445</v>
      </c>
      <c r="E221" s="1">
        <v>50.0</v>
      </c>
      <c r="F221" s="1" t="s">
        <v>149</v>
      </c>
      <c r="G221" s="1"/>
      <c r="H221" s="1">
        <v>22.0</v>
      </c>
      <c r="I221" s="1" t="s">
        <v>150</v>
      </c>
      <c r="J221" s="1" t="s">
        <v>150</v>
      </c>
      <c r="K221" s="9"/>
      <c r="L221" s="1" t="s">
        <v>150</v>
      </c>
      <c r="M221" s="1" t="s">
        <v>154</v>
      </c>
      <c r="N221" s="1" t="s">
        <v>657</v>
      </c>
      <c r="O221" s="1" t="s">
        <v>154</v>
      </c>
      <c r="P221" s="1" t="s">
        <v>150</v>
      </c>
      <c r="Q221" s="1" t="s">
        <v>154</v>
      </c>
      <c r="R221" s="1">
        <v>1.0</v>
      </c>
      <c r="S221" s="1" t="s">
        <v>150</v>
      </c>
      <c r="T221" s="9"/>
      <c r="U221" s="9"/>
      <c r="V221" s="1"/>
      <c r="W221" s="9"/>
      <c r="X221" s="9"/>
      <c r="Y221" s="1" t="s">
        <v>150</v>
      </c>
      <c r="Z221" s="9"/>
      <c r="AA221" s="9"/>
      <c r="AB221" s="9"/>
      <c r="AC221" s="9"/>
      <c r="AD221" s="1" t="s">
        <v>743</v>
      </c>
      <c r="AE221" s="1" t="s">
        <v>154</v>
      </c>
      <c r="AF221" s="1">
        <v>22.0</v>
      </c>
      <c r="AG221" s="1" t="s">
        <v>635</v>
      </c>
      <c r="AH221" s="1" t="s">
        <v>154</v>
      </c>
      <c r="AI221" s="1" t="s">
        <v>630</v>
      </c>
      <c r="AJ221" s="1">
        <v>3.0</v>
      </c>
      <c r="AK221" s="1" t="s">
        <v>5</v>
      </c>
      <c r="AL221" s="1" t="s">
        <v>150</v>
      </c>
      <c r="AM221" s="1"/>
      <c r="AN221" s="1">
        <v>15.0</v>
      </c>
      <c r="AO221" s="1" t="str">
        <f t="shared" si="2"/>
        <v>нет</v>
      </c>
      <c r="AP221" s="1">
        <v>170.0</v>
      </c>
      <c r="AQ221" s="1">
        <v>110.0</v>
      </c>
      <c r="AR221" s="9">
        <f t="shared" si="3"/>
        <v>38.06228374</v>
      </c>
      <c r="AS221" s="7" t="str">
        <f t="shared" si="4"/>
        <v>Ожирение II степени</v>
      </c>
      <c r="AT221" s="1">
        <v>137.0</v>
      </c>
      <c r="AU221" s="1">
        <v>82.0</v>
      </c>
      <c r="AV221" s="9"/>
      <c r="AW221" s="1">
        <v>76.0</v>
      </c>
      <c r="AX221" s="1">
        <v>38.9</v>
      </c>
      <c r="AY221" s="1">
        <v>20.0</v>
      </c>
      <c r="AZ221" s="1">
        <v>94.0</v>
      </c>
      <c r="BA221" s="10" t="str">
        <f t="shared" si="5"/>
        <v>да</v>
      </c>
      <c r="BB221" s="1">
        <v>93.0</v>
      </c>
      <c r="BC221" s="1">
        <v>100.0</v>
      </c>
      <c r="BD221" s="12">
        <f t="shared" si="6"/>
        <v>0.047</v>
      </c>
      <c r="BE221" s="12">
        <v>5.0</v>
      </c>
      <c r="BF221" s="12">
        <f t="shared" si="8"/>
        <v>2</v>
      </c>
      <c r="BG221" s="1" t="s">
        <v>150</v>
      </c>
      <c r="BH221" s="9"/>
      <c r="BI221" s="1" t="s">
        <v>154</v>
      </c>
      <c r="BJ221" s="1" t="s">
        <v>754</v>
      </c>
      <c r="BK221" s="1" t="s">
        <v>150</v>
      </c>
      <c r="BL221" s="9"/>
      <c r="BM221" s="1" t="s">
        <v>154</v>
      </c>
      <c r="BN221" s="1" t="s">
        <v>448</v>
      </c>
      <c r="BO221" s="1" t="s">
        <v>150</v>
      </c>
      <c r="BP221" s="9"/>
      <c r="BQ221" s="9"/>
      <c r="BR221" s="1" t="s">
        <v>154</v>
      </c>
      <c r="BS221" s="1" t="s">
        <v>174</v>
      </c>
      <c r="BT221" s="1" t="s">
        <v>681</v>
      </c>
      <c r="BU221" s="1" t="s">
        <v>157</v>
      </c>
      <c r="BV221" s="1" t="s">
        <v>698</v>
      </c>
      <c r="BW221" s="1" t="s">
        <v>150</v>
      </c>
      <c r="BX221" s="1" t="s">
        <v>154</v>
      </c>
      <c r="BY221" s="1" t="s">
        <v>239</v>
      </c>
      <c r="BZ221" s="1" t="s">
        <v>158</v>
      </c>
      <c r="CA221" s="1" t="s">
        <v>167</v>
      </c>
      <c r="CB221" s="1" t="s">
        <v>150</v>
      </c>
      <c r="CC221" s="1" t="s">
        <v>150</v>
      </c>
      <c r="CD221" s="1" t="s">
        <v>212</v>
      </c>
      <c r="CE221" s="1" t="s">
        <v>150</v>
      </c>
      <c r="CF221" s="1" t="s">
        <v>150</v>
      </c>
      <c r="CG221" s="1" t="s">
        <v>150</v>
      </c>
      <c r="CH221" s="1" t="s">
        <v>150</v>
      </c>
      <c r="CI221" s="1" t="s">
        <v>150</v>
      </c>
      <c r="CJ221" s="1" t="s">
        <v>154</v>
      </c>
      <c r="CK221" s="1" t="s">
        <v>150</v>
      </c>
      <c r="CL221" s="1" t="s">
        <v>763</v>
      </c>
      <c r="CM221" s="1">
        <v>3.5</v>
      </c>
      <c r="CN221" s="1">
        <v>77.2</v>
      </c>
      <c r="CO221" s="7">
        <f t="shared" si="23"/>
        <v>2.702</v>
      </c>
      <c r="CP221" s="1">
        <v>13.3</v>
      </c>
      <c r="CQ221" s="7">
        <f t="shared" si="10"/>
        <v>0.359366</v>
      </c>
      <c r="CR221" s="1">
        <v>9.3</v>
      </c>
      <c r="CS221" s="7">
        <f t="shared" si="11"/>
        <v>0.033421038</v>
      </c>
      <c r="CT221" s="1">
        <v>0.1</v>
      </c>
      <c r="CU221" s="7">
        <f t="shared" si="12"/>
        <v>0.000033421038</v>
      </c>
      <c r="CV221" s="7">
        <f t="shared" si="13"/>
        <v>7.518796992</v>
      </c>
      <c r="CW221" s="1">
        <v>5.11</v>
      </c>
      <c r="CX221" s="1">
        <v>154.0</v>
      </c>
      <c r="CY221" s="7" t="str">
        <f t="shared" si="14"/>
        <v>Норма</v>
      </c>
      <c r="CZ221" s="1">
        <v>7.0</v>
      </c>
      <c r="DA221" s="1">
        <v>79.0</v>
      </c>
      <c r="DB221" s="1">
        <v>79.6</v>
      </c>
      <c r="DC221" s="1">
        <v>7.4</v>
      </c>
      <c r="DD221" s="1">
        <v>91.8</v>
      </c>
      <c r="DE221" s="1"/>
      <c r="DF221" s="1">
        <v>1.9</v>
      </c>
      <c r="DG221" s="1"/>
      <c r="DH221" s="1">
        <v>9.3</v>
      </c>
      <c r="DI221" s="1"/>
      <c r="DJ221" s="1">
        <v>0.0</v>
      </c>
      <c r="DK221" s="1"/>
      <c r="DL221" s="1"/>
      <c r="DM221" s="1">
        <v>4.23</v>
      </c>
      <c r="DN221" s="1">
        <v>129.0</v>
      </c>
      <c r="DO221" s="7" t="str">
        <f t="shared" si="15"/>
        <v>Легкая степень</v>
      </c>
      <c r="DP221" s="1">
        <v>74.0</v>
      </c>
      <c r="DQ221" s="1">
        <v>93.0</v>
      </c>
      <c r="DR221" s="1">
        <v>121.2</v>
      </c>
      <c r="DS221" s="1">
        <v>589.0</v>
      </c>
      <c r="DT221" s="6" t="s">
        <v>640</v>
      </c>
      <c r="DU221" s="1">
        <v>13.1</v>
      </c>
      <c r="DV221" s="1">
        <v>1.12</v>
      </c>
      <c r="DW221" s="6" t="s">
        <v>640</v>
      </c>
      <c r="DX221" s="1">
        <v>345.0</v>
      </c>
      <c r="DY221" s="1">
        <v>28.2</v>
      </c>
      <c r="DZ221" s="1">
        <v>12.4</v>
      </c>
      <c r="EA221" s="1">
        <v>1.2</v>
      </c>
      <c r="EB221" s="1"/>
      <c r="EC221" s="1">
        <v>8.1</v>
      </c>
      <c r="ED221" s="1">
        <v>16.1</v>
      </c>
      <c r="EE221" s="1">
        <v>71.3</v>
      </c>
      <c r="EF221" s="1">
        <v>86.3</v>
      </c>
      <c r="EG221" s="1">
        <v>79.1</v>
      </c>
      <c r="EH221" s="1">
        <v>12.1</v>
      </c>
      <c r="EI221" s="1">
        <v>5.6</v>
      </c>
      <c r="EJ221" s="1">
        <v>118.0</v>
      </c>
      <c r="EK221" s="34">
        <f t="shared" si="16"/>
        <v>46.45939657</v>
      </c>
      <c r="EL221" s="11" t="str">
        <f t="shared" si="17"/>
        <v>C3a</v>
      </c>
      <c r="EM221" s="1">
        <v>125.3</v>
      </c>
      <c r="EN221" s="1">
        <v>3.36</v>
      </c>
      <c r="EO221" s="1">
        <v>67.9</v>
      </c>
      <c r="EP221" s="1">
        <v>26.3</v>
      </c>
      <c r="EQ221" s="1">
        <v>59.4</v>
      </c>
      <c r="ER221" s="1">
        <v>16.7</v>
      </c>
      <c r="ES221" s="1">
        <v>4.2</v>
      </c>
      <c r="ET221" s="1">
        <v>208.0</v>
      </c>
      <c r="EU221" s="11">
        <f t="shared" si="18"/>
        <v>23.41209833</v>
      </c>
      <c r="EV221" s="11" t="str">
        <f t="shared" si="19"/>
        <v>C4</v>
      </c>
      <c r="EW221" s="1">
        <v>136.0</v>
      </c>
      <c r="EX221" s="1">
        <v>5.76</v>
      </c>
      <c r="EY221" s="9">
        <f t="shared" si="20"/>
        <v>0.7183116609</v>
      </c>
      <c r="EZ221" s="9">
        <f t="shared" si="21"/>
        <v>0.327764875</v>
      </c>
      <c r="FA221" s="9" t="str">
        <f t="shared" si="22"/>
        <v>Благоприятный</v>
      </c>
      <c r="FB221" s="1" t="s">
        <v>256</v>
      </c>
      <c r="FC221" s="39" t="s">
        <v>445</v>
      </c>
    </row>
    <row r="222">
      <c r="A222" s="7">
        <v>221.0</v>
      </c>
      <c r="B222" s="38">
        <v>36.0</v>
      </c>
      <c r="C222" s="7">
        <v>8228.0</v>
      </c>
      <c r="D222" s="39" t="s">
        <v>445</v>
      </c>
      <c r="E222" s="1">
        <v>60.0</v>
      </c>
      <c r="F222" s="1" t="s">
        <v>161</v>
      </c>
      <c r="G222" s="1" t="s">
        <v>150</v>
      </c>
      <c r="H222" s="1">
        <v>3.0</v>
      </c>
      <c r="I222" s="1" t="s">
        <v>150</v>
      </c>
      <c r="J222" s="1" t="s">
        <v>150</v>
      </c>
      <c r="K222" s="9"/>
      <c r="L222" s="1" t="s">
        <v>154</v>
      </c>
      <c r="M222" s="1" t="s">
        <v>154</v>
      </c>
      <c r="N222" s="1" t="s">
        <v>628</v>
      </c>
      <c r="O222" s="1" t="s">
        <v>154</v>
      </c>
      <c r="P222" s="1" t="s">
        <v>154</v>
      </c>
      <c r="Q222" s="1" t="s">
        <v>154</v>
      </c>
      <c r="R222" s="1">
        <v>3.0</v>
      </c>
      <c r="S222" s="1" t="s">
        <v>150</v>
      </c>
      <c r="T222" s="9"/>
      <c r="U222" s="1" t="s">
        <v>764</v>
      </c>
      <c r="V222" s="15">
        <v>1.0</v>
      </c>
      <c r="W222" s="30"/>
      <c r="X222" s="9"/>
      <c r="Y222" s="1" t="s">
        <v>150</v>
      </c>
      <c r="Z222" s="9"/>
      <c r="AA222" s="9"/>
      <c r="AB222" s="9"/>
      <c r="AC222" s="9"/>
      <c r="AD222" s="1" t="s">
        <v>765</v>
      </c>
      <c r="AE222" s="1" t="s">
        <v>154</v>
      </c>
      <c r="AF222" s="1">
        <v>2.0</v>
      </c>
      <c r="AG222" s="1" t="s">
        <v>635</v>
      </c>
      <c r="AH222" s="1" t="s">
        <v>154</v>
      </c>
      <c r="AI222" s="1" t="s">
        <v>619</v>
      </c>
      <c r="AJ222" s="1">
        <v>2.0</v>
      </c>
      <c r="AK222" s="1" t="s">
        <v>641</v>
      </c>
      <c r="AL222" s="1" t="s">
        <v>150</v>
      </c>
      <c r="AM222" s="1"/>
      <c r="AN222" s="1">
        <v>15.0</v>
      </c>
      <c r="AO222" s="1" t="str">
        <f t="shared" si="2"/>
        <v>нет</v>
      </c>
      <c r="AP222" s="1">
        <v>158.0</v>
      </c>
      <c r="AQ222" s="1">
        <v>105.0</v>
      </c>
      <c r="AR222" s="9">
        <f t="shared" si="3"/>
        <v>42.06056722</v>
      </c>
      <c r="AS222" s="7" t="str">
        <f t="shared" si="4"/>
        <v>Ожирение III степени (морбидное)</v>
      </c>
      <c r="AT222" s="1">
        <v>101.0</v>
      </c>
      <c r="AU222" s="1">
        <v>62.0</v>
      </c>
      <c r="AV222" s="9"/>
      <c r="AW222" s="1">
        <v>100.0</v>
      </c>
      <c r="AX222" s="1">
        <v>37.9</v>
      </c>
      <c r="AY222" s="1">
        <v>24.0</v>
      </c>
      <c r="AZ222" s="1">
        <v>70.0</v>
      </c>
      <c r="BA222" s="10" t="str">
        <f t="shared" si="5"/>
        <v>да</v>
      </c>
      <c r="BB222" s="1">
        <v>93.0</v>
      </c>
      <c r="BC222" s="1">
        <v>95.0</v>
      </c>
      <c r="BD222" s="12">
        <f t="shared" si="6"/>
        <v>0.03070175439</v>
      </c>
      <c r="BE222" s="12">
        <f t="shared" ref="BE222:BE225" si="34">IF(AY222&gt;=22,1,0)+IF(AO222="да",1,0)+IF(AT222&lt;=100,1,0)</f>
        <v>1</v>
      </c>
      <c r="BF222" s="12">
        <f t="shared" si="8"/>
        <v>7</v>
      </c>
      <c r="BG222" s="1" t="s">
        <v>652</v>
      </c>
      <c r="BH222" s="1"/>
      <c r="BI222" s="1" t="s">
        <v>154</v>
      </c>
      <c r="BJ222" s="1" t="s">
        <v>175</v>
      </c>
      <c r="BK222" s="1" t="s">
        <v>150</v>
      </c>
      <c r="BL222" s="9"/>
      <c r="BM222" s="1" t="s">
        <v>154</v>
      </c>
      <c r="BN222" s="1" t="s">
        <v>495</v>
      </c>
      <c r="BO222" s="1" t="s">
        <v>150</v>
      </c>
      <c r="BP222" s="9"/>
      <c r="BQ222" s="9"/>
      <c r="BR222" s="1" t="s">
        <v>154</v>
      </c>
      <c r="BS222" s="1" t="s">
        <v>766</v>
      </c>
      <c r="BT222" s="1" t="s">
        <v>767</v>
      </c>
      <c r="BU222" s="1" t="s">
        <v>170</v>
      </c>
      <c r="BV222" s="1">
        <v>48.0</v>
      </c>
      <c r="BW222" s="1" t="s">
        <v>154</v>
      </c>
      <c r="BX222" s="1" t="s">
        <v>154</v>
      </c>
      <c r="BY222" s="1" t="s">
        <v>173</v>
      </c>
      <c r="BZ222" s="1" t="s">
        <v>150</v>
      </c>
      <c r="CA222" s="1" t="s">
        <v>167</v>
      </c>
      <c r="CB222" s="1" t="s">
        <v>150</v>
      </c>
      <c r="CC222" s="1" t="s">
        <v>150</v>
      </c>
      <c r="CD222" s="1" t="s">
        <v>150</v>
      </c>
      <c r="CE222" s="1" t="s">
        <v>177</v>
      </c>
      <c r="CF222" s="1" t="s">
        <v>150</v>
      </c>
      <c r="CG222" s="1" t="s">
        <v>150</v>
      </c>
      <c r="CH222" s="1" t="s">
        <v>150</v>
      </c>
      <c r="CI222" s="1" t="s">
        <v>150</v>
      </c>
      <c r="CJ222" s="1" t="s">
        <v>150</v>
      </c>
      <c r="CK222" s="1" t="s">
        <v>150</v>
      </c>
      <c r="CL222" s="1" t="s">
        <v>150</v>
      </c>
      <c r="CM222" s="1">
        <v>9.4</v>
      </c>
      <c r="CN222" s="1">
        <v>91.4</v>
      </c>
      <c r="CO222" s="7">
        <f t="shared" si="23"/>
        <v>8.5916</v>
      </c>
      <c r="CP222" s="1">
        <v>3.8</v>
      </c>
      <c r="CQ222" s="7">
        <f t="shared" si="10"/>
        <v>0.3264808</v>
      </c>
      <c r="CR222" s="1">
        <v>4.6</v>
      </c>
      <c r="CS222" s="7">
        <f t="shared" si="11"/>
        <v>0.0150181168</v>
      </c>
      <c r="CT222" s="1">
        <v>0.0</v>
      </c>
      <c r="CU222" s="7">
        <f t="shared" si="12"/>
        <v>0</v>
      </c>
      <c r="CV222" s="7">
        <f t="shared" si="13"/>
        <v>26.31578947</v>
      </c>
      <c r="CW222" s="1">
        <v>4.02</v>
      </c>
      <c r="CX222" s="1">
        <v>102.0</v>
      </c>
      <c r="CY222" s="7" t="str">
        <f t="shared" si="14"/>
        <v>Средняя степень</v>
      </c>
      <c r="CZ222" s="6" t="s">
        <v>640</v>
      </c>
      <c r="DA222" s="1">
        <v>307.0</v>
      </c>
      <c r="DB222" s="6" t="s">
        <v>640</v>
      </c>
      <c r="DC222" s="6" t="s">
        <v>640</v>
      </c>
      <c r="DD222" s="6" t="s">
        <v>640</v>
      </c>
      <c r="DE222" s="6" t="s">
        <v>640</v>
      </c>
      <c r="DF222" s="6" t="s">
        <v>640</v>
      </c>
      <c r="DG222" s="6" t="s">
        <v>640</v>
      </c>
      <c r="DH222" s="6" t="s">
        <v>640</v>
      </c>
      <c r="DI222" s="6" t="s">
        <v>640</v>
      </c>
      <c r="DJ222" s="6" t="s">
        <v>640</v>
      </c>
      <c r="DK222" s="6" t="s">
        <v>640</v>
      </c>
      <c r="DL222" s="6" t="s">
        <v>640</v>
      </c>
      <c r="DM222" s="6" t="s">
        <v>640</v>
      </c>
      <c r="DN222" s="6" t="s">
        <v>640</v>
      </c>
      <c r="DO222" s="7" t="str">
        <f t="shared" si="15"/>
        <v>Норма</v>
      </c>
      <c r="DP222" s="6" t="s">
        <v>640</v>
      </c>
      <c r="DQ222" s="6" t="s">
        <v>640</v>
      </c>
      <c r="DR222" s="6" t="s">
        <v>640</v>
      </c>
      <c r="DS222" s="1">
        <v>660.0</v>
      </c>
      <c r="DT222" s="1">
        <v>26.5</v>
      </c>
      <c r="DU222" s="1">
        <v>12.5</v>
      </c>
      <c r="DV222" s="1">
        <v>1.068</v>
      </c>
      <c r="DW222" s="6" t="s">
        <v>640</v>
      </c>
      <c r="DX222" s="6" t="s">
        <v>640</v>
      </c>
      <c r="DY222" s="6" t="s">
        <v>640</v>
      </c>
      <c r="DZ222" s="6" t="s">
        <v>640</v>
      </c>
      <c r="EA222" s="6" t="s">
        <v>640</v>
      </c>
      <c r="EB222" s="1"/>
      <c r="EC222" s="1">
        <v>27.52</v>
      </c>
      <c r="ED222" s="6" t="s">
        <v>640</v>
      </c>
      <c r="EE222" s="1">
        <v>19.51</v>
      </c>
      <c r="EF222" s="1">
        <v>37.03</v>
      </c>
      <c r="EG222" s="1">
        <v>65.3</v>
      </c>
      <c r="EH222" s="1">
        <v>6.99</v>
      </c>
      <c r="EI222" s="1">
        <v>1.56</v>
      </c>
      <c r="EJ222" s="1">
        <v>134.28</v>
      </c>
      <c r="EK222" s="34">
        <f t="shared" si="16"/>
        <v>37.04296109</v>
      </c>
      <c r="EL222" s="11" t="str">
        <f t="shared" si="17"/>
        <v>C3b</v>
      </c>
      <c r="EM222" s="1">
        <v>134.5</v>
      </c>
      <c r="EN222" s="1">
        <v>4.62</v>
      </c>
      <c r="EO222" s="6" t="s">
        <v>640</v>
      </c>
      <c r="EP222" s="6" t="s">
        <v>640</v>
      </c>
      <c r="EQ222" s="6" t="s">
        <v>640</v>
      </c>
      <c r="ER222" s="6" t="s">
        <v>640</v>
      </c>
      <c r="ES222" s="6" t="s">
        <v>640</v>
      </c>
      <c r="ET222" s="6" t="s">
        <v>640</v>
      </c>
      <c r="EU222" s="11" t="str">
        <f t="shared" si="18"/>
        <v>#VALUE!</v>
      </c>
      <c r="EV222" s="11" t="str">
        <f t="shared" si="19"/>
        <v>#VALUE!</v>
      </c>
      <c r="EW222" s="6" t="s">
        <v>640</v>
      </c>
      <c r="EX222" s="6" t="s">
        <v>640</v>
      </c>
      <c r="EY222" s="9">
        <f t="shared" si="20"/>
        <v>-1.720371648</v>
      </c>
      <c r="EZ222" s="9">
        <f t="shared" si="21"/>
        <v>0.8481767008</v>
      </c>
      <c r="FA222" s="9" t="str">
        <f t="shared" si="22"/>
        <v>Неблагоприятный</v>
      </c>
      <c r="FB222" s="1" t="s">
        <v>150</v>
      </c>
      <c r="FC222" s="39" t="s">
        <v>445</v>
      </c>
    </row>
    <row r="223">
      <c r="A223" s="7">
        <v>222.0</v>
      </c>
      <c r="B223" s="38">
        <v>37.0</v>
      </c>
      <c r="C223" s="7">
        <v>7440.0</v>
      </c>
      <c r="D223" s="39" t="s">
        <v>445</v>
      </c>
      <c r="E223" s="1">
        <v>65.0</v>
      </c>
      <c r="F223" s="1" t="s">
        <v>149</v>
      </c>
      <c r="G223" s="1"/>
      <c r="H223" s="1">
        <v>6.0</v>
      </c>
      <c r="I223" s="1" t="s">
        <v>150</v>
      </c>
      <c r="J223" s="1" t="s">
        <v>150</v>
      </c>
      <c r="K223" s="9"/>
      <c r="L223" s="1" t="s">
        <v>150</v>
      </c>
      <c r="M223" s="1" t="s">
        <v>150</v>
      </c>
      <c r="N223" s="9"/>
      <c r="O223" s="1" t="str">
        <f t="shared" ref="O223:O225" si="35">IF(EC223&gt;=6.1,IF(EC223&lt;7,"да","нет"),"нет")</f>
        <v>да</v>
      </c>
      <c r="P223" s="1" t="s">
        <v>150</v>
      </c>
      <c r="Q223" s="1" t="s">
        <v>154</v>
      </c>
      <c r="R223" s="1">
        <v>3.0</v>
      </c>
      <c r="S223" s="1" t="s">
        <v>154</v>
      </c>
      <c r="T223" s="1" t="s">
        <v>768</v>
      </c>
      <c r="W223" s="1">
        <v>2.0</v>
      </c>
      <c r="X223" s="9"/>
      <c r="Y223" s="1" t="s">
        <v>150</v>
      </c>
      <c r="Z223" s="9"/>
      <c r="AA223" s="9"/>
      <c r="AB223" s="9"/>
      <c r="AC223" s="9"/>
      <c r="AD223" s="1" t="s">
        <v>769</v>
      </c>
      <c r="AE223" s="1" t="s">
        <v>154</v>
      </c>
      <c r="AF223" s="1">
        <v>2.0</v>
      </c>
      <c r="AG223" s="1" t="s">
        <v>635</v>
      </c>
      <c r="AH223" s="1" t="s">
        <v>154</v>
      </c>
      <c r="AI223" s="1" t="s">
        <v>619</v>
      </c>
      <c r="AJ223" s="1">
        <v>3.0</v>
      </c>
      <c r="AK223" s="1" t="s">
        <v>5</v>
      </c>
      <c r="AL223" s="1" t="s">
        <v>150</v>
      </c>
      <c r="AM223" s="1"/>
      <c r="AN223" s="1">
        <v>15.0</v>
      </c>
      <c r="AO223" s="1" t="str">
        <f t="shared" si="2"/>
        <v>нет</v>
      </c>
      <c r="AP223" s="1">
        <v>183.0</v>
      </c>
      <c r="AQ223" s="1">
        <v>95.0</v>
      </c>
      <c r="AR223" s="9">
        <f t="shared" si="3"/>
        <v>28.36752366</v>
      </c>
      <c r="AS223" s="7" t="str">
        <f t="shared" si="4"/>
        <v>Избыточный вес (предожирение)</v>
      </c>
      <c r="AT223" s="1">
        <v>106.0</v>
      </c>
      <c r="AU223" s="1">
        <v>78.0</v>
      </c>
      <c r="AV223" s="9"/>
      <c r="AW223" s="1">
        <v>75.0</v>
      </c>
      <c r="AX223" s="1">
        <v>37.2</v>
      </c>
      <c r="AY223" s="1">
        <v>22.0</v>
      </c>
      <c r="AZ223" s="1">
        <v>90.0</v>
      </c>
      <c r="BA223" s="10" t="str">
        <f t="shared" si="5"/>
        <v>да</v>
      </c>
      <c r="BB223" s="1">
        <v>95.0</v>
      </c>
      <c r="BC223" s="1">
        <v>50.0</v>
      </c>
      <c r="BD223" s="12">
        <f t="shared" si="6"/>
        <v>0.08181818182</v>
      </c>
      <c r="BE223" s="12">
        <f t="shared" si="34"/>
        <v>1</v>
      </c>
      <c r="BF223" s="12">
        <f t="shared" si="8"/>
        <v>6</v>
      </c>
      <c r="BG223" s="1" t="s">
        <v>154</v>
      </c>
      <c r="BH223" s="1" t="s">
        <v>163</v>
      </c>
      <c r="BI223" s="1" t="s">
        <v>154</v>
      </c>
      <c r="BJ223" s="1" t="s">
        <v>237</v>
      </c>
      <c r="BK223" s="1" t="s">
        <v>150</v>
      </c>
      <c r="BL223" s="9"/>
      <c r="BM223" s="1" t="s">
        <v>154</v>
      </c>
      <c r="BN223" s="1" t="s">
        <v>495</v>
      </c>
      <c r="BO223" s="1" t="s">
        <v>154</v>
      </c>
      <c r="BP223" s="1" t="s">
        <v>157</v>
      </c>
      <c r="BQ223" s="9"/>
      <c r="BR223" s="1" t="s">
        <v>154</v>
      </c>
      <c r="BS223" s="1" t="s">
        <v>174</v>
      </c>
      <c r="BT223" s="1" t="s">
        <v>503</v>
      </c>
      <c r="BU223" s="1" t="s">
        <v>195</v>
      </c>
      <c r="BV223" s="1" t="s">
        <v>770</v>
      </c>
      <c r="BW223" s="1" t="s">
        <v>150</v>
      </c>
      <c r="BX223" s="1" t="s">
        <v>154</v>
      </c>
      <c r="BY223" s="1" t="s">
        <v>275</v>
      </c>
      <c r="BZ223" s="1" t="s">
        <v>158</v>
      </c>
      <c r="CA223" s="1" t="s">
        <v>176</v>
      </c>
      <c r="CB223" s="1" t="s">
        <v>150</v>
      </c>
      <c r="CC223" s="1" t="s">
        <v>150</v>
      </c>
      <c r="CD223" s="1" t="s">
        <v>150</v>
      </c>
      <c r="CE223" s="1" t="s">
        <v>177</v>
      </c>
      <c r="CF223" s="1" t="s">
        <v>150</v>
      </c>
      <c r="CG223" s="1" t="s">
        <v>150</v>
      </c>
      <c r="CH223" s="1" t="s">
        <v>150</v>
      </c>
      <c r="CI223" s="1" t="s">
        <v>150</v>
      </c>
      <c r="CJ223" s="1" t="s">
        <v>154</v>
      </c>
      <c r="CK223" s="1" t="s">
        <v>150</v>
      </c>
      <c r="CL223" s="1" t="s">
        <v>771</v>
      </c>
      <c r="CM223" s="1">
        <v>4.4</v>
      </c>
      <c r="CN223" s="1">
        <v>77.3</v>
      </c>
      <c r="CO223" s="7">
        <f t="shared" si="23"/>
        <v>3.4012</v>
      </c>
      <c r="CP223" s="1">
        <v>12.8</v>
      </c>
      <c r="CQ223" s="7">
        <f t="shared" si="10"/>
        <v>0.4353536</v>
      </c>
      <c r="CR223" s="1">
        <v>9.7</v>
      </c>
      <c r="CS223" s="7">
        <f t="shared" si="11"/>
        <v>0.0422292992</v>
      </c>
      <c r="CT223" s="1">
        <v>0.0</v>
      </c>
      <c r="CU223" s="7">
        <f t="shared" si="12"/>
        <v>0</v>
      </c>
      <c r="CV223" s="7">
        <f t="shared" si="13"/>
        <v>7.8125</v>
      </c>
      <c r="CW223" s="1">
        <v>5.0</v>
      </c>
      <c r="CX223" s="1">
        <v>146.0</v>
      </c>
      <c r="CY223" s="7" t="str">
        <f t="shared" si="14"/>
        <v>Норма</v>
      </c>
      <c r="CZ223" s="6" t="s">
        <v>640</v>
      </c>
      <c r="DA223" s="1">
        <v>127.0</v>
      </c>
      <c r="DB223" s="1">
        <v>53.6</v>
      </c>
      <c r="DC223" s="1">
        <v>8.7</v>
      </c>
      <c r="DD223" s="1">
        <v>92.8</v>
      </c>
      <c r="DE223" s="1"/>
      <c r="DF223" s="1">
        <v>3.5</v>
      </c>
      <c r="DG223" s="1"/>
      <c r="DH223" s="1">
        <v>9.7</v>
      </c>
      <c r="DI223" s="1"/>
      <c r="DJ223" s="1">
        <v>0.1</v>
      </c>
      <c r="DK223" s="1"/>
      <c r="DL223" s="1"/>
      <c r="DM223" s="1">
        <v>4.66</v>
      </c>
      <c r="DN223" s="1">
        <v>134.0</v>
      </c>
      <c r="DO223" s="7" t="str">
        <f t="shared" si="15"/>
        <v>Норма</v>
      </c>
      <c r="DP223" s="9"/>
      <c r="DQ223" s="1">
        <v>173.0</v>
      </c>
      <c r="DR223" s="6" t="s">
        <v>640</v>
      </c>
      <c r="DS223" s="1">
        <v>680.0</v>
      </c>
      <c r="DT223" s="6" t="s">
        <v>640</v>
      </c>
      <c r="DU223" s="1">
        <v>14.4</v>
      </c>
      <c r="DV223" s="1">
        <v>1.23</v>
      </c>
      <c r="DW223" s="1" t="s">
        <v>473</v>
      </c>
      <c r="DX223" s="1">
        <v>492.0</v>
      </c>
      <c r="DY223" s="1">
        <v>22.6</v>
      </c>
      <c r="DZ223" s="1">
        <v>18.7</v>
      </c>
      <c r="EA223" s="1">
        <v>1.6</v>
      </c>
      <c r="EB223" s="1"/>
      <c r="EC223" s="1">
        <v>6.39</v>
      </c>
      <c r="ED223" s="1">
        <v>5.69</v>
      </c>
      <c r="EE223" s="1">
        <v>38.7</v>
      </c>
      <c r="EF223" s="1">
        <v>64.3</v>
      </c>
      <c r="EG223" s="1">
        <v>80.4</v>
      </c>
      <c r="EH223" s="1">
        <v>8.6</v>
      </c>
      <c r="EI223" s="1">
        <v>4.6</v>
      </c>
      <c r="EJ223" s="1">
        <v>143.0</v>
      </c>
      <c r="EK223" s="34">
        <f t="shared" si="16"/>
        <v>33.14487379</v>
      </c>
      <c r="EL223" s="11" t="str">
        <f t="shared" si="17"/>
        <v>C3b</v>
      </c>
      <c r="EM223" s="1">
        <v>152.0</v>
      </c>
      <c r="EN223" s="1">
        <v>4.4</v>
      </c>
      <c r="EO223" s="1">
        <v>561.9</v>
      </c>
      <c r="EP223" s="1">
        <v>316.7</v>
      </c>
      <c r="EQ223" s="1">
        <v>72.9</v>
      </c>
      <c r="ER223" s="1">
        <v>60.7</v>
      </c>
      <c r="ES223" s="1">
        <v>44.2</v>
      </c>
      <c r="ET223" s="1">
        <v>102.0</v>
      </c>
      <c r="EU223" s="11">
        <f t="shared" si="18"/>
        <v>49.86777959</v>
      </c>
      <c r="EV223" s="11" t="str">
        <f t="shared" si="19"/>
        <v>C3a</v>
      </c>
      <c r="EW223" s="6" t="s">
        <v>640</v>
      </c>
      <c r="EX223" s="6" t="s">
        <v>640</v>
      </c>
      <c r="EY223" s="9">
        <f t="shared" si="20"/>
        <v>-0.5512940306</v>
      </c>
      <c r="EZ223" s="9">
        <f t="shared" si="21"/>
        <v>0.6344357639</v>
      </c>
      <c r="FA223" s="9" t="str">
        <f t="shared" si="22"/>
        <v>Неблагоприятный</v>
      </c>
      <c r="FB223" s="1" t="s">
        <v>150</v>
      </c>
      <c r="FC223" s="39" t="s">
        <v>445</v>
      </c>
    </row>
    <row r="224">
      <c r="A224" s="7">
        <v>223.0</v>
      </c>
      <c r="B224" s="38">
        <v>38.0</v>
      </c>
      <c r="C224" s="7">
        <v>6152.0</v>
      </c>
      <c r="D224" s="39" t="s">
        <v>445</v>
      </c>
      <c r="E224" s="1">
        <v>34.0</v>
      </c>
      <c r="F224" s="1" t="s">
        <v>149</v>
      </c>
      <c r="G224" s="1"/>
      <c r="H224" s="1">
        <v>11.0</v>
      </c>
      <c r="I224" s="1" t="s">
        <v>150</v>
      </c>
      <c r="J224" s="1" t="s">
        <v>150</v>
      </c>
      <c r="K224" s="9"/>
      <c r="L224" s="1" t="s">
        <v>150</v>
      </c>
      <c r="M224" s="1" t="s">
        <v>150</v>
      </c>
      <c r="N224" s="9"/>
      <c r="O224" s="1" t="str">
        <f t="shared" si="35"/>
        <v>да</v>
      </c>
      <c r="P224" s="1" t="s">
        <v>150</v>
      </c>
      <c r="Q224" s="1" t="s">
        <v>150</v>
      </c>
      <c r="R224" s="9"/>
      <c r="S224" s="1" t="s">
        <v>150</v>
      </c>
      <c r="T224" s="9"/>
      <c r="U224" s="9"/>
      <c r="V224" s="9"/>
      <c r="W224" s="9"/>
      <c r="X224" s="9"/>
      <c r="Y224" s="1" t="s">
        <v>150</v>
      </c>
      <c r="Z224" s="9"/>
      <c r="AA224" s="9"/>
      <c r="AB224" s="9"/>
      <c r="AC224" s="9"/>
      <c r="AD224" s="1" t="s">
        <v>772</v>
      </c>
      <c r="AE224" s="1" t="s">
        <v>154</v>
      </c>
      <c r="AF224" s="1">
        <v>7.0</v>
      </c>
      <c r="AG224" s="1" t="s">
        <v>635</v>
      </c>
      <c r="AH224" s="1" t="s">
        <v>154</v>
      </c>
      <c r="AI224" s="1" t="s">
        <v>630</v>
      </c>
      <c r="AJ224" s="1">
        <v>1.0</v>
      </c>
      <c r="AK224" s="1" t="s">
        <v>5</v>
      </c>
      <c r="AL224" s="1" t="s">
        <v>150</v>
      </c>
      <c r="AM224" s="1"/>
      <c r="AN224" s="1">
        <v>15.0</v>
      </c>
      <c r="AO224" s="1" t="str">
        <f t="shared" si="2"/>
        <v>нет</v>
      </c>
      <c r="AP224" s="1">
        <v>190.0</v>
      </c>
      <c r="AQ224" s="1">
        <v>136.0</v>
      </c>
      <c r="AR224" s="9">
        <f t="shared" si="3"/>
        <v>37.67313019</v>
      </c>
      <c r="AS224" s="7" t="str">
        <f t="shared" si="4"/>
        <v>Ожирение II степени</v>
      </c>
      <c r="AT224" s="1">
        <v>110.0</v>
      </c>
      <c r="AU224" s="1">
        <v>70.0</v>
      </c>
      <c r="AV224" s="9"/>
      <c r="AW224" s="1">
        <v>89.0</v>
      </c>
      <c r="AX224" s="1">
        <v>38.0</v>
      </c>
      <c r="AY224" s="1">
        <v>22.0</v>
      </c>
      <c r="AZ224" s="1">
        <v>90.0</v>
      </c>
      <c r="BA224" s="10" t="str">
        <f t="shared" si="5"/>
        <v>да</v>
      </c>
      <c r="BB224" s="1">
        <v>97.0</v>
      </c>
      <c r="BC224" s="1">
        <v>100.0</v>
      </c>
      <c r="BD224" s="12">
        <f t="shared" si="6"/>
        <v>0.04090909091</v>
      </c>
      <c r="BE224" s="12">
        <f t="shared" si="34"/>
        <v>1</v>
      </c>
      <c r="BF224" s="12">
        <f t="shared" si="8"/>
        <v>6</v>
      </c>
      <c r="BG224" s="1" t="s">
        <v>154</v>
      </c>
      <c r="BH224" s="1" t="s">
        <v>163</v>
      </c>
      <c r="BI224" s="1" t="s">
        <v>154</v>
      </c>
      <c r="BJ224" s="1" t="s">
        <v>475</v>
      </c>
      <c r="BK224" s="1" t="s">
        <v>150</v>
      </c>
      <c r="BL224" s="9"/>
      <c r="BM224" s="1" t="s">
        <v>154</v>
      </c>
      <c r="BN224" s="1" t="s">
        <v>448</v>
      </c>
      <c r="BO224" s="1" t="s">
        <v>150</v>
      </c>
      <c r="BP224" s="9"/>
      <c r="BQ224" s="9"/>
      <c r="BR224" s="1" t="s">
        <v>154</v>
      </c>
      <c r="BS224" s="1" t="s">
        <v>477</v>
      </c>
      <c r="BT224" s="1" t="s">
        <v>503</v>
      </c>
      <c r="BU224" s="1" t="s">
        <v>170</v>
      </c>
      <c r="BV224" s="1">
        <v>48.0</v>
      </c>
      <c r="BW224" s="1" t="s">
        <v>154</v>
      </c>
      <c r="BX224" s="1" t="s">
        <v>154</v>
      </c>
      <c r="BY224" s="1" t="s">
        <v>173</v>
      </c>
      <c r="BZ224" s="1" t="s">
        <v>158</v>
      </c>
      <c r="CA224" s="1" t="s">
        <v>150</v>
      </c>
      <c r="CB224" s="1" t="s">
        <v>150</v>
      </c>
      <c r="CC224" s="1" t="s">
        <v>150</v>
      </c>
      <c r="CD224" s="1" t="s">
        <v>247</v>
      </c>
      <c r="CE224" s="1" t="s">
        <v>150</v>
      </c>
      <c r="CF224" s="1" t="s">
        <v>150</v>
      </c>
      <c r="CG224" s="1" t="s">
        <v>150</v>
      </c>
      <c r="CH224" s="1" t="s">
        <v>150</v>
      </c>
      <c r="CI224" s="1" t="s">
        <v>150</v>
      </c>
      <c r="CJ224" s="1" t="s">
        <v>150</v>
      </c>
      <c r="CK224" s="1" t="s">
        <v>150</v>
      </c>
      <c r="CL224" s="1" t="s">
        <v>773</v>
      </c>
      <c r="CM224" s="1">
        <v>3.73</v>
      </c>
      <c r="CN224" s="1">
        <v>69.4</v>
      </c>
      <c r="CO224" s="7">
        <f t="shared" si="23"/>
        <v>2.58862</v>
      </c>
      <c r="CP224" s="1">
        <v>23.6</v>
      </c>
      <c r="CQ224" s="7">
        <f t="shared" si="10"/>
        <v>0.61091432</v>
      </c>
      <c r="CR224" s="1">
        <v>7.0</v>
      </c>
      <c r="CS224" s="7">
        <f t="shared" si="11"/>
        <v>0.0427640024</v>
      </c>
      <c r="CT224" s="1">
        <v>0.0</v>
      </c>
      <c r="CU224" s="7">
        <f t="shared" si="12"/>
        <v>0</v>
      </c>
      <c r="CV224" s="7">
        <f t="shared" si="13"/>
        <v>4.237288136</v>
      </c>
      <c r="CW224" s="1">
        <v>4.94</v>
      </c>
      <c r="CX224" s="1">
        <v>147.0</v>
      </c>
      <c r="CY224" s="7" t="str">
        <f t="shared" si="14"/>
        <v>Норма</v>
      </c>
      <c r="CZ224" s="6" t="s">
        <v>640</v>
      </c>
      <c r="DA224" s="1">
        <v>127.0</v>
      </c>
      <c r="DB224" s="1">
        <v>58.7</v>
      </c>
      <c r="DC224" s="1">
        <v>20.8</v>
      </c>
      <c r="DD224" s="1">
        <v>95.8</v>
      </c>
      <c r="DE224" s="1"/>
      <c r="DF224" s="1">
        <v>2.8</v>
      </c>
      <c r="DG224" s="1"/>
      <c r="DH224" s="1">
        <v>1.3</v>
      </c>
      <c r="DI224" s="1"/>
      <c r="DJ224" s="1">
        <v>0.3</v>
      </c>
      <c r="DK224" s="1"/>
      <c r="DL224" s="1"/>
      <c r="DM224" s="1">
        <v>5.28</v>
      </c>
      <c r="DN224" s="1">
        <v>160.0</v>
      </c>
      <c r="DO224" s="7" t="str">
        <f t="shared" si="15"/>
        <v>Норма</v>
      </c>
      <c r="DP224" s="1">
        <v>8.0</v>
      </c>
      <c r="DQ224" s="1">
        <v>210.0</v>
      </c>
      <c r="DR224" s="6" t="s">
        <v>640</v>
      </c>
      <c r="DS224" s="1">
        <v>1016.0</v>
      </c>
      <c r="DT224" s="1">
        <v>25.6</v>
      </c>
      <c r="DU224" s="1">
        <v>15.0</v>
      </c>
      <c r="DV224" s="1">
        <v>1.28</v>
      </c>
      <c r="DW224" s="1" t="s">
        <v>473</v>
      </c>
      <c r="DX224" s="1">
        <v>551.0</v>
      </c>
      <c r="DY224" s="1">
        <v>76.4</v>
      </c>
      <c r="DZ224" s="1">
        <v>14.4</v>
      </c>
      <c r="EA224" s="1">
        <v>1.23</v>
      </c>
      <c r="EB224" s="1"/>
      <c r="EC224" s="1">
        <v>6.28</v>
      </c>
      <c r="ED224" s="1">
        <v>7.15</v>
      </c>
      <c r="EE224" s="1">
        <v>109.6</v>
      </c>
      <c r="EF224" s="1">
        <v>156.6</v>
      </c>
      <c r="EG224" s="1">
        <v>76.4</v>
      </c>
      <c r="EH224" s="1">
        <v>14.2</v>
      </c>
      <c r="EI224" s="1">
        <v>9.2</v>
      </c>
      <c r="EJ224" s="1">
        <v>88.0</v>
      </c>
      <c r="EK224" s="34">
        <f t="shared" si="16"/>
        <v>74.11589971</v>
      </c>
      <c r="EL224" s="11" t="str">
        <f t="shared" si="17"/>
        <v>C2</v>
      </c>
      <c r="EM224" s="1">
        <v>133.7</v>
      </c>
      <c r="EN224" s="1">
        <v>3.88</v>
      </c>
      <c r="EO224" s="1">
        <v>124.0</v>
      </c>
      <c r="EP224" s="1">
        <v>114.0</v>
      </c>
      <c r="EQ224" s="1">
        <v>55.8</v>
      </c>
      <c r="ER224" s="1">
        <v>33.1</v>
      </c>
      <c r="ES224" s="1">
        <v>25.4</v>
      </c>
      <c r="ET224" s="1">
        <v>215.0</v>
      </c>
      <c r="EU224" s="11">
        <f t="shared" si="18"/>
        <v>25.16939854</v>
      </c>
      <c r="EV224" s="11" t="str">
        <f t="shared" si="19"/>
        <v>C4</v>
      </c>
      <c r="EW224" s="1">
        <v>143.5</v>
      </c>
      <c r="EX224" s="1">
        <v>4.1</v>
      </c>
      <c r="EY224" s="9">
        <f t="shared" si="20"/>
        <v>-1.528832798</v>
      </c>
      <c r="EZ224" s="9">
        <f t="shared" si="21"/>
        <v>0.8218354744</v>
      </c>
      <c r="FA224" s="9" t="str">
        <f t="shared" si="22"/>
        <v>Неблагоприятный</v>
      </c>
      <c r="FB224" s="1" t="s">
        <v>150</v>
      </c>
      <c r="FC224" s="39" t="s">
        <v>445</v>
      </c>
    </row>
    <row r="225">
      <c r="A225" s="7">
        <v>224.0</v>
      </c>
      <c r="B225" s="38">
        <v>39.0</v>
      </c>
      <c r="C225" s="43">
        <v>6187.0</v>
      </c>
      <c r="D225" s="39" t="s">
        <v>445</v>
      </c>
      <c r="E225" s="1">
        <v>53.0</v>
      </c>
      <c r="F225" s="1" t="s">
        <v>149</v>
      </c>
      <c r="G225" s="1"/>
      <c r="H225" s="1">
        <v>22.0</v>
      </c>
      <c r="I225" s="1" t="s">
        <v>150</v>
      </c>
      <c r="J225" s="1" t="s">
        <v>150</v>
      </c>
      <c r="K225" s="9"/>
      <c r="L225" s="1" t="s">
        <v>150</v>
      </c>
      <c r="M225" s="1" t="s">
        <v>150</v>
      </c>
      <c r="N225" s="9"/>
      <c r="O225" s="1" t="str">
        <f t="shared" si="35"/>
        <v>нет</v>
      </c>
      <c r="P225" s="1" t="s">
        <v>150</v>
      </c>
      <c r="Q225" s="1" t="s">
        <v>154</v>
      </c>
      <c r="R225" s="1">
        <v>2.0</v>
      </c>
      <c r="S225" s="1" t="s">
        <v>150</v>
      </c>
      <c r="T225" s="9"/>
      <c r="U225" s="9"/>
      <c r="V225" s="9"/>
      <c r="W225" s="9"/>
      <c r="X225" s="9"/>
      <c r="Y225" s="1" t="s">
        <v>150</v>
      </c>
      <c r="Z225" s="9"/>
      <c r="AA225" s="9"/>
      <c r="AB225" s="9"/>
      <c r="AC225" s="9"/>
      <c r="AD225" s="1" t="s">
        <v>774</v>
      </c>
      <c r="AE225" s="1" t="s">
        <v>154</v>
      </c>
      <c r="AF225" s="1">
        <v>2.0</v>
      </c>
      <c r="AG225" s="1" t="s">
        <v>635</v>
      </c>
      <c r="AH225" s="1" t="s">
        <v>154</v>
      </c>
      <c r="AI225" s="1" t="s">
        <v>619</v>
      </c>
      <c r="AJ225" s="1">
        <v>1.0</v>
      </c>
      <c r="AK225" s="1" t="s">
        <v>5</v>
      </c>
      <c r="AL225" s="1" t="s">
        <v>150</v>
      </c>
      <c r="AM225" s="1"/>
      <c r="AN225" s="1">
        <v>15.0</v>
      </c>
      <c r="AO225" s="1" t="str">
        <f t="shared" si="2"/>
        <v>нет</v>
      </c>
      <c r="AP225" s="1">
        <v>182.0</v>
      </c>
      <c r="AQ225" s="1">
        <v>100.0</v>
      </c>
      <c r="AR225" s="9">
        <f t="shared" si="3"/>
        <v>30.18959063</v>
      </c>
      <c r="AS225" s="7" t="str">
        <f t="shared" si="4"/>
        <v>Ожирение I степени</v>
      </c>
      <c r="AT225" s="1">
        <v>140.0</v>
      </c>
      <c r="AU225" s="1">
        <v>80.0</v>
      </c>
      <c r="AV225" s="9"/>
      <c r="AW225" s="1">
        <v>92.0</v>
      </c>
      <c r="AX225" s="1">
        <v>38.0</v>
      </c>
      <c r="AY225" s="1">
        <v>24.0</v>
      </c>
      <c r="AZ225" s="1">
        <v>80.0</v>
      </c>
      <c r="BA225" s="10" t="str">
        <f t="shared" si="5"/>
        <v>да</v>
      </c>
      <c r="BB225" s="1">
        <v>93.0</v>
      </c>
      <c r="BC225" s="1">
        <v>100.0</v>
      </c>
      <c r="BD225" s="12">
        <f t="shared" si="6"/>
        <v>0.03333333333</v>
      </c>
      <c r="BE225" s="12">
        <f t="shared" si="34"/>
        <v>1</v>
      </c>
      <c r="BF225" s="12">
        <f t="shared" si="8"/>
        <v>6</v>
      </c>
      <c r="BG225" s="1" t="s">
        <v>154</v>
      </c>
      <c r="BH225" s="1" t="s">
        <v>198</v>
      </c>
      <c r="BI225" s="1" t="s">
        <v>154</v>
      </c>
      <c r="BJ225" s="1" t="s">
        <v>775</v>
      </c>
      <c r="BK225" s="1" t="s">
        <v>150</v>
      </c>
      <c r="BL225" s="9"/>
      <c r="BM225" s="1" t="s">
        <v>154</v>
      </c>
      <c r="BN225" s="1" t="s">
        <v>448</v>
      </c>
      <c r="BO225" s="1" t="s">
        <v>154</v>
      </c>
      <c r="BP225" s="1" t="s">
        <v>157</v>
      </c>
      <c r="BQ225" s="15">
        <v>24.0</v>
      </c>
      <c r="BR225" s="1" t="s">
        <v>154</v>
      </c>
      <c r="BS225" s="1" t="s">
        <v>174</v>
      </c>
      <c r="BT225" s="1" t="s">
        <v>503</v>
      </c>
      <c r="BU225" s="1" t="s">
        <v>195</v>
      </c>
      <c r="BV225" s="1" t="s">
        <v>761</v>
      </c>
      <c r="BW225" s="1" t="s">
        <v>150</v>
      </c>
      <c r="BX225" s="1" t="s">
        <v>154</v>
      </c>
      <c r="BY225" s="1" t="s">
        <v>269</v>
      </c>
      <c r="BZ225" s="1" t="s">
        <v>158</v>
      </c>
      <c r="CA225" s="1" t="s">
        <v>272</v>
      </c>
      <c r="CB225" s="1" t="s">
        <v>185</v>
      </c>
      <c r="CC225" s="15" t="s">
        <v>150</v>
      </c>
      <c r="CD225" s="1" t="s">
        <v>150</v>
      </c>
      <c r="CE225" s="1" t="s">
        <v>177</v>
      </c>
      <c r="CF225" s="1" t="s">
        <v>150</v>
      </c>
      <c r="CG225" s="1" t="s">
        <v>150</v>
      </c>
      <c r="CH225" s="1" t="s">
        <v>150</v>
      </c>
      <c r="CI225" s="1" t="s">
        <v>150</v>
      </c>
      <c r="CJ225" s="1" t="s">
        <v>150</v>
      </c>
      <c r="CK225" s="1" t="s">
        <v>150</v>
      </c>
      <c r="CL225" s="1" t="s">
        <v>276</v>
      </c>
      <c r="CM225" s="1">
        <v>7.4</v>
      </c>
      <c r="CN225" s="1">
        <v>84.8</v>
      </c>
      <c r="CO225" s="7">
        <f t="shared" si="23"/>
        <v>6.2752</v>
      </c>
      <c r="CP225" s="1">
        <v>11.1</v>
      </c>
      <c r="CQ225" s="7">
        <f t="shared" si="10"/>
        <v>0.6965472</v>
      </c>
      <c r="CR225" s="1">
        <v>3.8</v>
      </c>
      <c r="CS225" s="7">
        <f t="shared" si="11"/>
        <v>0.0264687936</v>
      </c>
      <c r="CT225" s="1">
        <v>0.0</v>
      </c>
      <c r="CU225" s="7">
        <f t="shared" si="12"/>
        <v>0</v>
      </c>
      <c r="CV225" s="7">
        <f t="shared" si="13"/>
        <v>9.009009009</v>
      </c>
      <c r="CW225" s="1">
        <v>4.91</v>
      </c>
      <c r="CX225" s="1">
        <v>142.0</v>
      </c>
      <c r="CY225" s="7" t="str">
        <f t="shared" si="14"/>
        <v>Норма</v>
      </c>
      <c r="CZ225" s="6" t="s">
        <v>640</v>
      </c>
      <c r="DA225" s="1">
        <v>219.0</v>
      </c>
      <c r="DB225" s="1">
        <v>230.9</v>
      </c>
      <c r="DC225" s="1">
        <v>3.87</v>
      </c>
      <c r="DD225" s="1">
        <v>80.4</v>
      </c>
      <c r="DE225" s="1"/>
      <c r="DF225" s="1">
        <v>13.2</v>
      </c>
      <c r="DG225" s="1"/>
      <c r="DH225" s="1">
        <v>5.9</v>
      </c>
      <c r="DI225" s="1"/>
      <c r="DJ225" s="1">
        <v>0.0</v>
      </c>
      <c r="DK225" s="1"/>
      <c r="DL225" s="1"/>
      <c r="DM225" s="1">
        <v>5.98</v>
      </c>
      <c r="DN225" s="1">
        <v>169.0</v>
      </c>
      <c r="DO225" s="7" t="str">
        <f t="shared" si="15"/>
        <v>Норма</v>
      </c>
      <c r="DP225" s="6" t="s">
        <v>640</v>
      </c>
      <c r="DQ225" s="1">
        <v>142.0</v>
      </c>
      <c r="DR225" s="6" t="s">
        <v>640</v>
      </c>
      <c r="DS225" s="1">
        <v>730.0</v>
      </c>
      <c r="DT225" s="6" t="s">
        <v>640</v>
      </c>
      <c r="DU225" s="1">
        <v>17.0</v>
      </c>
      <c r="DV225" s="1">
        <v>1.4</v>
      </c>
      <c r="DW225" s="6" t="s">
        <v>640</v>
      </c>
      <c r="DX225" s="1">
        <v>150.0</v>
      </c>
      <c r="DY225" s="6" t="s">
        <v>640</v>
      </c>
      <c r="DZ225" s="1">
        <v>10.5</v>
      </c>
      <c r="EA225" s="1">
        <v>0.89</v>
      </c>
      <c r="EB225" s="1"/>
      <c r="EC225" s="1">
        <v>5.02</v>
      </c>
      <c r="ED225" s="1">
        <v>7.46</v>
      </c>
      <c r="EE225" s="1">
        <v>93.7</v>
      </c>
      <c r="EF225" s="1">
        <v>94.0</v>
      </c>
      <c r="EG225" s="1">
        <v>74.6</v>
      </c>
      <c r="EH225" s="1">
        <v>9.8</v>
      </c>
      <c r="EI225" s="1">
        <v>4.5</v>
      </c>
      <c r="EJ225" s="1">
        <v>98.0</v>
      </c>
      <c r="EK225" s="34">
        <f t="shared" si="16"/>
        <v>56.94221168</v>
      </c>
      <c r="EL225" s="11" t="str">
        <f t="shared" si="17"/>
        <v>C3a</v>
      </c>
      <c r="EM225" s="1">
        <v>139.3</v>
      </c>
      <c r="EN225" s="1">
        <v>1.18</v>
      </c>
      <c r="EO225" s="1">
        <v>698.64</v>
      </c>
      <c r="EP225" s="1">
        <v>177.77</v>
      </c>
      <c r="EQ225" s="1">
        <v>51.3</v>
      </c>
      <c r="ER225" s="1">
        <v>32.27</v>
      </c>
      <c r="ES225" s="1">
        <v>5.3</v>
      </c>
      <c r="ET225" s="1">
        <v>134.58</v>
      </c>
      <c r="EU225" s="11">
        <f t="shared" si="18"/>
        <v>38.80513544</v>
      </c>
      <c r="EV225" s="11" t="str">
        <f t="shared" si="19"/>
        <v>C3b</v>
      </c>
      <c r="EW225" s="1">
        <v>128.7</v>
      </c>
      <c r="EX225" s="1">
        <v>1.12</v>
      </c>
      <c r="EY225" s="9">
        <f t="shared" si="20"/>
        <v>0.1431031011</v>
      </c>
      <c r="EZ225" s="9">
        <f t="shared" si="21"/>
        <v>0.4642851528</v>
      </c>
      <c r="FA225" s="9" t="str">
        <f t="shared" si="22"/>
        <v>Благоприятный</v>
      </c>
      <c r="FB225" s="1" t="s">
        <v>256</v>
      </c>
      <c r="FC225" s="39" t="s">
        <v>445</v>
      </c>
    </row>
    <row r="226">
      <c r="A226" s="44" t="s">
        <v>776</v>
      </c>
      <c r="B226" s="44">
        <v>1.0</v>
      </c>
      <c r="D226" s="39" t="s">
        <v>148</v>
      </c>
      <c r="F226" s="1" t="s">
        <v>149</v>
      </c>
      <c r="I226" s="1" t="s">
        <v>150</v>
      </c>
      <c r="J226" s="1" t="s">
        <v>150</v>
      </c>
      <c r="L226" s="1" t="s">
        <v>150</v>
      </c>
      <c r="P226" s="9"/>
      <c r="Q226" s="1" t="s">
        <v>154</v>
      </c>
      <c r="S226" s="1" t="s">
        <v>150</v>
      </c>
      <c r="Y226" s="1" t="s">
        <v>150</v>
      </c>
      <c r="AK226" s="1" t="s">
        <v>5</v>
      </c>
      <c r="BK226" s="1" t="s">
        <v>150</v>
      </c>
      <c r="BM226" s="1" t="s">
        <v>154</v>
      </c>
      <c r="BW226" s="1" t="s">
        <v>150</v>
      </c>
      <c r="BX226" s="1" t="s">
        <v>150</v>
      </c>
      <c r="BZ226" s="1" t="s">
        <v>158</v>
      </c>
      <c r="CC226" s="15" t="s">
        <v>150</v>
      </c>
      <c r="CF226" s="1" t="s">
        <v>150</v>
      </c>
      <c r="CG226" s="1" t="s">
        <v>150</v>
      </c>
      <c r="CH226" s="1" t="s">
        <v>150</v>
      </c>
      <c r="CI226" s="1" t="s">
        <v>150</v>
      </c>
      <c r="CJ226" s="1" t="s">
        <v>150</v>
      </c>
      <c r="CK226" s="1" t="s">
        <v>150</v>
      </c>
      <c r="FC226" s="39" t="s">
        <v>148</v>
      </c>
    </row>
    <row r="227">
      <c r="B227" s="44">
        <v>2.0</v>
      </c>
      <c r="D227" s="39" t="s">
        <v>148</v>
      </c>
      <c r="F227" s="1" t="s">
        <v>149</v>
      </c>
      <c r="I227" s="1" t="s">
        <v>150</v>
      </c>
      <c r="J227" s="1" t="s">
        <v>150</v>
      </c>
      <c r="L227" s="1" t="s">
        <v>150</v>
      </c>
      <c r="P227" s="9"/>
      <c r="Q227" s="1" t="s">
        <v>154</v>
      </c>
      <c r="S227" s="1" t="s">
        <v>150</v>
      </c>
      <c r="Y227" s="1" t="s">
        <v>150</v>
      </c>
      <c r="AK227" s="1" t="s">
        <v>5</v>
      </c>
      <c r="BK227" s="1" t="s">
        <v>150</v>
      </c>
      <c r="BM227" s="1" t="s">
        <v>154</v>
      </c>
      <c r="BW227" s="1" t="s">
        <v>150</v>
      </c>
      <c r="BX227" s="1" t="s">
        <v>150</v>
      </c>
      <c r="BZ227" s="1" t="s">
        <v>158</v>
      </c>
      <c r="CC227" s="15" t="s">
        <v>150</v>
      </c>
      <c r="CF227" s="1" t="s">
        <v>150</v>
      </c>
      <c r="CG227" s="1" t="s">
        <v>150</v>
      </c>
      <c r="CH227" s="1" t="s">
        <v>150</v>
      </c>
      <c r="CI227" s="1" t="s">
        <v>150</v>
      </c>
      <c r="CJ227" s="1" t="s">
        <v>150</v>
      </c>
      <c r="CK227" s="1" t="s">
        <v>150</v>
      </c>
      <c r="FC227" s="39" t="s">
        <v>148</v>
      </c>
    </row>
    <row r="228">
      <c r="B228" s="44">
        <v>3.0</v>
      </c>
      <c r="D228" s="39" t="s">
        <v>148</v>
      </c>
      <c r="F228" s="1" t="s">
        <v>149</v>
      </c>
      <c r="I228" s="1" t="s">
        <v>150</v>
      </c>
      <c r="J228" s="1" t="s">
        <v>150</v>
      </c>
      <c r="L228" s="1" t="s">
        <v>150</v>
      </c>
      <c r="P228" s="9"/>
      <c r="Q228" s="1" t="s">
        <v>154</v>
      </c>
      <c r="S228" s="1" t="s">
        <v>150</v>
      </c>
      <c r="Y228" s="1" t="s">
        <v>150</v>
      </c>
      <c r="AK228" s="1" t="s">
        <v>5</v>
      </c>
      <c r="BK228" s="1" t="s">
        <v>150</v>
      </c>
      <c r="BM228" s="1" t="s">
        <v>154</v>
      </c>
      <c r="BW228" s="1" t="s">
        <v>150</v>
      </c>
      <c r="BX228" s="1" t="s">
        <v>150</v>
      </c>
      <c r="BZ228" s="1" t="s">
        <v>158</v>
      </c>
      <c r="CC228" s="15" t="s">
        <v>150</v>
      </c>
      <c r="CF228" s="1" t="s">
        <v>150</v>
      </c>
      <c r="CG228" s="1" t="s">
        <v>150</v>
      </c>
      <c r="CH228" s="1" t="s">
        <v>150</v>
      </c>
      <c r="CI228" s="1" t="s">
        <v>150</v>
      </c>
      <c r="CJ228" s="1" t="s">
        <v>150</v>
      </c>
      <c r="CK228" s="1" t="s">
        <v>150</v>
      </c>
      <c r="FC228" s="39" t="s">
        <v>148</v>
      </c>
    </row>
    <row r="229">
      <c r="B229" s="44">
        <v>4.0</v>
      </c>
      <c r="D229" s="39" t="s">
        <v>148</v>
      </c>
      <c r="F229" s="1" t="s">
        <v>149</v>
      </c>
      <c r="I229" s="1" t="s">
        <v>150</v>
      </c>
      <c r="J229" s="1" t="s">
        <v>150</v>
      </c>
      <c r="L229" s="1" t="s">
        <v>150</v>
      </c>
      <c r="P229" s="9"/>
      <c r="Q229" s="1" t="s">
        <v>154</v>
      </c>
      <c r="S229" s="1" t="s">
        <v>150</v>
      </c>
      <c r="Y229" s="1" t="s">
        <v>150</v>
      </c>
      <c r="AK229" s="1" t="s">
        <v>5</v>
      </c>
      <c r="BK229" s="1" t="s">
        <v>150</v>
      </c>
      <c r="BM229" s="1" t="s">
        <v>154</v>
      </c>
      <c r="BW229" s="1" t="s">
        <v>150</v>
      </c>
      <c r="BX229" s="1" t="s">
        <v>150</v>
      </c>
      <c r="BZ229" s="1" t="s">
        <v>158</v>
      </c>
      <c r="CC229" s="15" t="s">
        <v>150</v>
      </c>
      <c r="CF229" s="1" t="s">
        <v>150</v>
      </c>
      <c r="CG229" s="1" t="s">
        <v>150</v>
      </c>
      <c r="CH229" s="1" t="s">
        <v>150</v>
      </c>
      <c r="CI229" s="1" t="s">
        <v>150</v>
      </c>
      <c r="CJ229" s="1" t="s">
        <v>150</v>
      </c>
      <c r="CK229" s="1" t="s">
        <v>150</v>
      </c>
      <c r="FC229" s="39" t="s">
        <v>148</v>
      </c>
    </row>
    <row r="230">
      <c r="B230" s="44">
        <v>5.0</v>
      </c>
      <c r="D230" s="39" t="s">
        <v>148</v>
      </c>
      <c r="F230" s="1" t="s">
        <v>149</v>
      </c>
      <c r="I230" s="1" t="s">
        <v>150</v>
      </c>
      <c r="J230" s="1" t="s">
        <v>150</v>
      </c>
      <c r="L230" s="1" t="s">
        <v>150</v>
      </c>
      <c r="P230" s="9"/>
      <c r="Q230" s="1" t="s">
        <v>154</v>
      </c>
      <c r="S230" s="1" t="s">
        <v>150</v>
      </c>
      <c r="Y230" s="1" t="s">
        <v>150</v>
      </c>
      <c r="AK230" s="1" t="s">
        <v>5</v>
      </c>
      <c r="BK230" s="1" t="s">
        <v>150</v>
      </c>
      <c r="BM230" s="1" t="s">
        <v>154</v>
      </c>
      <c r="BW230" s="1" t="s">
        <v>150</v>
      </c>
      <c r="BX230" s="1" t="s">
        <v>150</v>
      </c>
      <c r="BZ230" s="1" t="s">
        <v>158</v>
      </c>
      <c r="CC230" s="15" t="s">
        <v>150</v>
      </c>
      <c r="CF230" s="1" t="s">
        <v>150</v>
      </c>
      <c r="CG230" s="1" t="s">
        <v>150</v>
      </c>
      <c r="CH230" s="1" t="s">
        <v>150</v>
      </c>
      <c r="CI230" s="1" t="s">
        <v>150</v>
      </c>
      <c r="CJ230" s="1" t="s">
        <v>150</v>
      </c>
      <c r="CK230" s="1" t="s">
        <v>150</v>
      </c>
      <c r="FC230" s="39" t="s">
        <v>148</v>
      </c>
    </row>
    <row r="231">
      <c r="B231" s="44">
        <v>6.0</v>
      </c>
      <c r="D231" s="39" t="s">
        <v>148</v>
      </c>
      <c r="F231" s="1" t="s">
        <v>149</v>
      </c>
      <c r="I231" s="1" t="s">
        <v>150</v>
      </c>
      <c r="J231" s="1" t="s">
        <v>150</v>
      </c>
      <c r="L231" s="1" t="s">
        <v>150</v>
      </c>
      <c r="P231" s="9"/>
      <c r="Q231" s="1" t="s">
        <v>154</v>
      </c>
      <c r="S231" s="1" t="s">
        <v>150</v>
      </c>
      <c r="Y231" s="1" t="s">
        <v>150</v>
      </c>
      <c r="AK231" s="1" t="s">
        <v>5</v>
      </c>
      <c r="BK231" s="1" t="s">
        <v>150</v>
      </c>
      <c r="BM231" s="1" t="s">
        <v>154</v>
      </c>
      <c r="BW231" s="1" t="s">
        <v>150</v>
      </c>
      <c r="BX231" s="1" t="s">
        <v>150</v>
      </c>
      <c r="BZ231" s="1" t="s">
        <v>158</v>
      </c>
      <c r="CC231" s="15" t="s">
        <v>150</v>
      </c>
      <c r="CF231" s="1" t="s">
        <v>150</v>
      </c>
      <c r="CG231" s="1" t="s">
        <v>150</v>
      </c>
      <c r="CH231" s="1" t="s">
        <v>150</v>
      </c>
      <c r="CI231" s="1" t="s">
        <v>150</v>
      </c>
      <c r="CJ231" s="1" t="s">
        <v>150</v>
      </c>
      <c r="CK231" s="1" t="s">
        <v>150</v>
      </c>
      <c r="FC231" s="39" t="s">
        <v>148</v>
      </c>
    </row>
    <row r="232">
      <c r="B232" s="44">
        <v>7.0</v>
      </c>
      <c r="D232" s="39" t="s">
        <v>148</v>
      </c>
      <c r="F232" s="1" t="s">
        <v>149</v>
      </c>
      <c r="I232" s="1" t="s">
        <v>150</v>
      </c>
      <c r="J232" s="1" t="s">
        <v>150</v>
      </c>
      <c r="L232" s="1" t="s">
        <v>150</v>
      </c>
      <c r="P232" s="9"/>
      <c r="Q232" s="1" t="s">
        <v>154</v>
      </c>
      <c r="S232" s="1" t="s">
        <v>150</v>
      </c>
      <c r="Y232" s="1" t="s">
        <v>150</v>
      </c>
      <c r="AK232" s="1" t="s">
        <v>5</v>
      </c>
      <c r="BK232" s="1" t="s">
        <v>150</v>
      </c>
      <c r="BM232" s="1" t="s">
        <v>154</v>
      </c>
      <c r="BW232" s="1" t="s">
        <v>150</v>
      </c>
      <c r="BX232" s="1" t="s">
        <v>150</v>
      </c>
      <c r="BZ232" s="1" t="s">
        <v>158</v>
      </c>
      <c r="CC232" s="15" t="s">
        <v>150</v>
      </c>
      <c r="CF232" s="1" t="s">
        <v>150</v>
      </c>
      <c r="CG232" s="1" t="s">
        <v>150</v>
      </c>
      <c r="CH232" s="1" t="s">
        <v>150</v>
      </c>
      <c r="CI232" s="1" t="s">
        <v>150</v>
      </c>
      <c r="CJ232" s="1" t="s">
        <v>150</v>
      </c>
      <c r="CK232" s="1" t="s">
        <v>150</v>
      </c>
      <c r="FC232" s="39" t="s">
        <v>148</v>
      </c>
    </row>
    <row r="233">
      <c r="B233" s="44">
        <v>8.0</v>
      </c>
      <c r="D233" s="39" t="s">
        <v>148</v>
      </c>
      <c r="F233" s="1" t="s">
        <v>149</v>
      </c>
      <c r="I233" s="1" t="s">
        <v>150</v>
      </c>
      <c r="J233" s="1" t="s">
        <v>150</v>
      </c>
      <c r="L233" s="1" t="s">
        <v>150</v>
      </c>
      <c r="P233" s="9"/>
      <c r="Q233" s="1" t="s">
        <v>154</v>
      </c>
      <c r="S233" s="1" t="s">
        <v>150</v>
      </c>
      <c r="Y233" s="1" t="s">
        <v>150</v>
      </c>
      <c r="AK233" s="1" t="s">
        <v>5</v>
      </c>
      <c r="BK233" s="1" t="s">
        <v>150</v>
      </c>
      <c r="BM233" s="1" t="s">
        <v>154</v>
      </c>
      <c r="BW233" s="1" t="s">
        <v>150</v>
      </c>
      <c r="BX233" s="1" t="s">
        <v>150</v>
      </c>
      <c r="BZ233" s="1" t="s">
        <v>158</v>
      </c>
      <c r="CC233" s="15" t="s">
        <v>150</v>
      </c>
      <c r="CF233" s="1" t="s">
        <v>150</v>
      </c>
      <c r="CG233" s="1" t="s">
        <v>150</v>
      </c>
      <c r="CH233" s="1" t="s">
        <v>150</v>
      </c>
      <c r="CI233" s="1" t="s">
        <v>150</v>
      </c>
      <c r="CJ233" s="1" t="s">
        <v>150</v>
      </c>
      <c r="CK233" s="1" t="s">
        <v>150</v>
      </c>
      <c r="FC233" s="39" t="s">
        <v>148</v>
      </c>
    </row>
    <row r="234">
      <c r="B234" s="44">
        <v>9.0</v>
      </c>
      <c r="D234" s="39" t="s">
        <v>148</v>
      </c>
      <c r="F234" s="1" t="s">
        <v>149</v>
      </c>
      <c r="I234" s="1" t="s">
        <v>150</v>
      </c>
      <c r="J234" s="1" t="s">
        <v>150</v>
      </c>
      <c r="L234" s="1" t="s">
        <v>150</v>
      </c>
      <c r="P234" s="9"/>
      <c r="Q234" s="1" t="s">
        <v>154</v>
      </c>
      <c r="S234" s="1" t="s">
        <v>150</v>
      </c>
      <c r="Y234" s="1" t="s">
        <v>150</v>
      </c>
      <c r="AK234" s="1" t="s">
        <v>5</v>
      </c>
      <c r="BK234" s="1" t="s">
        <v>150</v>
      </c>
      <c r="BM234" s="1" t="s">
        <v>154</v>
      </c>
      <c r="BW234" s="1" t="s">
        <v>150</v>
      </c>
      <c r="BX234" s="1" t="s">
        <v>150</v>
      </c>
      <c r="BZ234" s="1" t="s">
        <v>158</v>
      </c>
      <c r="CC234" s="15" t="s">
        <v>150</v>
      </c>
      <c r="CF234" s="1" t="s">
        <v>150</v>
      </c>
      <c r="CG234" s="1" t="s">
        <v>150</v>
      </c>
      <c r="CH234" s="1" t="s">
        <v>150</v>
      </c>
      <c r="CI234" s="1" t="s">
        <v>150</v>
      </c>
      <c r="CJ234" s="1" t="s">
        <v>150</v>
      </c>
      <c r="CK234" s="1" t="s">
        <v>150</v>
      </c>
      <c r="FC234" s="39" t="s">
        <v>148</v>
      </c>
    </row>
    <row r="235">
      <c r="B235" s="44">
        <v>10.0</v>
      </c>
      <c r="D235" s="39" t="s">
        <v>148</v>
      </c>
      <c r="F235" s="1" t="s">
        <v>149</v>
      </c>
      <c r="I235" s="1" t="s">
        <v>150</v>
      </c>
      <c r="J235" s="1" t="s">
        <v>150</v>
      </c>
      <c r="L235" s="1" t="s">
        <v>150</v>
      </c>
      <c r="P235" s="9"/>
      <c r="Q235" s="1" t="s">
        <v>154</v>
      </c>
      <c r="S235" s="1" t="s">
        <v>150</v>
      </c>
      <c r="Y235" s="1" t="s">
        <v>150</v>
      </c>
      <c r="AK235" s="1" t="s">
        <v>5</v>
      </c>
      <c r="BK235" s="1" t="s">
        <v>150</v>
      </c>
      <c r="BM235" s="1" t="s">
        <v>154</v>
      </c>
      <c r="BW235" s="1" t="s">
        <v>150</v>
      </c>
      <c r="BX235" s="1" t="s">
        <v>150</v>
      </c>
      <c r="BZ235" s="1" t="s">
        <v>158</v>
      </c>
      <c r="CC235" s="15" t="s">
        <v>150</v>
      </c>
      <c r="CF235" s="1" t="s">
        <v>150</v>
      </c>
      <c r="CG235" s="1" t="s">
        <v>150</v>
      </c>
      <c r="CH235" s="1" t="s">
        <v>150</v>
      </c>
      <c r="CI235" s="1" t="s">
        <v>150</v>
      </c>
      <c r="CJ235" s="1" t="s">
        <v>150</v>
      </c>
      <c r="CK235" s="1" t="s">
        <v>150</v>
      </c>
      <c r="FC235" s="39" t="s">
        <v>148</v>
      </c>
    </row>
    <row r="236">
      <c r="B236" s="44">
        <v>11.0</v>
      </c>
      <c r="D236" s="39" t="s">
        <v>148</v>
      </c>
      <c r="F236" s="1" t="s">
        <v>149</v>
      </c>
      <c r="I236" s="1" t="s">
        <v>150</v>
      </c>
      <c r="J236" s="1" t="s">
        <v>150</v>
      </c>
      <c r="L236" s="1" t="s">
        <v>150</v>
      </c>
      <c r="P236" s="9"/>
      <c r="Q236" s="1" t="s">
        <v>154</v>
      </c>
      <c r="S236" s="1" t="s">
        <v>150</v>
      </c>
      <c r="Y236" s="1" t="s">
        <v>150</v>
      </c>
      <c r="AK236" s="1" t="s">
        <v>5</v>
      </c>
      <c r="BK236" s="1" t="s">
        <v>150</v>
      </c>
      <c r="BM236" s="1" t="s">
        <v>154</v>
      </c>
      <c r="BW236" s="1" t="s">
        <v>150</v>
      </c>
      <c r="BX236" s="1" t="s">
        <v>150</v>
      </c>
      <c r="BZ236" s="1" t="s">
        <v>158</v>
      </c>
      <c r="CC236" s="15" t="s">
        <v>150</v>
      </c>
      <c r="CF236" s="1" t="s">
        <v>150</v>
      </c>
      <c r="CG236" s="1" t="s">
        <v>150</v>
      </c>
      <c r="CH236" s="1" t="s">
        <v>150</v>
      </c>
      <c r="CI236" s="1" t="s">
        <v>150</v>
      </c>
      <c r="CJ236" s="1" t="s">
        <v>150</v>
      </c>
      <c r="CK236" s="1" t="s">
        <v>150</v>
      </c>
      <c r="FC236" s="39" t="s">
        <v>148</v>
      </c>
    </row>
    <row r="237">
      <c r="B237" s="44">
        <v>12.0</v>
      </c>
      <c r="D237" s="39" t="s">
        <v>148</v>
      </c>
      <c r="F237" s="1" t="s">
        <v>149</v>
      </c>
      <c r="I237" s="1" t="s">
        <v>150</v>
      </c>
      <c r="J237" s="1" t="s">
        <v>150</v>
      </c>
      <c r="L237" s="1" t="s">
        <v>150</v>
      </c>
      <c r="P237" s="9"/>
      <c r="Q237" s="1" t="s">
        <v>154</v>
      </c>
      <c r="S237" s="1" t="s">
        <v>150</v>
      </c>
      <c r="Y237" s="1" t="s">
        <v>150</v>
      </c>
      <c r="AK237" s="1" t="s">
        <v>5</v>
      </c>
      <c r="BK237" s="1" t="s">
        <v>150</v>
      </c>
      <c r="BM237" s="1" t="s">
        <v>154</v>
      </c>
      <c r="BW237" s="1" t="s">
        <v>150</v>
      </c>
      <c r="BX237" s="1" t="s">
        <v>150</v>
      </c>
      <c r="BZ237" s="1" t="s">
        <v>158</v>
      </c>
      <c r="CC237" s="15" t="s">
        <v>150</v>
      </c>
      <c r="CF237" s="1" t="s">
        <v>150</v>
      </c>
      <c r="CG237" s="1" t="s">
        <v>150</v>
      </c>
      <c r="CH237" s="1" t="s">
        <v>150</v>
      </c>
      <c r="CI237" s="1" t="s">
        <v>150</v>
      </c>
      <c r="CJ237" s="1" t="s">
        <v>150</v>
      </c>
      <c r="CK237" s="1" t="s">
        <v>150</v>
      </c>
      <c r="FC237" s="39" t="s">
        <v>148</v>
      </c>
    </row>
    <row r="238">
      <c r="B238" s="44">
        <v>13.0</v>
      </c>
      <c r="D238" s="39" t="s">
        <v>148</v>
      </c>
      <c r="F238" s="1" t="s">
        <v>149</v>
      </c>
      <c r="I238" s="1" t="s">
        <v>150</v>
      </c>
      <c r="J238" s="1" t="s">
        <v>150</v>
      </c>
      <c r="L238" s="1" t="s">
        <v>150</v>
      </c>
      <c r="P238" s="9"/>
      <c r="Q238" s="1" t="s">
        <v>154</v>
      </c>
      <c r="S238" s="1" t="s">
        <v>150</v>
      </c>
      <c r="Y238" s="1" t="s">
        <v>150</v>
      </c>
      <c r="AK238" s="1" t="s">
        <v>5</v>
      </c>
      <c r="BK238" s="1" t="s">
        <v>150</v>
      </c>
      <c r="BM238" s="1" t="s">
        <v>154</v>
      </c>
      <c r="BW238" s="1" t="s">
        <v>150</v>
      </c>
      <c r="BX238" s="1" t="s">
        <v>150</v>
      </c>
      <c r="BZ238" s="1" t="s">
        <v>158</v>
      </c>
      <c r="CC238" s="15" t="s">
        <v>150</v>
      </c>
      <c r="CF238" s="1" t="s">
        <v>150</v>
      </c>
      <c r="CG238" s="1" t="s">
        <v>150</v>
      </c>
      <c r="CH238" s="1" t="s">
        <v>150</v>
      </c>
      <c r="CI238" s="1" t="s">
        <v>150</v>
      </c>
      <c r="CJ238" s="1" t="s">
        <v>150</v>
      </c>
      <c r="CK238" s="1" t="s">
        <v>150</v>
      </c>
      <c r="FC238" s="39" t="s">
        <v>148</v>
      </c>
    </row>
    <row r="239">
      <c r="B239" s="44">
        <v>14.0</v>
      </c>
      <c r="D239" s="39" t="s">
        <v>148</v>
      </c>
      <c r="F239" s="1" t="s">
        <v>149</v>
      </c>
      <c r="I239" s="1" t="s">
        <v>150</v>
      </c>
      <c r="J239" s="1" t="s">
        <v>150</v>
      </c>
      <c r="L239" s="1" t="s">
        <v>150</v>
      </c>
      <c r="P239" s="9"/>
      <c r="Q239" s="1" t="s">
        <v>154</v>
      </c>
      <c r="S239" s="1" t="s">
        <v>150</v>
      </c>
      <c r="Y239" s="1" t="s">
        <v>150</v>
      </c>
      <c r="AK239" s="1" t="s">
        <v>5</v>
      </c>
      <c r="BK239" s="1" t="s">
        <v>150</v>
      </c>
      <c r="BM239" s="1" t="s">
        <v>154</v>
      </c>
      <c r="BW239" s="1" t="s">
        <v>150</v>
      </c>
      <c r="BX239" s="1" t="s">
        <v>150</v>
      </c>
      <c r="BZ239" s="1" t="s">
        <v>158</v>
      </c>
      <c r="CC239" s="15" t="s">
        <v>150</v>
      </c>
      <c r="CF239" s="1" t="s">
        <v>150</v>
      </c>
      <c r="CG239" s="1" t="s">
        <v>150</v>
      </c>
      <c r="CH239" s="1" t="s">
        <v>150</v>
      </c>
      <c r="CI239" s="1" t="s">
        <v>150</v>
      </c>
      <c r="CJ239" s="1" t="s">
        <v>150</v>
      </c>
      <c r="CK239" s="1" t="s">
        <v>150</v>
      </c>
      <c r="FC239" s="39" t="s">
        <v>148</v>
      </c>
    </row>
    <row r="240">
      <c r="B240" s="44">
        <v>15.0</v>
      </c>
      <c r="D240" s="39" t="s">
        <v>148</v>
      </c>
      <c r="F240" s="1" t="s">
        <v>149</v>
      </c>
      <c r="I240" s="1" t="s">
        <v>150</v>
      </c>
      <c r="J240" s="1" t="s">
        <v>150</v>
      </c>
      <c r="L240" s="1" t="s">
        <v>150</v>
      </c>
      <c r="P240" s="9"/>
      <c r="Q240" s="1" t="s">
        <v>154</v>
      </c>
      <c r="S240" s="1" t="s">
        <v>150</v>
      </c>
      <c r="Y240" s="1" t="s">
        <v>150</v>
      </c>
      <c r="AK240" s="1" t="s">
        <v>5</v>
      </c>
      <c r="BK240" s="1" t="s">
        <v>150</v>
      </c>
      <c r="BM240" s="1" t="s">
        <v>154</v>
      </c>
      <c r="BW240" s="1" t="s">
        <v>150</v>
      </c>
      <c r="BX240" s="1" t="s">
        <v>150</v>
      </c>
      <c r="BZ240" s="1" t="s">
        <v>158</v>
      </c>
      <c r="CC240" s="15" t="s">
        <v>150</v>
      </c>
      <c r="CF240" s="1" t="s">
        <v>150</v>
      </c>
      <c r="CG240" s="1" t="s">
        <v>150</v>
      </c>
      <c r="CH240" s="1" t="s">
        <v>150</v>
      </c>
      <c r="CI240" s="1" t="s">
        <v>150</v>
      </c>
      <c r="CJ240" s="1" t="s">
        <v>150</v>
      </c>
      <c r="CK240" s="1" t="s">
        <v>150</v>
      </c>
      <c r="FC240" s="39" t="s">
        <v>148</v>
      </c>
    </row>
    <row r="241">
      <c r="B241" s="44">
        <v>16.0</v>
      </c>
      <c r="D241" s="39" t="s">
        <v>148</v>
      </c>
      <c r="F241" s="1" t="s">
        <v>149</v>
      </c>
      <c r="I241" s="1" t="s">
        <v>150</v>
      </c>
      <c r="J241" s="1" t="s">
        <v>150</v>
      </c>
      <c r="L241" s="1" t="s">
        <v>150</v>
      </c>
      <c r="P241" s="9"/>
      <c r="Q241" s="1" t="s">
        <v>154</v>
      </c>
      <c r="S241" s="1" t="s">
        <v>150</v>
      </c>
      <c r="Y241" s="1" t="s">
        <v>150</v>
      </c>
      <c r="AK241" s="1" t="s">
        <v>5</v>
      </c>
      <c r="BK241" s="1" t="s">
        <v>150</v>
      </c>
      <c r="BM241" s="1" t="s">
        <v>154</v>
      </c>
      <c r="BW241" s="1" t="s">
        <v>150</v>
      </c>
      <c r="BX241" s="1" t="s">
        <v>150</v>
      </c>
      <c r="BZ241" s="1" t="s">
        <v>158</v>
      </c>
      <c r="CC241" s="15" t="s">
        <v>150</v>
      </c>
      <c r="CF241" s="1" t="s">
        <v>150</v>
      </c>
      <c r="CG241" s="1" t="s">
        <v>150</v>
      </c>
      <c r="CH241" s="1" t="s">
        <v>150</v>
      </c>
      <c r="CI241" s="1" t="s">
        <v>150</v>
      </c>
      <c r="CJ241" s="1" t="s">
        <v>150</v>
      </c>
      <c r="CK241" s="1" t="s">
        <v>150</v>
      </c>
      <c r="FC241" s="39" t="s">
        <v>148</v>
      </c>
    </row>
    <row r="242">
      <c r="B242" s="44">
        <v>17.0</v>
      </c>
      <c r="D242" s="39" t="s">
        <v>148</v>
      </c>
      <c r="F242" s="1" t="s">
        <v>149</v>
      </c>
      <c r="I242" s="1" t="s">
        <v>150</v>
      </c>
      <c r="J242" s="1" t="s">
        <v>150</v>
      </c>
      <c r="L242" s="1" t="s">
        <v>150</v>
      </c>
      <c r="P242" s="9"/>
      <c r="Q242" s="1" t="s">
        <v>154</v>
      </c>
      <c r="S242" s="1" t="s">
        <v>150</v>
      </c>
      <c r="Y242" s="1" t="s">
        <v>150</v>
      </c>
      <c r="AK242" s="1" t="s">
        <v>5</v>
      </c>
      <c r="BK242" s="1" t="s">
        <v>150</v>
      </c>
      <c r="BM242" s="1" t="s">
        <v>154</v>
      </c>
      <c r="BW242" s="1" t="s">
        <v>150</v>
      </c>
      <c r="BX242" s="1" t="s">
        <v>150</v>
      </c>
      <c r="BZ242" s="1" t="s">
        <v>158</v>
      </c>
      <c r="CC242" s="15" t="s">
        <v>150</v>
      </c>
      <c r="CF242" s="1" t="s">
        <v>150</v>
      </c>
      <c r="CG242" s="1" t="s">
        <v>150</v>
      </c>
      <c r="CH242" s="1" t="s">
        <v>150</v>
      </c>
      <c r="CI242" s="1" t="s">
        <v>150</v>
      </c>
      <c r="CJ242" s="1" t="s">
        <v>150</v>
      </c>
      <c r="CK242" s="1" t="s">
        <v>150</v>
      </c>
      <c r="FC242" s="39" t="s">
        <v>148</v>
      </c>
    </row>
    <row r="243">
      <c r="B243" s="44">
        <v>18.0</v>
      </c>
      <c r="D243" s="39" t="s">
        <v>148</v>
      </c>
      <c r="F243" s="1" t="s">
        <v>149</v>
      </c>
      <c r="I243" s="1" t="s">
        <v>150</v>
      </c>
      <c r="J243" s="1" t="s">
        <v>150</v>
      </c>
      <c r="L243" s="1" t="s">
        <v>150</v>
      </c>
      <c r="P243" s="9"/>
      <c r="Q243" s="1" t="s">
        <v>154</v>
      </c>
      <c r="S243" s="1" t="s">
        <v>150</v>
      </c>
      <c r="Y243" s="1" t="s">
        <v>150</v>
      </c>
      <c r="AK243" s="1" t="s">
        <v>5</v>
      </c>
      <c r="BK243" s="1" t="s">
        <v>150</v>
      </c>
      <c r="BM243" s="1" t="s">
        <v>154</v>
      </c>
      <c r="BW243" s="1" t="s">
        <v>150</v>
      </c>
      <c r="BX243" s="1" t="s">
        <v>150</v>
      </c>
      <c r="BZ243" s="1" t="s">
        <v>158</v>
      </c>
      <c r="CC243" s="15" t="s">
        <v>150</v>
      </c>
      <c r="CF243" s="1" t="s">
        <v>150</v>
      </c>
      <c r="CG243" s="1" t="s">
        <v>150</v>
      </c>
      <c r="CH243" s="1" t="s">
        <v>150</v>
      </c>
      <c r="CI243" s="1" t="s">
        <v>150</v>
      </c>
      <c r="CJ243" s="1" t="s">
        <v>150</v>
      </c>
      <c r="CK243" s="1" t="s">
        <v>150</v>
      </c>
      <c r="FC243" s="39" t="s">
        <v>148</v>
      </c>
    </row>
    <row r="244">
      <c r="B244" s="44">
        <v>19.0</v>
      </c>
      <c r="D244" s="39" t="s">
        <v>148</v>
      </c>
      <c r="F244" s="1" t="s">
        <v>149</v>
      </c>
      <c r="I244" s="1" t="s">
        <v>150</v>
      </c>
      <c r="J244" s="1" t="s">
        <v>150</v>
      </c>
      <c r="L244" s="1" t="s">
        <v>150</v>
      </c>
      <c r="P244" s="9"/>
      <c r="Q244" s="1" t="s">
        <v>154</v>
      </c>
      <c r="S244" s="1" t="s">
        <v>150</v>
      </c>
      <c r="Y244" s="1" t="s">
        <v>150</v>
      </c>
      <c r="AK244" s="1" t="s">
        <v>5</v>
      </c>
      <c r="BK244" s="1" t="s">
        <v>150</v>
      </c>
      <c r="BM244" s="1" t="s">
        <v>154</v>
      </c>
      <c r="BW244" s="1" t="s">
        <v>150</v>
      </c>
      <c r="BX244" s="1" t="s">
        <v>150</v>
      </c>
      <c r="BZ244" s="1" t="s">
        <v>158</v>
      </c>
      <c r="CC244" s="15" t="s">
        <v>150</v>
      </c>
      <c r="CF244" s="1" t="s">
        <v>150</v>
      </c>
      <c r="CG244" s="1" t="s">
        <v>150</v>
      </c>
      <c r="CH244" s="1" t="s">
        <v>150</v>
      </c>
      <c r="CI244" s="1" t="s">
        <v>150</v>
      </c>
      <c r="CJ244" s="1" t="s">
        <v>150</v>
      </c>
      <c r="CK244" s="1" t="s">
        <v>150</v>
      </c>
      <c r="FC244" s="39" t="s">
        <v>148</v>
      </c>
    </row>
    <row r="245">
      <c r="B245" s="44">
        <v>20.0</v>
      </c>
      <c r="D245" s="39" t="s">
        <v>148</v>
      </c>
      <c r="F245" s="1" t="s">
        <v>149</v>
      </c>
      <c r="I245" s="1" t="s">
        <v>150</v>
      </c>
      <c r="J245" s="1" t="s">
        <v>150</v>
      </c>
      <c r="L245" s="1" t="s">
        <v>150</v>
      </c>
      <c r="P245" s="9"/>
      <c r="Q245" s="1" t="s">
        <v>154</v>
      </c>
      <c r="S245" s="1" t="s">
        <v>150</v>
      </c>
      <c r="Y245" s="1" t="s">
        <v>150</v>
      </c>
      <c r="AK245" s="1" t="s">
        <v>5</v>
      </c>
      <c r="BK245" s="1" t="s">
        <v>150</v>
      </c>
      <c r="BM245" s="1" t="s">
        <v>154</v>
      </c>
      <c r="BW245" s="1" t="s">
        <v>150</v>
      </c>
      <c r="BX245" s="1" t="s">
        <v>150</v>
      </c>
      <c r="BZ245" s="1" t="s">
        <v>158</v>
      </c>
      <c r="CC245" s="15" t="s">
        <v>150</v>
      </c>
      <c r="CF245" s="1" t="s">
        <v>150</v>
      </c>
      <c r="CG245" s="1" t="s">
        <v>150</v>
      </c>
      <c r="CH245" s="1" t="s">
        <v>150</v>
      </c>
      <c r="CI245" s="1" t="s">
        <v>150</v>
      </c>
      <c r="CJ245" s="1" t="s">
        <v>150</v>
      </c>
      <c r="CK245" s="1" t="s">
        <v>150</v>
      </c>
      <c r="FC245" s="39" t="s">
        <v>148</v>
      </c>
    </row>
    <row r="246">
      <c r="B246" s="44">
        <v>21.0</v>
      </c>
      <c r="D246" s="39" t="s">
        <v>148</v>
      </c>
      <c r="F246" s="1" t="s">
        <v>149</v>
      </c>
      <c r="I246" s="1" t="s">
        <v>150</v>
      </c>
      <c r="J246" s="1" t="s">
        <v>150</v>
      </c>
      <c r="L246" s="1" t="s">
        <v>150</v>
      </c>
      <c r="P246" s="9"/>
      <c r="Q246" s="1" t="s">
        <v>154</v>
      </c>
      <c r="S246" s="1" t="s">
        <v>150</v>
      </c>
      <c r="Y246" s="1" t="s">
        <v>150</v>
      </c>
      <c r="AK246" s="1" t="s">
        <v>5</v>
      </c>
      <c r="BK246" s="1" t="s">
        <v>150</v>
      </c>
      <c r="BM246" s="1" t="s">
        <v>154</v>
      </c>
      <c r="BW246" s="1" t="s">
        <v>150</v>
      </c>
      <c r="BX246" s="1" t="s">
        <v>150</v>
      </c>
      <c r="BZ246" s="1" t="s">
        <v>158</v>
      </c>
      <c r="CC246" s="15" t="s">
        <v>150</v>
      </c>
      <c r="CF246" s="1" t="s">
        <v>150</v>
      </c>
      <c r="CG246" s="1" t="s">
        <v>150</v>
      </c>
      <c r="CH246" s="1" t="s">
        <v>150</v>
      </c>
      <c r="CI246" s="1" t="s">
        <v>150</v>
      </c>
      <c r="CJ246" s="1" t="s">
        <v>150</v>
      </c>
      <c r="CK246" s="1" t="s">
        <v>150</v>
      </c>
      <c r="FC246" s="39" t="s">
        <v>148</v>
      </c>
    </row>
    <row r="247">
      <c r="B247" s="44">
        <v>22.0</v>
      </c>
      <c r="D247" s="39" t="s">
        <v>148</v>
      </c>
      <c r="F247" s="1" t="s">
        <v>149</v>
      </c>
      <c r="I247" s="1" t="s">
        <v>150</v>
      </c>
      <c r="J247" s="1" t="s">
        <v>150</v>
      </c>
      <c r="L247" s="1" t="s">
        <v>150</v>
      </c>
      <c r="P247" s="9"/>
      <c r="Q247" s="1" t="s">
        <v>154</v>
      </c>
      <c r="S247" s="1" t="s">
        <v>150</v>
      </c>
      <c r="Y247" s="1" t="s">
        <v>150</v>
      </c>
      <c r="AK247" s="1" t="s">
        <v>5</v>
      </c>
      <c r="BK247" s="1" t="s">
        <v>150</v>
      </c>
      <c r="BM247" s="1" t="s">
        <v>154</v>
      </c>
      <c r="BW247" s="1" t="s">
        <v>150</v>
      </c>
      <c r="BX247" s="1" t="s">
        <v>150</v>
      </c>
      <c r="BZ247" s="1" t="s">
        <v>158</v>
      </c>
      <c r="CC247" s="15" t="s">
        <v>150</v>
      </c>
      <c r="CF247" s="1" t="s">
        <v>150</v>
      </c>
      <c r="CG247" s="1" t="s">
        <v>150</v>
      </c>
      <c r="CH247" s="1" t="s">
        <v>150</v>
      </c>
      <c r="CI247" s="1" t="s">
        <v>150</v>
      </c>
      <c r="CJ247" s="1" t="s">
        <v>150</v>
      </c>
      <c r="CK247" s="1" t="s">
        <v>150</v>
      </c>
      <c r="FC247" s="39" t="s">
        <v>148</v>
      </c>
    </row>
    <row r="248">
      <c r="B248" s="44">
        <v>23.0</v>
      </c>
      <c r="D248" s="39" t="s">
        <v>148</v>
      </c>
      <c r="F248" s="1" t="s">
        <v>149</v>
      </c>
      <c r="I248" s="1" t="s">
        <v>150</v>
      </c>
      <c r="J248" s="1" t="s">
        <v>150</v>
      </c>
      <c r="L248" s="1" t="s">
        <v>150</v>
      </c>
      <c r="P248" s="9"/>
      <c r="Q248" s="1" t="s">
        <v>154</v>
      </c>
      <c r="S248" s="1" t="s">
        <v>150</v>
      </c>
      <c r="Y248" s="1" t="s">
        <v>150</v>
      </c>
      <c r="AK248" s="1" t="s">
        <v>5</v>
      </c>
      <c r="BK248" s="1" t="s">
        <v>150</v>
      </c>
      <c r="BM248" s="1" t="s">
        <v>154</v>
      </c>
      <c r="BW248" s="1" t="s">
        <v>150</v>
      </c>
      <c r="BX248" s="1" t="s">
        <v>150</v>
      </c>
      <c r="BZ248" s="1" t="s">
        <v>158</v>
      </c>
      <c r="CC248" s="15" t="s">
        <v>150</v>
      </c>
      <c r="CF248" s="1" t="s">
        <v>150</v>
      </c>
      <c r="CG248" s="1" t="s">
        <v>150</v>
      </c>
      <c r="CH248" s="1" t="s">
        <v>150</v>
      </c>
      <c r="CI248" s="1" t="s">
        <v>150</v>
      </c>
      <c r="CJ248" s="1" t="s">
        <v>150</v>
      </c>
      <c r="CK248" s="1" t="s">
        <v>150</v>
      </c>
      <c r="FC248" s="39" t="s">
        <v>148</v>
      </c>
    </row>
    <row r="249">
      <c r="B249" s="44">
        <v>24.0</v>
      </c>
      <c r="D249" s="39" t="s">
        <v>148</v>
      </c>
      <c r="F249" s="1" t="s">
        <v>149</v>
      </c>
      <c r="I249" s="1" t="s">
        <v>150</v>
      </c>
      <c r="J249" s="1" t="s">
        <v>150</v>
      </c>
      <c r="L249" s="1" t="s">
        <v>150</v>
      </c>
      <c r="P249" s="9"/>
      <c r="Q249" s="1" t="s">
        <v>154</v>
      </c>
      <c r="S249" s="1" t="s">
        <v>150</v>
      </c>
      <c r="Y249" s="1" t="s">
        <v>150</v>
      </c>
      <c r="AK249" s="1" t="s">
        <v>5</v>
      </c>
      <c r="BK249" s="1" t="s">
        <v>150</v>
      </c>
      <c r="BM249" s="1" t="s">
        <v>154</v>
      </c>
      <c r="BW249" s="1" t="s">
        <v>150</v>
      </c>
      <c r="BX249" s="1" t="s">
        <v>150</v>
      </c>
      <c r="BZ249" s="1" t="s">
        <v>158</v>
      </c>
      <c r="CC249" s="15" t="s">
        <v>150</v>
      </c>
      <c r="CF249" s="1" t="s">
        <v>150</v>
      </c>
      <c r="CG249" s="1" t="s">
        <v>150</v>
      </c>
      <c r="CH249" s="1" t="s">
        <v>150</v>
      </c>
      <c r="CI249" s="1" t="s">
        <v>150</v>
      </c>
      <c r="CJ249" s="1" t="s">
        <v>150</v>
      </c>
      <c r="CK249" s="1" t="s">
        <v>150</v>
      </c>
      <c r="FC249" s="39" t="s">
        <v>148</v>
      </c>
    </row>
    <row r="250">
      <c r="B250" s="44">
        <v>25.0</v>
      </c>
      <c r="D250" s="39" t="s">
        <v>148</v>
      </c>
      <c r="F250" s="1" t="s">
        <v>149</v>
      </c>
      <c r="I250" s="1" t="s">
        <v>150</v>
      </c>
      <c r="J250" s="1" t="s">
        <v>150</v>
      </c>
      <c r="L250" s="1" t="s">
        <v>150</v>
      </c>
      <c r="P250" s="9"/>
      <c r="Q250" s="1" t="s">
        <v>154</v>
      </c>
      <c r="S250" s="1" t="s">
        <v>150</v>
      </c>
      <c r="Y250" s="1" t="s">
        <v>150</v>
      </c>
      <c r="AK250" s="1" t="s">
        <v>5</v>
      </c>
      <c r="BK250" s="1" t="s">
        <v>150</v>
      </c>
      <c r="BM250" s="1" t="s">
        <v>154</v>
      </c>
      <c r="BW250" s="1" t="s">
        <v>150</v>
      </c>
      <c r="BX250" s="1" t="s">
        <v>150</v>
      </c>
      <c r="BZ250" s="1" t="s">
        <v>158</v>
      </c>
      <c r="CC250" s="15" t="s">
        <v>150</v>
      </c>
      <c r="CF250" s="1" t="s">
        <v>150</v>
      </c>
      <c r="CG250" s="1" t="s">
        <v>150</v>
      </c>
      <c r="CH250" s="1" t="s">
        <v>150</v>
      </c>
      <c r="CI250" s="1" t="s">
        <v>150</v>
      </c>
      <c r="CJ250" s="1" t="s">
        <v>150</v>
      </c>
      <c r="CK250" s="1" t="s">
        <v>150</v>
      </c>
      <c r="FC250" s="39" t="s">
        <v>148</v>
      </c>
    </row>
    <row r="251">
      <c r="B251" s="44">
        <v>26.0</v>
      </c>
      <c r="D251" s="39" t="s">
        <v>148</v>
      </c>
      <c r="F251" s="1" t="s">
        <v>149</v>
      </c>
      <c r="I251" s="1" t="s">
        <v>150</v>
      </c>
      <c r="J251" s="1" t="s">
        <v>150</v>
      </c>
      <c r="L251" s="1" t="s">
        <v>150</v>
      </c>
      <c r="P251" s="9"/>
      <c r="Q251" s="1" t="s">
        <v>154</v>
      </c>
      <c r="S251" s="1" t="s">
        <v>150</v>
      </c>
      <c r="Y251" s="1" t="s">
        <v>150</v>
      </c>
      <c r="AK251" s="1" t="s">
        <v>5</v>
      </c>
      <c r="BK251" s="1" t="s">
        <v>150</v>
      </c>
      <c r="BM251" s="1" t="s">
        <v>154</v>
      </c>
      <c r="BW251" s="1" t="s">
        <v>150</v>
      </c>
      <c r="BX251" s="1" t="s">
        <v>150</v>
      </c>
      <c r="BZ251" s="1" t="s">
        <v>158</v>
      </c>
      <c r="CC251" s="15" t="s">
        <v>150</v>
      </c>
      <c r="CF251" s="1" t="s">
        <v>150</v>
      </c>
      <c r="CG251" s="1" t="s">
        <v>150</v>
      </c>
      <c r="CH251" s="1" t="s">
        <v>150</v>
      </c>
      <c r="CI251" s="1" t="s">
        <v>150</v>
      </c>
      <c r="CJ251" s="1" t="s">
        <v>150</v>
      </c>
      <c r="CK251" s="1" t="s">
        <v>150</v>
      </c>
      <c r="FC251" s="39" t="s">
        <v>148</v>
      </c>
    </row>
    <row r="252">
      <c r="B252" s="44">
        <v>27.0</v>
      </c>
      <c r="D252" s="39" t="s">
        <v>148</v>
      </c>
      <c r="F252" s="1" t="s">
        <v>149</v>
      </c>
      <c r="I252" s="1" t="s">
        <v>150</v>
      </c>
      <c r="J252" s="1" t="s">
        <v>150</v>
      </c>
      <c r="L252" s="1" t="s">
        <v>150</v>
      </c>
      <c r="P252" s="9"/>
      <c r="Q252" s="1" t="s">
        <v>154</v>
      </c>
      <c r="S252" s="1" t="s">
        <v>150</v>
      </c>
      <c r="Y252" s="1" t="s">
        <v>150</v>
      </c>
      <c r="AK252" s="1" t="s">
        <v>5</v>
      </c>
      <c r="BK252" s="1" t="s">
        <v>150</v>
      </c>
      <c r="BM252" s="1" t="s">
        <v>154</v>
      </c>
      <c r="BW252" s="1" t="s">
        <v>150</v>
      </c>
      <c r="BX252" s="1" t="s">
        <v>150</v>
      </c>
      <c r="BZ252" s="1" t="s">
        <v>158</v>
      </c>
      <c r="CC252" s="15" t="s">
        <v>150</v>
      </c>
      <c r="CF252" s="1" t="s">
        <v>150</v>
      </c>
      <c r="CG252" s="1" t="s">
        <v>150</v>
      </c>
      <c r="CH252" s="1" t="s">
        <v>150</v>
      </c>
      <c r="CI252" s="1" t="s">
        <v>150</v>
      </c>
      <c r="CJ252" s="1" t="s">
        <v>150</v>
      </c>
      <c r="CK252" s="1" t="s">
        <v>150</v>
      </c>
      <c r="FC252" s="39" t="s">
        <v>148</v>
      </c>
    </row>
    <row r="253">
      <c r="B253" s="44">
        <v>28.0</v>
      </c>
      <c r="D253" s="39" t="s">
        <v>148</v>
      </c>
      <c r="F253" s="1" t="s">
        <v>149</v>
      </c>
      <c r="I253" s="1" t="s">
        <v>150</v>
      </c>
      <c r="J253" s="1" t="s">
        <v>150</v>
      </c>
      <c r="L253" s="1" t="s">
        <v>150</v>
      </c>
      <c r="P253" s="9"/>
      <c r="Q253" s="1" t="s">
        <v>154</v>
      </c>
      <c r="S253" s="1" t="s">
        <v>150</v>
      </c>
      <c r="Y253" s="1" t="s">
        <v>150</v>
      </c>
      <c r="AK253" s="1" t="s">
        <v>5</v>
      </c>
      <c r="BK253" s="1" t="s">
        <v>150</v>
      </c>
      <c r="BM253" s="1" t="s">
        <v>154</v>
      </c>
      <c r="BW253" s="1" t="s">
        <v>150</v>
      </c>
      <c r="BX253" s="1" t="s">
        <v>150</v>
      </c>
      <c r="BZ253" s="1" t="s">
        <v>158</v>
      </c>
      <c r="CC253" s="15" t="s">
        <v>150</v>
      </c>
      <c r="CF253" s="1" t="s">
        <v>150</v>
      </c>
      <c r="CG253" s="1" t="s">
        <v>150</v>
      </c>
      <c r="CH253" s="1" t="s">
        <v>150</v>
      </c>
      <c r="CI253" s="1" t="s">
        <v>150</v>
      </c>
      <c r="CJ253" s="1" t="s">
        <v>150</v>
      </c>
      <c r="CK253" s="1" t="s">
        <v>150</v>
      </c>
      <c r="FC253" s="39" t="s">
        <v>148</v>
      </c>
    </row>
    <row r="254">
      <c r="B254" s="44">
        <v>29.0</v>
      </c>
      <c r="D254" s="39" t="s">
        <v>148</v>
      </c>
      <c r="F254" s="1" t="s">
        <v>149</v>
      </c>
      <c r="I254" s="1" t="s">
        <v>150</v>
      </c>
      <c r="J254" s="1" t="s">
        <v>150</v>
      </c>
      <c r="L254" s="1" t="s">
        <v>150</v>
      </c>
      <c r="P254" s="9"/>
      <c r="Q254" s="1" t="s">
        <v>154</v>
      </c>
      <c r="S254" s="1" t="s">
        <v>150</v>
      </c>
      <c r="Y254" s="1" t="s">
        <v>150</v>
      </c>
      <c r="AK254" s="1" t="s">
        <v>5</v>
      </c>
      <c r="BK254" s="1" t="s">
        <v>150</v>
      </c>
      <c r="BM254" s="1" t="s">
        <v>154</v>
      </c>
      <c r="BW254" s="1" t="s">
        <v>150</v>
      </c>
      <c r="BX254" s="1" t="s">
        <v>150</v>
      </c>
      <c r="BZ254" s="1" t="s">
        <v>158</v>
      </c>
      <c r="CC254" s="15" t="s">
        <v>150</v>
      </c>
      <c r="CF254" s="1" t="s">
        <v>150</v>
      </c>
      <c r="CG254" s="1" t="s">
        <v>150</v>
      </c>
      <c r="CH254" s="1" t="s">
        <v>150</v>
      </c>
      <c r="CI254" s="1" t="s">
        <v>150</v>
      </c>
      <c r="CJ254" s="1" t="s">
        <v>150</v>
      </c>
      <c r="CK254" s="1" t="s">
        <v>150</v>
      </c>
      <c r="FC254" s="39" t="s">
        <v>148</v>
      </c>
    </row>
    <row r="255">
      <c r="B255" s="44">
        <v>30.0</v>
      </c>
      <c r="D255" s="39" t="s">
        <v>148</v>
      </c>
      <c r="F255" s="1" t="s">
        <v>149</v>
      </c>
      <c r="I255" s="1" t="s">
        <v>150</v>
      </c>
      <c r="J255" s="1" t="s">
        <v>150</v>
      </c>
      <c r="L255" s="1" t="s">
        <v>150</v>
      </c>
      <c r="P255" s="9"/>
      <c r="Q255" s="1" t="s">
        <v>154</v>
      </c>
      <c r="S255" s="1" t="s">
        <v>150</v>
      </c>
      <c r="Y255" s="1" t="s">
        <v>150</v>
      </c>
      <c r="AK255" s="1" t="s">
        <v>5</v>
      </c>
      <c r="BK255" s="1" t="s">
        <v>150</v>
      </c>
      <c r="BM255" s="1" t="s">
        <v>154</v>
      </c>
      <c r="BW255" s="1" t="s">
        <v>150</v>
      </c>
      <c r="BX255" s="1" t="s">
        <v>150</v>
      </c>
      <c r="BZ255" s="1" t="s">
        <v>158</v>
      </c>
      <c r="CC255" s="15" t="s">
        <v>150</v>
      </c>
      <c r="CF255" s="1" t="s">
        <v>150</v>
      </c>
      <c r="CG255" s="1" t="s">
        <v>150</v>
      </c>
      <c r="CH255" s="1" t="s">
        <v>150</v>
      </c>
      <c r="CI255" s="1" t="s">
        <v>150</v>
      </c>
      <c r="CJ255" s="1" t="s">
        <v>150</v>
      </c>
      <c r="CK255" s="1" t="s">
        <v>150</v>
      </c>
      <c r="FC255" s="39" t="s">
        <v>148</v>
      </c>
    </row>
    <row r="256">
      <c r="B256" s="44">
        <v>31.0</v>
      </c>
      <c r="D256" s="39" t="s">
        <v>148</v>
      </c>
      <c r="F256" s="1" t="s">
        <v>149</v>
      </c>
      <c r="I256" s="1" t="s">
        <v>150</v>
      </c>
      <c r="J256" s="1" t="s">
        <v>150</v>
      </c>
      <c r="L256" s="1" t="s">
        <v>150</v>
      </c>
      <c r="P256" s="9"/>
      <c r="Q256" s="1" t="s">
        <v>154</v>
      </c>
      <c r="S256" s="1" t="s">
        <v>150</v>
      </c>
      <c r="Y256" s="1" t="s">
        <v>150</v>
      </c>
      <c r="AK256" s="1" t="s">
        <v>5</v>
      </c>
      <c r="BK256" s="1" t="s">
        <v>150</v>
      </c>
      <c r="BM256" s="1" t="s">
        <v>154</v>
      </c>
      <c r="BW256" s="1" t="s">
        <v>150</v>
      </c>
      <c r="BX256" s="1" t="s">
        <v>150</v>
      </c>
      <c r="BZ256" s="1" t="s">
        <v>158</v>
      </c>
      <c r="CC256" s="15" t="s">
        <v>150</v>
      </c>
      <c r="CF256" s="1" t="s">
        <v>150</v>
      </c>
      <c r="CG256" s="1" t="s">
        <v>150</v>
      </c>
      <c r="CH256" s="1" t="s">
        <v>150</v>
      </c>
      <c r="CI256" s="1" t="s">
        <v>150</v>
      </c>
      <c r="CJ256" s="1" t="s">
        <v>150</v>
      </c>
      <c r="CK256" s="1" t="s">
        <v>150</v>
      </c>
      <c r="FC256" s="39" t="s">
        <v>148</v>
      </c>
    </row>
    <row r="257">
      <c r="B257" s="44">
        <v>32.0</v>
      </c>
      <c r="D257" s="39" t="s">
        <v>148</v>
      </c>
      <c r="F257" s="1" t="s">
        <v>149</v>
      </c>
      <c r="I257" s="1" t="s">
        <v>150</v>
      </c>
      <c r="J257" s="1" t="s">
        <v>150</v>
      </c>
      <c r="L257" s="1" t="s">
        <v>150</v>
      </c>
      <c r="P257" s="9"/>
      <c r="Q257" s="1" t="s">
        <v>154</v>
      </c>
      <c r="S257" s="1" t="s">
        <v>150</v>
      </c>
      <c r="Y257" s="1" t="s">
        <v>150</v>
      </c>
      <c r="AK257" s="1" t="s">
        <v>5</v>
      </c>
      <c r="BK257" s="1" t="s">
        <v>150</v>
      </c>
      <c r="BM257" s="1" t="s">
        <v>154</v>
      </c>
      <c r="BW257" s="1" t="s">
        <v>150</v>
      </c>
      <c r="BX257" s="1" t="s">
        <v>150</v>
      </c>
      <c r="BZ257" s="1" t="s">
        <v>158</v>
      </c>
      <c r="CC257" s="15" t="s">
        <v>150</v>
      </c>
      <c r="CF257" s="1" t="s">
        <v>150</v>
      </c>
      <c r="CG257" s="1" t="s">
        <v>150</v>
      </c>
      <c r="CH257" s="1" t="s">
        <v>150</v>
      </c>
      <c r="CI257" s="1" t="s">
        <v>150</v>
      </c>
      <c r="CJ257" s="1" t="s">
        <v>150</v>
      </c>
      <c r="CK257" s="1" t="s">
        <v>150</v>
      </c>
      <c r="FC257" s="39" t="s">
        <v>148</v>
      </c>
    </row>
    <row r="258">
      <c r="B258" s="44">
        <v>33.0</v>
      </c>
      <c r="D258" s="39" t="s">
        <v>148</v>
      </c>
      <c r="F258" s="1" t="s">
        <v>149</v>
      </c>
      <c r="I258" s="1" t="s">
        <v>150</v>
      </c>
      <c r="J258" s="1" t="s">
        <v>150</v>
      </c>
      <c r="L258" s="1" t="s">
        <v>150</v>
      </c>
      <c r="P258" s="9"/>
      <c r="Q258" s="1" t="s">
        <v>154</v>
      </c>
      <c r="S258" s="1" t="s">
        <v>150</v>
      </c>
      <c r="Y258" s="1" t="s">
        <v>150</v>
      </c>
      <c r="AK258" s="1" t="s">
        <v>5</v>
      </c>
      <c r="BK258" s="1" t="s">
        <v>150</v>
      </c>
      <c r="BM258" s="1" t="s">
        <v>154</v>
      </c>
      <c r="BW258" s="1" t="s">
        <v>150</v>
      </c>
      <c r="BX258" s="1" t="s">
        <v>150</v>
      </c>
      <c r="BZ258" s="1" t="s">
        <v>158</v>
      </c>
      <c r="CC258" s="15" t="s">
        <v>150</v>
      </c>
      <c r="CF258" s="1" t="s">
        <v>150</v>
      </c>
      <c r="CG258" s="1" t="s">
        <v>150</v>
      </c>
      <c r="CH258" s="1" t="s">
        <v>150</v>
      </c>
      <c r="CI258" s="1" t="s">
        <v>150</v>
      </c>
      <c r="CJ258" s="1" t="s">
        <v>150</v>
      </c>
      <c r="CK258" s="1" t="s">
        <v>150</v>
      </c>
      <c r="FC258" s="39" t="s">
        <v>148</v>
      </c>
    </row>
    <row r="259">
      <c r="B259" s="44">
        <v>34.0</v>
      </c>
      <c r="D259" s="39" t="s">
        <v>148</v>
      </c>
      <c r="F259" s="1" t="s">
        <v>149</v>
      </c>
      <c r="I259" s="1" t="s">
        <v>150</v>
      </c>
      <c r="J259" s="1" t="s">
        <v>150</v>
      </c>
      <c r="L259" s="1" t="s">
        <v>150</v>
      </c>
      <c r="P259" s="9"/>
      <c r="Q259" s="1" t="s">
        <v>154</v>
      </c>
      <c r="S259" s="1" t="s">
        <v>150</v>
      </c>
      <c r="Y259" s="1" t="s">
        <v>150</v>
      </c>
      <c r="AK259" s="1" t="s">
        <v>5</v>
      </c>
      <c r="BK259" s="1" t="s">
        <v>150</v>
      </c>
      <c r="BM259" s="1" t="s">
        <v>154</v>
      </c>
      <c r="BW259" s="1" t="s">
        <v>150</v>
      </c>
      <c r="BX259" s="1" t="s">
        <v>150</v>
      </c>
      <c r="BZ259" s="1" t="s">
        <v>158</v>
      </c>
      <c r="CC259" s="15" t="s">
        <v>150</v>
      </c>
      <c r="CF259" s="1" t="s">
        <v>150</v>
      </c>
      <c r="CG259" s="1" t="s">
        <v>150</v>
      </c>
      <c r="CH259" s="1" t="s">
        <v>150</v>
      </c>
      <c r="CI259" s="1" t="s">
        <v>150</v>
      </c>
      <c r="CJ259" s="1" t="s">
        <v>150</v>
      </c>
      <c r="CK259" s="1" t="s">
        <v>150</v>
      </c>
      <c r="FC259" s="39" t="s">
        <v>148</v>
      </c>
    </row>
    <row r="260">
      <c r="B260" s="44">
        <v>35.0</v>
      </c>
      <c r="D260" s="39" t="s">
        <v>148</v>
      </c>
      <c r="F260" s="1" t="s">
        <v>149</v>
      </c>
      <c r="I260" s="1" t="s">
        <v>150</v>
      </c>
      <c r="J260" s="1" t="s">
        <v>150</v>
      </c>
      <c r="L260" s="1" t="s">
        <v>150</v>
      </c>
      <c r="P260" s="9"/>
      <c r="Q260" s="1" t="s">
        <v>154</v>
      </c>
      <c r="S260" s="1" t="s">
        <v>150</v>
      </c>
      <c r="Y260" s="1" t="s">
        <v>150</v>
      </c>
      <c r="AK260" s="1" t="s">
        <v>5</v>
      </c>
      <c r="BK260" s="1" t="s">
        <v>150</v>
      </c>
      <c r="BM260" s="1" t="s">
        <v>154</v>
      </c>
      <c r="BW260" s="1" t="s">
        <v>150</v>
      </c>
      <c r="BX260" s="1" t="s">
        <v>150</v>
      </c>
      <c r="BZ260" s="1" t="s">
        <v>158</v>
      </c>
      <c r="CC260" s="15" t="s">
        <v>150</v>
      </c>
      <c r="CF260" s="1" t="s">
        <v>150</v>
      </c>
      <c r="CG260" s="1" t="s">
        <v>150</v>
      </c>
      <c r="CH260" s="1" t="s">
        <v>150</v>
      </c>
      <c r="CI260" s="1" t="s">
        <v>150</v>
      </c>
      <c r="CJ260" s="1" t="s">
        <v>150</v>
      </c>
      <c r="CK260" s="1" t="s">
        <v>150</v>
      </c>
      <c r="FC260" s="39" t="s">
        <v>148</v>
      </c>
    </row>
    <row r="261">
      <c r="B261" s="44">
        <v>36.0</v>
      </c>
      <c r="D261" s="39" t="s">
        <v>148</v>
      </c>
      <c r="F261" s="1" t="s">
        <v>149</v>
      </c>
      <c r="I261" s="1" t="s">
        <v>150</v>
      </c>
      <c r="J261" s="1" t="s">
        <v>150</v>
      </c>
      <c r="L261" s="1" t="s">
        <v>150</v>
      </c>
      <c r="P261" s="9"/>
      <c r="Q261" s="1" t="s">
        <v>154</v>
      </c>
      <c r="S261" s="1" t="s">
        <v>150</v>
      </c>
      <c r="Y261" s="1" t="s">
        <v>150</v>
      </c>
      <c r="AK261" s="1" t="s">
        <v>5</v>
      </c>
      <c r="BK261" s="1" t="s">
        <v>150</v>
      </c>
      <c r="BM261" s="1" t="s">
        <v>154</v>
      </c>
      <c r="BW261" s="1" t="s">
        <v>150</v>
      </c>
      <c r="BX261" s="1" t="s">
        <v>150</v>
      </c>
      <c r="BZ261" s="1" t="s">
        <v>158</v>
      </c>
      <c r="CC261" s="15" t="s">
        <v>150</v>
      </c>
      <c r="CF261" s="1" t="s">
        <v>150</v>
      </c>
      <c r="CG261" s="1" t="s">
        <v>150</v>
      </c>
      <c r="CH261" s="1" t="s">
        <v>150</v>
      </c>
      <c r="CI261" s="1" t="s">
        <v>150</v>
      </c>
      <c r="CJ261" s="1" t="s">
        <v>150</v>
      </c>
      <c r="CK261" s="1" t="s">
        <v>150</v>
      </c>
      <c r="FC261" s="39" t="s">
        <v>148</v>
      </c>
    </row>
    <row r="262">
      <c r="B262" s="44">
        <v>37.0</v>
      </c>
      <c r="D262" s="39" t="s">
        <v>148</v>
      </c>
      <c r="F262" s="1" t="s">
        <v>149</v>
      </c>
      <c r="I262" s="1" t="s">
        <v>150</v>
      </c>
      <c r="J262" s="1" t="s">
        <v>150</v>
      </c>
      <c r="L262" s="1" t="s">
        <v>150</v>
      </c>
      <c r="P262" s="9"/>
      <c r="Q262" s="1" t="s">
        <v>154</v>
      </c>
      <c r="S262" s="1" t="s">
        <v>150</v>
      </c>
      <c r="Y262" s="1" t="s">
        <v>150</v>
      </c>
      <c r="AK262" s="1" t="s">
        <v>5</v>
      </c>
      <c r="BK262" s="1" t="s">
        <v>150</v>
      </c>
      <c r="BM262" s="1" t="s">
        <v>154</v>
      </c>
      <c r="BW262" s="1" t="s">
        <v>150</v>
      </c>
      <c r="BX262" s="1" t="s">
        <v>150</v>
      </c>
      <c r="BZ262" s="1" t="s">
        <v>158</v>
      </c>
      <c r="CC262" s="15" t="s">
        <v>150</v>
      </c>
      <c r="CF262" s="1" t="s">
        <v>150</v>
      </c>
      <c r="CG262" s="1" t="s">
        <v>150</v>
      </c>
      <c r="CH262" s="1" t="s">
        <v>150</v>
      </c>
      <c r="CI262" s="1" t="s">
        <v>150</v>
      </c>
      <c r="CJ262" s="1" t="s">
        <v>150</v>
      </c>
      <c r="CK262" s="1" t="s">
        <v>150</v>
      </c>
      <c r="FC262" s="39" t="s">
        <v>148</v>
      </c>
    </row>
    <row r="263">
      <c r="B263" s="44">
        <v>38.0</v>
      </c>
      <c r="D263" s="39" t="s">
        <v>148</v>
      </c>
      <c r="F263" s="1" t="s">
        <v>149</v>
      </c>
      <c r="I263" s="1" t="s">
        <v>150</v>
      </c>
      <c r="J263" s="1" t="s">
        <v>150</v>
      </c>
      <c r="L263" s="1" t="s">
        <v>150</v>
      </c>
      <c r="P263" s="9"/>
      <c r="Q263" s="1" t="s">
        <v>154</v>
      </c>
      <c r="S263" s="1" t="s">
        <v>150</v>
      </c>
      <c r="Y263" s="1" t="s">
        <v>150</v>
      </c>
      <c r="AK263" s="1" t="s">
        <v>5</v>
      </c>
      <c r="BK263" s="1" t="s">
        <v>150</v>
      </c>
      <c r="BM263" s="1" t="s">
        <v>154</v>
      </c>
      <c r="BW263" s="1" t="s">
        <v>150</v>
      </c>
      <c r="BX263" s="1" t="s">
        <v>150</v>
      </c>
      <c r="BZ263" s="1" t="s">
        <v>158</v>
      </c>
      <c r="CC263" s="15" t="s">
        <v>150</v>
      </c>
      <c r="CF263" s="1" t="s">
        <v>150</v>
      </c>
      <c r="CG263" s="1" t="s">
        <v>150</v>
      </c>
      <c r="CH263" s="1" t="s">
        <v>150</v>
      </c>
      <c r="CI263" s="1" t="s">
        <v>150</v>
      </c>
      <c r="CJ263" s="1" t="s">
        <v>150</v>
      </c>
      <c r="CK263" s="1" t="s">
        <v>150</v>
      </c>
      <c r="FC263" s="39" t="s">
        <v>148</v>
      </c>
    </row>
    <row r="264">
      <c r="B264" s="44">
        <v>39.0</v>
      </c>
      <c r="D264" s="39" t="s">
        <v>148</v>
      </c>
      <c r="F264" s="1" t="s">
        <v>149</v>
      </c>
      <c r="I264" s="1" t="s">
        <v>150</v>
      </c>
      <c r="J264" s="1" t="s">
        <v>150</v>
      </c>
      <c r="L264" s="1" t="s">
        <v>150</v>
      </c>
      <c r="P264" s="9"/>
      <c r="Q264" s="1" t="s">
        <v>154</v>
      </c>
      <c r="S264" s="1" t="s">
        <v>150</v>
      </c>
      <c r="Y264" s="1" t="s">
        <v>150</v>
      </c>
      <c r="AK264" s="1" t="s">
        <v>5</v>
      </c>
      <c r="BK264" s="1" t="s">
        <v>150</v>
      </c>
      <c r="BM264" s="1" t="s">
        <v>154</v>
      </c>
      <c r="BW264" s="1" t="s">
        <v>150</v>
      </c>
      <c r="BX264" s="1" t="s">
        <v>150</v>
      </c>
      <c r="BZ264" s="1" t="s">
        <v>158</v>
      </c>
      <c r="CC264" s="15" t="s">
        <v>150</v>
      </c>
      <c r="CF264" s="1" t="s">
        <v>150</v>
      </c>
      <c r="CG264" s="1" t="s">
        <v>150</v>
      </c>
      <c r="CH264" s="1" t="s">
        <v>150</v>
      </c>
      <c r="CI264" s="1" t="s">
        <v>150</v>
      </c>
      <c r="CJ264" s="1" t="s">
        <v>150</v>
      </c>
      <c r="CK264" s="1" t="s">
        <v>150</v>
      </c>
      <c r="FC264" s="39" t="s">
        <v>148</v>
      </c>
    </row>
    <row r="265">
      <c r="B265" s="44">
        <v>40.0</v>
      </c>
      <c r="D265" s="39" t="s">
        <v>148</v>
      </c>
      <c r="F265" s="1" t="s">
        <v>149</v>
      </c>
      <c r="I265" s="1" t="s">
        <v>150</v>
      </c>
      <c r="J265" s="1" t="s">
        <v>150</v>
      </c>
      <c r="L265" s="1" t="s">
        <v>150</v>
      </c>
      <c r="P265" s="9"/>
      <c r="Q265" s="1" t="s">
        <v>154</v>
      </c>
      <c r="S265" s="1" t="s">
        <v>150</v>
      </c>
      <c r="Y265" s="1" t="s">
        <v>150</v>
      </c>
      <c r="AK265" s="1" t="s">
        <v>5</v>
      </c>
      <c r="BK265" s="1" t="s">
        <v>150</v>
      </c>
      <c r="BM265" s="1" t="s">
        <v>154</v>
      </c>
      <c r="BW265" s="1" t="s">
        <v>150</v>
      </c>
      <c r="BX265" s="1" t="s">
        <v>150</v>
      </c>
      <c r="BZ265" s="1" t="s">
        <v>158</v>
      </c>
      <c r="CC265" s="15" t="s">
        <v>150</v>
      </c>
      <c r="CF265" s="1" t="s">
        <v>150</v>
      </c>
      <c r="CG265" s="1" t="s">
        <v>150</v>
      </c>
      <c r="CH265" s="1" t="s">
        <v>150</v>
      </c>
      <c r="CI265" s="1" t="s">
        <v>150</v>
      </c>
      <c r="CJ265" s="1" t="s">
        <v>150</v>
      </c>
      <c r="CK265" s="1" t="s">
        <v>150</v>
      </c>
      <c r="FC265" s="39" t="s">
        <v>148</v>
      </c>
    </row>
    <row r="266">
      <c r="B266" s="44">
        <v>41.0</v>
      </c>
      <c r="D266" s="39" t="s">
        <v>148</v>
      </c>
      <c r="F266" s="1" t="s">
        <v>149</v>
      </c>
      <c r="I266" s="1" t="s">
        <v>150</v>
      </c>
      <c r="J266" s="1" t="s">
        <v>150</v>
      </c>
      <c r="L266" s="1" t="s">
        <v>150</v>
      </c>
      <c r="P266" s="9"/>
      <c r="Q266" s="1" t="s">
        <v>154</v>
      </c>
      <c r="S266" s="1" t="s">
        <v>150</v>
      </c>
      <c r="Y266" s="1" t="s">
        <v>150</v>
      </c>
      <c r="AK266" s="1" t="s">
        <v>5</v>
      </c>
      <c r="BK266" s="1" t="s">
        <v>150</v>
      </c>
      <c r="BM266" s="1" t="s">
        <v>154</v>
      </c>
      <c r="BW266" s="1" t="s">
        <v>150</v>
      </c>
      <c r="BX266" s="1" t="s">
        <v>150</v>
      </c>
      <c r="BZ266" s="1" t="s">
        <v>158</v>
      </c>
      <c r="CC266" s="15" t="s">
        <v>150</v>
      </c>
      <c r="CF266" s="1" t="s">
        <v>150</v>
      </c>
      <c r="CG266" s="1" t="s">
        <v>150</v>
      </c>
      <c r="CH266" s="1" t="s">
        <v>150</v>
      </c>
      <c r="CI266" s="1" t="s">
        <v>150</v>
      </c>
      <c r="CJ266" s="1" t="s">
        <v>150</v>
      </c>
      <c r="CK266" s="1" t="s">
        <v>150</v>
      </c>
      <c r="FC266" s="39" t="s">
        <v>148</v>
      </c>
    </row>
    <row r="267">
      <c r="B267" s="44">
        <v>42.0</v>
      </c>
      <c r="D267" s="39" t="s">
        <v>148</v>
      </c>
      <c r="F267" s="1" t="s">
        <v>149</v>
      </c>
      <c r="I267" s="1" t="s">
        <v>150</v>
      </c>
      <c r="J267" s="1" t="s">
        <v>150</v>
      </c>
      <c r="L267" s="1" t="s">
        <v>150</v>
      </c>
      <c r="P267" s="9"/>
      <c r="Q267" s="1" t="s">
        <v>154</v>
      </c>
      <c r="S267" s="1" t="s">
        <v>150</v>
      </c>
      <c r="Y267" s="1" t="s">
        <v>150</v>
      </c>
      <c r="AK267" s="1" t="s">
        <v>5</v>
      </c>
      <c r="BK267" s="1" t="s">
        <v>150</v>
      </c>
      <c r="BM267" s="1" t="s">
        <v>154</v>
      </c>
      <c r="BW267" s="1" t="s">
        <v>150</v>
      </c>
      <c r="BX267" s="1" t="s">
        <v>150</v>
      </c>
      <c r="BZ267" s="1" t="s">
        <v>158</v>
      </c>
      <c r="CC267" s="15" t="s">
        <v>150</v>
      </c>
      <c r="CF267" s="1" t="s">
        <v>150</v>
      </c>
      <c r="CG267" s="1" t="s">
        <v>150</v>
      </c>
      <c r="CH267" s="1" t="s">
        <v>150</v>
      </c>
      <c r="CI267" s="1" t="s">
        <v>150</v>
      </c>
      <c r="CJ267" s="1" t="s">
        <v>150</v>
      </c>
      <c r="CK267" s="1" t="s">
        <v>150</v>
      </c>
      <c r="FC267" s="39" t="s">
        <v>148</v>
      </c>
    </row>
    <row r="268">
      <c r="B268" s="44">
        <v>43.0</v>
      </c>
      <c r="D268" s="39" t="s">
        <v>148</v>
      </c>
      <c r="F268" s="1" t="s">
        <v>149</v>
      </c>
      <c r="I268" s="1" t="s">
        <v>150</v>
      </c>
      <c r="J268" s="1" t="s">
        <v>150</v>
      </c>
      <c r="L268" s="1" t="s">
        <v>150</v>
      </c>
      <c r="P268" s="9"/>
      <c r="Q268" s="1" t="s">
        <v>154</v>
      </c>
      <c r="S268" s="1" t="s">
        <v>150</v>
      </c>
      <c r="Y268" s="1" t="s">
        <v>150</v>
      </c>
      <c r="AK268" s="1" t="s">
        <v>5</v>
      </c>
      <c r="BK268" s="1" t="s">
        <v>150</v>
      </c>
      <c r="BM268" s="1" t="s">
        <v>154</v>
      </c>
      <c r="BW268" s="1" t="s">
        <v>150</v>
      </c>
      <c r="BX268" s="1" t="s">
        <v>150</v>
      </c>
      <c r="BZ268" s="1" t="s">
        <v>158</v>
      </c>
      <c r="CC268" s="15" t="s">
        <v>150</v>
      </c>
      <c r="CF268" s="1" t="s">
        <v>150</v>
      </c>
      <c r="CG268" s="1" t="s">
        <v>150</v>
      </c>
      <c r="CH268" s="1" t="s">
        <v>150</v>
      </c>
      <c r="CI268" s="1" t="s">
        <v>150</v>
      </c>
      <c r="CJ268" s="1" t="s">
        <v>150</v>
      </c>
      <c r="CK268" s="1" t="s">
        <v>150</v>
      </c>
      <c r="FC268" s="39" t="s">
        <v>148</v>
      </c>
    </row>
    <row r="269">
      <c r="B269" s="44">
        <v>44.0</v>
      </c>
      <c r="D269" s="39" t="s">
        <v>148</v>
      </c>
      <c r="F269" s="1" t="s">
        <v>149</v>
      </c>
      <c r="I269" s="1" t="s">
        <v>150</v>
      </c>
      <c r="J269" s="1" t="s">
        <v>150</v>
      </c>
      <c r="L269" s="1" t="s">
        <v>150</v>
      </c>
      <c r="P269" s="9"/>
      <c r="Q269" s="1" t="s">
        <v>154</v>
      </c>
      <c r="S269" s="1" t="s">
        <v>150</v>
      </c>
      <c r="Y269" s="1" t="s">
        <v>150</v>
      </c>
      <c r="AK269" s="1" t="s">
        <v>5</v>
      </c>
      <c r="BK269" s="1" t="s">
        <v>150</v>
      </c>
      <c r="BM269" s="1" t="s">
        <v>154</v>
      </c>
      <c r="BW269" s="1" t="s">
        <v>150</v>
      </c>
      <c r="BX269" s="1" t="s">
        <v>150</v>
      </c>
      <c r="BZ269" s="1" t="s">
        <v>158</v>
      </c>
      <c r="CC269" s="15" t="s">
        <v>150</v>
      </c>
      <c r="CF269" s="1" t="s">
        <v>150</v>
      </c>
      <c r="CG269" s="1" t="s">
        <v>150</v>
      </c>
      <c r="CH269" s="1" t="s">
        <v>150</v>
      </c>
      <c r="CI269" s="1" t="s">
        <v>150</v>
      </c>
      <c r="CJ269" s="1" t="s">
        <v>150</v>
      </c>
      <c r="CK269" s="1" t="s">
        <v>150</v>
      </c>
      <c r="FC269" s="39" t="s">
        <v>148</v>
      </c>
    </row>
    <row r="270">
      <c r="B270" s="44">
        <v>45.0</v>
      </c>
      <c r="D270" s="39" t="s">
        <v>148</v>
      </c>
      <c r="F270" s="1" t="s">
        <v>149</v>
      </c>
      <c r="I270" s="1" t="s">
        <v>150</v>
      </c>
      <c r="J270" s="1" t="s">
        <v>150</v>
      </c>
      <c r="L270" s="1" t="s">
        <v>150</v>
      </c>
      <c r="P270" s="9"/>
      <c r="Q270" s="1" t="s">
        <v>154</v>
      </c>
      <c r="S270" s="1" t="s">
        <v>150</v>
      </c>
      <c r="Y270" s="1" t="s">
        <v>150</v>
      </c>
      <c r="AK270" s="1" t="s">
        <v>5</v>
      </c>
      <c r="BK270" s="1" t="s">
        <v>150</v>
      </c>
      <c r="BM270" s="1" t="s">
        <v>154</v>
      </c>
      <c r="BW270" s="1" t="s">
        <v>150</v>
      </c>
      <c r="BX270" s="1" t="s">
        <v>150</v>
      </c>
      <c r="BZ270" s="1" t="s">
        <v>158</v>
      </c>
      <c r="CC270" s="15" t="s">
        <v>150</v>
      </c>
      <c r="CF270" s="1" t="s">
        <v>150</v>
      </c>
      <c r="CG270" s="1" t="s">
        <v>150</v>
      </c>
      <c r="CH270" s="1" t="s">
        <v>150</v>
      </c>
      <c r="CI270" s="1" t="s">
        <v>150</v>
      </c>
      <c r="CJ270" s="1" t="s">
        <v>150</v>
      </c>
      <c r="CK270" s="1" t="s">
        <v>150</v>
      </c>
      <c r="FC270" s="39" t="s">
        <v>148</v>
      </c>
    </row>
    <row r="271">
      <c r="B271" s="44">
        <v>46.0</v>
      </c>
      <c r="D271" s="39" t="s">
        <v>148</v>
      </c>
      <c r="F271" s="1" t="s">
        <v>149</v>
      </c>
      <c r="I271" s="1" t="s">
        <v>150</v>
      </c>
      <c r="J271" s="1" t="s">
        <v>150</v>
      </c>
      <c r="L271" s="1" t="s">
        <v>150</v>
      </c>
      <c r="P271" s="9"/>
      <c r="Q271" s="1" t="s">
        <v>154</v>
      </c>
      <c r="S271" s="1" t="s">
        <v>150</v>
      </c>
      <c r="Y271" s="1" t="s">
        <v>150</v>
      </c>
      <c r="AK271" s="1" t="s">
        <v>5</v>
      </c>
      <c r="BK271" s="1" t="s">
        <v>150</v>
      </c>
      <c r="BM271" s="1" t="s">
        <v>154</v>
      </c>
      <c r="BW271" s="1" t="s">
        <v>150</v>
      </c>
      <c r="BX271" s="1" t="s">
        <v>150</v>
      </c>
      <c r="BZ271" s="1" t="s">
        <v>158</v>
      </c>
      <c r="CC271" s="15" t="s">
        <v>150</v>
      </c>
      <c r="CF271" s="1" t="s">
        <v>150</v>
      </c>
      <c r="CG271" s="1" t="s">
        <v>150</v>
      </c>
      <c r="CH271" s="1" t="s">
        <v>150</v>
      </c>
      <c r="CI271" s="1" t="s">
        <v>150</v>
      </c>
      <c r="CJ271" s="1" t="s">
        <v>150</v>
      </c>
      <c r="CK271" s="1" t="s">
        <v>150</v>
      </c>
      <c r="FC271" s="39" t="s">
        <v>148</v>
      </c>
    </row>
    <row r="272">
      <c r="B272" s="44">
        <v>47.0</v>
      </c>
      <c r="D272" s="39" t="s">
        <v>148</v>
      </c>
      <c r="F272" s="1" t="s">
        <v>149</v>
      </c>
      <c r="I272" s="1" t="s">
        <v>150</v>
      </c>
      <c r="J272" s="1" t="s">
        <v>150</v>
      </c>
      <c r="L272" s="1" t="s">
        <v>150</v>
      </c>
      <c r="P272" s="9"/>
      <c r="Q272" s="1" t="s">
        <v>154</v>
      </c>
      <c r="S272" s="1" t="s">
        <v>150</v>
      </c>
      <c r="Y272" s="1" t="s">
        <v>150</v>
      </c>
      <c r="AK272" s="1" t="s">
        <v>5</v>
      </c>
      <c r="BK272" s="1" t="s">
        <v>150</v>
      </c>
      <c r="BM272" s="1" t="s">
        <v>154</v>
      </c>
      <c r="BW272" s="1" t="s">
        <v>150</v>
      </c>
      <c r="BX272" s="1" t="s">
        <v>150</v>
      </c>
      <c r="BZ272" s="1" t="s">
        <v>158</v>
      </c>
      <c r="CC272" s="15" t="s">
        <v>150</v>
      </c>
      <c r="CF272" s="1" t="s">
        <v>150</v>
      </c>
      <c r="CG272" s="1" t="s">
        <v>150</v>
      </c>
      <c r="CH272" s="1" t="s">
        <v>150</v>
      </c>
      <c r="CI272" s="1" t="s">
        <v>150</v>
      </c>
      <c r="CJ272" s="1" t="s">
        <v>150</v>
      </c>
      <c r="CK272" s="1" t="s">
        <v>150</v>
      </c>
      <c r="FC272" s="39" t="s">
        <v>148</v>
      </c>
    </row>
    <row r="273">
      <c r="B273" s="44">
        <v>48.0</v>
      </c>
      <c r="D273" s="39" t="s">
        <v>148</v>
      </c>
      <c r="F273" s="1" t="s">
        <v>149</v>
      </c>
      <c r="I273" s="1" t="s">
        <v>150</v>
      </c>
      <c r="J273" s="1" t="s">
        <v>150</v>
      </c>
      <c r="L273" s="1" t="s">
        <v>150</v>
      </c>
      <c r="P273" s="9"/>
      <c r="Q273" s="1" t="s">
        <v>154</v>
      </c>
      <c r="S273" s="1" t="s">
        <v>150</v>
      </c>
      <c r="Y273" s="1" t="s">
        <v>150</v>
      </c>
      <c r="AK273" s="1" t="s">
        <v>5</v>
      </c>
      <c r="BK273" s="1" t="s">
        <v>150</v>
      </c>
      <c r="BM273" s="1" t="s">
        <v>154</v>
      </c>
      <c r="BW273" s="1" t="s">
        <v>150</v>
      </c>
      <c r="BX273" s="1" t="s">
        <v>150</v>
      </c>
      <c r="BZ273" s="1" t="s">
        <v>158</v>
      </c>
      <c r="CC273" s="15" t="s">
        <v>150</v>
      </c>
      <c r="CF273" s="1" t="s">
        <v>150</v>
      </c>
      <c r="CG273" s="1" t="s">
        <v>150</v>
      </c>
      <c r="CH273" s="1" t="s">
        <v>150</v>
      </c>
      <c r="CI273" s="1" t="s">
        <v>150</v>
      </c>
      <c r="CJ273" s="1" t="s">
        <v>150</v>
      </c>
      <c r="CK273" s="1" t="s">
        <v>150</v>
      </c>
      <c r="FC273" s="39" t="s">
        <v>148</v>
      </c>
    </row>
    <row r="274">
      <c r="B274" s="44">
        <v>49.0</v>
      </c>
      <c r="D274" s="39" t="s">
        <v>148</v>
      </c>
      <c r="F274" s="1" t="s">
        <v>149</v>
      </c>
      <c r="I274" s="1" t="s">
        <v>150</v>
      </c>
      <c r="J274" s="1" t="s">
        <v>150</v>
      </c>
      <c r="L274" s="1" t="s">
        <v>150</v>
      </c>
      <c r="P274" s="9"/>
      <c r="Q274" s="1" t="s">
        <v>154</v>
      </c>
      <c r="S274" s="1" t="s">
        <v>150</v>
      </c>
      <c r="Y274" s="1" t="s">
        <v>150</v>
      </c>
      <c r="AK274" s="1" t="s">
        <v>5</v>
      </c>
      <c r="BK274" s="1" t="s">
        <v>150</v>
      </c>
      <c r="BM274" s="1" t="s">
        <v>154</v>
      </c>
      <c r="BW274" s="1" t="s">
        <v>150</v>
      </c>
      <c r="BX274" s="1" t="s">
        <v>150</v>
      </c>
      <c r="BZ274" s="1" t="s">
        <v>158</v>
      </c>
      <c r="CC274" s="15" t="s">
        <v>150</v>
      </c>
      <c r="CF274" s="1" t="s">
        <v>150</v>
      </c>
      <c r="CG274" s="1" t="s">
        <v>150</v>
      </c>
      <c r="CH274" s="1" t="s">
        <v>150</v>
      </c>
      <c r="CI274" s="1" t="s">
        <v>150</v>
      </c>
      <c r="CJ274" s="1" t="s">
        <v>150</v>
      </c>
      <c r="CK274" s="1" t="s">
        <v>150</v>
      </c>
      <c r="FC274" s="39" t="s">
        <v>148</v>
      </c>
    </row>
    <row r="275">
      <c r="B275" s="44">
        <v>50.0</v>
      </c>
      <c r="D275" s="39" t="s">
        <v>148</v>
      </c>
      <c r="F275" s="1" t="s">
        <v>149</v>
      </c>
      <c r="I275" s="1" t="s">
        <v>150</v>
      </c>
      <c r="J275" s="1" t="s">
        <v>150</v>
      </c>
      <c r="L275" s="1" t="s">
        <v>150</v>
      </c>
      <c r="P275" s="9"/>
      <c r="Q275" s="1" t="s">
        <v>154</v>
      </c>
      <c r="S275" s="1" t="s">
        <v>150</v>
      </c>
      <c r="Y275" s="1" t="s">
        <v>150</v>
      </c>
      <c r="AK275" s="1" t="s">
        <v>5</v>
      </c>
      <c r="BK275" s="1" t="s">
        <v>150</v>
      </c>
      <c r="BM275" s="1" t="s">
        <v>154</v>
      </c>
      <c r="BW275" s="1" t="s">
        <v>150</v>
      </c>
      <c r="BX275" s="1" t="s">
        <v>150</v>
      </c>
      <c r="BZ275" s="1" t="s">
        <v>158</v>
      </c>
      <c r="CC275" s="15" t="s">
        <v>150</v>
      </c>
      <c r="CF275" s="1" t="s">
        <v>150</v>
      </c>
      <c r="CG275" s="1" t="s">
        <v>150</v>
      </c>
      <c r="CH275" s="1" t="s">
        <v>150</v>
      </c>
      <c r="CI275" s="1" t="s">
        <v>150</v>
      </c>
      <c r="CJ275" s="1" t="s">
        <v>150</v>
      </c>
      <c r="CK275" s="1" t="s">
        <v>150</v>
      </c>
      <c r="FC275" s="39" t="s">
        <v>148</v>
      </c>
    </row>
    <row r="276">
      <c r="B276" s="44">
        <v>51.0</v>
      </c>
      <c r="D276" s="39" t="s">
        <v>148</v>
      </c>
      <c r="F276" s="1" t="s">
        <v>149</v>
      </c>
      <c r="I276" s="1" t="s">
        <v>150</v>
      </c>
      <c r="J276" s="1" t="s">
        <v>150</v>
      </c>
      <c r="L276" s="1" t="s">
        <v>150</v>
      </c>
      <c r="P276" s="9"/>
      <c r="Q276" s="1" t="s">
        <v>154</v>
      </c>
      <c r="S276" s="1" t="s">
        <v>150</v>
      </c>
      <c r="Y276" s="1" t="s">
        <v>150</v>
      </c>
      <c r="AK276" s="1" t="s">
        <v>5</v>
      </c>
      <c r="BK276" s="1" t="s">
        <v>150</v>
      </c>
      <c r="BM276" s="1" t="s">
        <v>154</v>
      </c>
      <c r="BW276" s="1" t="s">
        <v>150</v>
      </c>
      <c r="BX276" s="1" t="s">
        <v>150</v>
      </c>
      <c r="BZ276" s="1" t="s">
        <v>158</v>
      </c>
      <c r="CC276" s="15" t="s">
        <v>150</v>
      </c>
      <c r="CF276" s="1" t="s">
        <v>150</v>
      </c>
      <c r="CG276" s="1" t="s">
        <v>150</v>
      </c>
      <c r="CH276" s="1" t="s">
        <v>150</v>
      </c>
      <c r="CI276" s="1" t="s">
        <v>150</v>
      </c>
      <c r="CJ276" s="1" t="s">
        <v>150</v>
      </c>
      <c r="CK276" s="1" t="s">
        <v>150</v>
      </c>
      <c r="FC276" s="39" t="s">
        <v>148</v>
      </c>
    </row>
    <row r="277">
      <c r="B277" s="44">
        <v>52.0</v>
      </c>
      <c r="D277" s="39" t="s">
        <v>148</v>
      </c>
      <c r="F277" s="1" t="s">
        <v>149</v>
      </c>
      <c r="I277" s="1" t="s">
        <v>150</v>
      </c>
      <c r="J277" s="1" t="s">
        <v>150</v>
      </c>
      <c r="L277" s="1" t="s">
        <v>150</v>
      </c>
      <c r="P277" s="9"/>
      <c r="Q277" s="1" t="s">
        <v>154</v>
      </c>
      <c r="S277" s="1" t="s">
        <v>150</v>
      </c>
      <c r="Y277" s="1" t="s">
        <v>150</v>
      </c>
      <c r="AK277" s="1" t="s">
        <v>5</v>
      </c>
      <c r="BK277" s="1" t="s">
        <v>150</v>
      </c>
      <c r="BM277" s="1" t="s">
        <v>154</v>
      </c>
      <c r="BW277" s="1" t="s">
        <v>150</v>
      </c>
      <c r="BX277" s="1" t="s">
        <v>150</v>
      </c>
      <c r="BZ277" s="1" t="s">
        <v>158</v>
      </c>
      <c r="CC277" s="15" t="s">
        <v>150</v>
      </c>
      <c r="CF277" s="1" t="s">
        <v>150</v>
      </c>
      <c r="CG277" s="1" t="s">
        <v>150</v>
      </c>
      <c r="CH277" s="1" t="s">
        <v>150</v>
      </c>
      <c r="CI277" s="1" t="s">
        <v>150</v>
      </c>
      <c r="CJ277" s="1" t="s">
        <v>150</v>
      </c>
      <c r="CK277" s="1" t="s">
        <v>150</v>
      </c>
      <c r="FC277" s="39" t="s">
        <v>148</v>
      </c>
    </row>
    <row r="278">
      <c r="B278" s="44">
        <v>53.0</v>
      </c>
      <c r="D278" s="39" t="s">
        <v>148</v>
      </c>
      <c r="F278" s="1" t="s">
        <v>149</v>
      </c>
      <c r="I278" s="1" t="s">
        <v>150</v>
      </c>
      <c r="J278" s="1" t="s">
        <v>150</v>
      </c>
      <c r="L278" s="1" t="s">
        <v>150</v>
      </c>
      <c r="P278" s="9"/>
      <c r="Q278" s="1" t="s">
        <v>154</v>
      </c>
      <c r="S278" s="1" t="s">
        <v>150</v>
      </c>
      <c r="Y278" s="1" t="s">
        <v>150</v>
      </c>
      <c r="AK278" s="1" t="s">
        <v>5</v>
      </c>
      <c r="BK278" s="1" t="s">
        <v>150</v>
      </c>
      <c r="BM278" s="1" t="s">
        <v>154</v>
      </c>
      <c r="BW278" s="1" t="s">
        <v>150</v>
      </c>
      <c r="BX278" s="1" t="s">
        <v>150</v>
      </c>
      <c r="BZ278" s="1" t="s">
        <v>158</v>
      </c>
      <c r="CC278" s="15" t="s">
        <v>150</v>
      </c>
      <c r="CF278" s="1" t="s">
        <v>150</v>
      </c>
      <c r="CG278" s="1" t="s">
        <v>150</v>
      </c>
      <c r="CH278" s="1" t="s">
        <v>150</v>
      </c>
      <c r="CI278" s="1" t="s">
        <v>150</v>
      </c>
      <c r="CJ278" s="1" t="s">
        <v>150</v>
      </c>
      <c r="CK278" s="1" t="s">
        <v>150</v>
      </c>
      <c r="FC278" s="39" t="s">
        <v>148</v>
      </c>
    </row>
    <row r="279">
      <c r="B279" s="44">
        <v>54.0</v>
      </c>
      <c r="D279" s="39" t="s">
        <v>148</v>
      </c>
      <c r="F279" s="1" t="s">
        <v>149</v>
      </c>
      <c r="I279" s="1" t="s">
        <v>150</v>
      </c>
      <c r="J279" s="1" t="s">
        <v>150</v>
      </c>
      <c r="L279" s="1" t="s">
        <v>150</v>
      </c>
      <c r="P279" s="9"/>
      <c r="Q279" s="1" t="s">
        <v>154</v>
      </c>
      <c r="S279" s="1" t="s">
        <v>150</v>
      </c>
      <c r="Y279" s="1" t="s">
        <v>150</v>
      </c>
      <c r="AK279" s="1" t="s">
        <v>5</v>
      </c>
      <c r="BK279" s="1" t="s">
        <v>150</v>
      </c>
      <c r="BM279" s="1" t="s">
        <v>154</v>
      </c>
      <c r="BW279" s="1" t="s">
        <v>150</v>
      </c>
      <c r="BX279" s="1" t="s">
        <v>150</v>
      </c>
      <c r="BZ279" s="1" t="s">
        <v>158</v>
      </c>
      <c r="CC279" s="15" t="s">
        <v>150</v>
      </c>
      <c r="CF279" s="1" t="s">
        <v>150</v>
      </c>
      <c r="CG279" s="1" t="s">
        <v>150</v>
      </c>
      <c r="CH279" s="1" t="s">
        <v>150</v>
      </c>
      <c r="CI279" s="1" t="s">
        <v>150</v>
      </c>
      <c r="CJ279" s="1" t="s">
        <v>150</v>
      </c>
      <c r="CK279" s="1" t="s">
        <v>150</v>
      </c>
      <c r="FC279" s="39" t="s">
        <v>148</v>
      </c>
    </row>
    <row r="280">
      <c r="B280" s="44">
        <v>55.0</v>
      </c>
      <c r="D280" s="39" t="s">
        <v>148</v>
      </c>
      <c r="F280" s="1" t="s">
        <v>149</v>
      </c>
      <c r="I280" s="1" t="s">
        <v>150</v>
      </c>
      <c r="J280" s="1" t="s">
        <v>150</v>
      </c>
      <c r="L280" s="1" t="s">
        <v>150</v>
      </c>
      <c r="P280" s="9"/>
      <c r="Q280" s="1" t="s">
        <v>154</v>
      </c>
      <c r="S280" s="1" t="s">
        <v>150</v>
      </c>
      <c r="Y280" s="1" t="s">
        <v>150</v>
      </c>
      <c r="AK280" s="1" t="s">
        <v>5</v>
      </c>
      <c r="BK280" s="1" t="s">
        <v>150</v>
      </c>
      <c r="BM280" s="1" t="s">
        <v>154</v>
      </c>
      <c r="BW280" s="1" t="s">
        <v>150</v>
      </c>
      <c r="BX280" s="1" t="s">
        <v>150</v>
      </c>
      <c r="BZ280" s="1" t="s">
        <v>158</v>
      </c>
      <c r="CC280" s="15" t="s">
        <v>150</v>
      </c>
      <c r="CF280" s="1" t="s">
        <v>150</v>
      </c>
      <c r="CG280" s="1" t="s">
        <v>150</v>
      </c>
      <c r="CH280" s="1" t="s">
        <v>150</v>
      </c>
      <c r="CI280" s="1" t="s">
        <v>150</v>
      </c>
      <c r="CJ280" s="1" t="s">
        <v>150</v>
      </c>
      <c r="CK280" s="1" t="s">
        <v>150</v>
      </c>
      <c r="FC280" s="39" t="s">
        <v>148</v>
      </c>
    </row>
    <row r="281">
      <c r="B281" s="44">
        <v>56.0</v>
      </c>
      <c r="D281" s="39" t="s">
        <v>148</v>
      </c>
      <c r="F281" s="1" t="s">
        <v>149</v>
      </c>
      <c r="I281" s="1" t="s">
        <v>150</v>
      </c>
      <c r="J281" s="1" t="s">
        <v>150</v>
      </c>
      <c r="L281" s="1" t="s">
        <v>150</v>
      </c>
      <c r="P281" s="9"/>
      <c r="Q281" s="1" t="s">
        <v>154</v>
      </c>
      <c r="S281" s="1" t="s">
        <v>150</v>
      </c>
      <c r="Y281" s="1" t="s">
        <v>150</v>
      </c>
      <c r="AK281" s="1" t="s">
        <v>5</v>
      </c>
      <c r="BK281" s="1" t="s">
        <v>150</v>
      </c>
      <c r="BM281" s="1" t="s">
        <v>154</v>
      </c>
      <c r="BW281" s="1" t="s">
        <v>150</v>
      </c>
      <c r="BX281" s="1" t="s">
        <v>150</v>
      </c>
      <c r="BZ281" s="1" t="s">
        <v>158</v>
      </c>
      <c r="CC281" s="15" t="s">
        <v>150</v>
      </c>
      <c r="CF281" s="1" t="s">
        <v>150</v>
      </c>
      <c r="CG281" s="1" t="s">
        <v>150</v>
      </c>
      <c r="CH281" s="1" t="s">
        <v>150</v>
      </c>
      <c r="CI281" s="1" t="s">
        <v>150</v>
      </c>
      <c r="CJ281" s="1" t="s">
        <v>150</v>
      </c>
      <c r="CK281" s="1" t="s">
        <v>150</v>
      </c>
      <c r="FC281" s="39" t="s">
        <v>148</v>
      </c>
    </row>
    <row r="282">
      <c r="B282" s="44">
        <v>57.0</v>
      </c>
      <c r="D282" s="39" t="s">
        <v>148</v>
      </c>
      <c r="F282" s="1" t="s">
        <v>149</v>
      </c>
      <c r="I282" s="1" t="s">
        <v>150</v>
      </c>
      <c r="J282" s="1" t="s">
        <v>150</v>
      </c>
      <c r="L282" s="1" t="s">
        <v>150</v>
      </c>
      <c r="P282" s="9"/>
      <c r="Q282" s="1" t="s">
        <v>154</v>
      </c>
      <c r="S282" s="1" t="s">
        <v>150</v>
      </c>
      <c r="Y282" s="1" t="s">
        <v>150</v>
      </c>
      <c r="AK282" s="1" t="s">
        <v>5</v>
      </c>
      <c r="BK282" s="1" t="s">
        <v>150</v>
      </c>
      <c r="BM282" s="1" t="s">
        <v>154</v>
      </c>
      <c r="BW282" s="1" t="s">
        <v>150</v>
      </c>
      <c r="BX282" s="1" t="s">
        <v>150</v>
      </c>
      <c r="BZ282" s="1" t="s">
        <v>158</v>
      </c>
      <c r="CC282" s="15" t="s">
        <v>150</v>
      </c>
      <c r="CF282" s="1" t="s">
        <v>150</v>
      </c>
      <c r="CG282" s="1" t="s">
        <v>150</v>
      </c>
      <c r="CH282" s="1" t="s">
        <v>150</v>
      </c>
      <c r="CI282" s="1" t="s">
        <v>150</v>
      </c>
      <c r="CJ282" s="1" t="s">
        <v>150</v>
      </c>
      <c r="CK282" s="1" t="s">
        <v>150</v>
      </c>
      <c r="FC282" s="39" t="s">
        <v>148</v>
      </c>
    </row>
    <row r="283">
      <c r="B283" s="44">
        <v>58.0</v>
      </c>
      <c r="D283" s="39" t="s">
        <v>148</v>
      </c>
      <c r="F283" s="1" t="s">
        <v>149</v>
      </c>
      <c r="I283" s="1" t="s">
        <v>150</v>
      </c>
      <c r="J283" s="1" t="s">
        <v>150</v>
      </c>
      <c r="L283" s="1" t="s">
        <v>150</v>
      </c>
      <c r="P283" s="9"/>
      <c r="Q283" s="1" t="s">
        <v>154</v>
      </c>
      <c r="S283" s="1" t="s">
        <v>150</v>
      </c>
      <c r="Y283" s="1" t="s">
        <v>150</v>
      </c>
      <c r="AK283" s="1" t="s">
        <v>5</v>
      </c>
      <c r="BK283" s="1" t="s">
        <v>150</v>
      </c>
      <c r="BM283" s="1" t="s">
        <v>154</v>
      </c>
      <c r="BW283" s="1" t="s">
        <v>150</v>
      </c>
      <c r="BX283" s="1" t="s">
        <v>150</v>
      </c>
      <c r="BZ283" s="1" t="s">
        <v>158</v>
      </c>
      <c r="CC283" s="15" t="s">
        <v>150</v>
      </c>
      <c r="CF283" s="1" t="s">
        <v>150</v>
      </c>
      <c r="CG283" s="1" t="s">
        <v>150</v>
      </c>
      <c r="CH283" s="1" t="s">
        <v>150</v>
      </c>
      <c r="CI283" s="1" t="s">
        <v>150</v>
      </c>
      <c r="CJ283" s="1" t="s">
        <v>150</v>
      </c>
      <c r="CK283" s="1" t="s">
        <v>150</v>
      </c>
      <c r="FC283" s="39" t="s">
        <v>148</v>
      </c>
    </row>
    <row r="284">
      <c r="B284" s="44">
        <v>59.0</v>
      </c>
      <c r="D284" s="39" t="s">
        <v>148</v>
      </c>
      <c r="F284" s="1" t="s">
        <v>149</v>
      </c>
      <c r="I284" s="1" t="s">
        <v>150</v>
      </c>
      <c r="J284" s="1" t="s">
        <v>150</v>
      </c>
      <c r="L284" s="1" t="s">
        <v>150</v>
      </c>
      <c r="P284" s="9"/>
      <c r="Q284" s="1" t="s">
        <v>154</v>
      </c>
      <c r="S284" s="1" t="s">
        <v>150</v>
      </c>
      <c r="Y284" s="1" t="s">
        <v>150</v>
      </c>
      <c r="AK284" s="1" t="s">
        <v>5</v>
      </c>
      <c r="BK284" s="1" t="s">
        <v>150</v>
      </c>
      <c r="BM284" s="1" t="s">
        <v>154</v>
      </c>
      <c r="BW284" s="1" t="s">
        <v>150</v>
      </c>
      <c r="BX284" s="1" t="s">
        <v>150</v>
      </c>
      <c r="BZ284" s="1" t="s">
        <v>158</v>
      </c>
      <c r="CC284" s="15" t="s">
        <v>150</v>
      </c>
      <c r="CF284" s="1" t="s">
        <v>150</v>
      </c>
      <c r="CG284" s="1" t="s">
        <v>150</v>
      </c>
      <c r="CH284" s="1" t="s">
        <v>150</v>
      </c>
      <c r="CI284" s="1" t="s">
        <v>150</v>
      </c>
      <c r="CJ284" s="1" t="s">
        <v>150</v>
      </c>
      <c r="CK284" s="1" t="s">
        <v>150</v>
      </c>
      <c r="FC284" s="39" t="s">
        <v>148</v>
      </c>
    </row>
    <row r="285">
      <c r="A285" s="44" t="s">
        <v>777</v>
      </c>
      <c r="B285" s="44">
        <v>60.0</v>
      </c>
      <c r="D285" s="39" t="s">
        <v>148</v>
      </c>
      <c r="F285" s="1" t="s">
        <v>149</v>
      </c>
      <c r="I285" s="1" t="s">
        <v>150</v>
      </c>
      <c r="J285" s="1" t="s">
        <v>150</v>
      </c>
      <c r="L285" s="1" t="s">
        <v>150</v>
      </c>
      <c r="P285" s="9"/>
      <c r="Q285" s="1" t="s">
        <v>154</v>
      </c>
      <c r="S285" s="1" t="s">
        <v>150</v>
      </c>
      <c r="Y285" s="1" t="s">
        <v>150</v>
      </c>
      <c r="AK285" s="1" t="s">
        <v>5</v>
      </c>
      <c r="BK285" s="1" t="s">
        <v>150</v>
      </c>
      <c r="BM285" s="1" t="s">
        <v>154</v>
      </c>
      <c r="BW285" s="1" t="s">
        <v>150</v>
      </c>
      <c r="BX285" s="1" t="s">
        <v>150</v>
      </c>
      <c r="BZ285" s="1" t="s">
        <v>158</v>
      </c>
      <c r="CC285" s="15" t="s">
        <v>150</v>
      </c>
      <c r="CF285" s="1" t="s">
        <v>150</v>
      </c>
      <c r="CG285" s="1" t="s">
        <v>150</v>
      </c>
      <c r="CH285" s="1" t="s">
        <v>150</v>
      </c>
      <c r="CI285" s="1" t="s">
        <v>150</v>
      </c>
      <c r="CJ285" s="1" t="s">
        <v>150</v>
      </c>
      <c r="CK285" s="1" t="s">
        <v>150</v>
      </c>
      <c r="FC285" s="39" t="s">
        <v>148</v>
      </c>
    </row>
    <row r="286">
      <c r="A286" s="44" t="s">
        <v>778</v>
      </c>
    </row>
    <row r="287">
      <c r="A287" s="44">
        <v>1.0</v>
      </c>
      <c r="B287" s="45">
        <v>1.0</v>
      </c>
      <c r="C287" s="44">
        <v>8563.0</v>
      </c>
      <c r="D287" s="44" t="s">
        <v>779</v>
      </c>
      <c r="E287" s="44">
        <v>65.0</v>
      </c>
      <c r="F287" s="44" t="s">
        <v>149</v>
      </c>
      <c r="H287" s="44">
        <v>31.0</v>
      </c>
      <c r="I287" s="44" t="s">
        <v>150</v>
      </c>
      <c r="J287" s="44" t="s">
        <v>150</v>
      </c>
      <c r="L287" s="44" t="s">
        <v>150</v>
      </c>
      <c r="M287" s="44" t="s">
        <v>154</v>
      </c>
      <c r="N287" s="44" t="s">
        <v>192</v>
      </c>
      <c r="O287" s="44" t="s">
        <v>154</v>
      </c>
      <c r="P287" s="44" t="s">
        <v>150</v>
      </c>
      <c r="Q287" s="44" t="s">
        <v>154</v>
      </c>
      <c r="R287" s="44">
        <v>3.0</v>
      </c>
      <c r="S287" s="44" t="s">
        <v>150</v>
      </c>
      <c r="X287" s="44" t="s">
        <v>150</v>
      </c>
      <c r="Y287" s="44" t="s">
        <v>150</v>
      </c>
      <c r="AD287" s="44" t="s">
        <v>150</v>
      </c>
      <c r="AE287" s="44" t="s">
        <v>150</v>
      </c>
      <c r="AG287" s="44" t="s">
        <v>618</v>
      </c>
      <c r="AH287" s="44" t="s">
        <v>154</v>
      </c>
      <c r="AI287" s="44" t="s">
        <v>780</v>
      </c>
      <c r="AJ287" s="44">
        <v>2.0</v>
      </c>
      <c r="AK287" s="44" t="s">
        <v>5</v>
      </c>
      <c r="AL287" s="44" t="s">
        <v>150</v>
      </c>
      <c r="AN287" s="44">
        <v>15.0</v>
      </c>
      <c r="AO287" s="44" t="s">
        <v>150</v>
      </c>
      <c r="AP287" s="44">
        <v>174.0</v>
      </c>
      <c r="AQ287" s="44">
        <v>145.0</v>
      </c>
      <c r="AT287" s="44">
        <v>127.0</v>
      </c>
      <c r="AU287" s="44">
        <v>95.0</v>
      </c>
      <c r="AW287" s="44">
        <v>124.0</v>
      </c>
      <c r="AX287" s="44">
        <v>37.4</v>
      </c>
      <c r="AY287" s="44">
        <v>22.0</v>
      </c>
      <c r="AZ287" s="44">
        <v>83.0</v>
      </c>
      <c r="BA287" s="44" t="s">
        <v>154</v>
      </c>
      <c r="BB287" s="44">
        <v>93.0</v>
      </c>
      <c r="BC287" s="44">
        <v>60.0</v>
      </c>
      <c r="BF287" s="44">
        <v>4.0</v>
      </c>
      <c r="BG287" s="44" t="s">
        <v>150</v>
      </c>
      <c r="BI287" s="44" t="s">
        <v>154</v>
      </c>
      <c r="BJ287" s="44" t="s">
        <v>175</v>
      </c>
      <c r="BK287" s="44" t="s">
        <v>150</v>
      </c>
      <c r="BM287" s="44" t="s">
        <v>154</v>
      </c>
      <c r="BN287" s="44" t="s">
        <v>448</v>
      </c>
      <c r="BO287" s="44" t="s">
        <v>154</v>
      </c>
      <c r="BP287" s="44" t="s">
        <v>157</v>
      </c>
      <c r="BQ287" s="46"/>
      <c r="BR287" s="44" t="s">
        <v>154</v>
      </c>
      <c r="BS287" s="44" t="s">
        <v>170</v>
      </c>
      <c r="BT287" s="44">
        <v>48.0</v>
      </c>
      <c r="BU287" s="44" t="s">
        <v>157</v>
      </c>
      <c r="BW287" s="44" t="s">
        <v>154</v>
      </c>
      <c r="BX287" s="44" t="s">
        <v>150</v>
      </c>
      <c r="BZ287" s="44" t="s">
        <v>158</v>
      </c>
      <c r="CA287" s="44" t="s">
        <v>150</v>
      </c>
      <c r="CB287" s="44" t="s">
        <v>150</v>
      </c>
      <c r="CC287" s="44" t="s">
        <v>150</v>
      </c>
      <c r="CD287" s="44" t="s">
        <v>150</v>
      </c>
      <c r="CE287" s="44" t="s">
        <v>150</v>
      </c>
      <c r="CF287" s="44" t="s">
        <v>150</v>
      </c>
      <c r="CG287" s="44" t="s">
        <v>150</v>
      </c>
      <c r="CH287" s="44" t="s">
        <v>150</v>
      </c>
      <c r="CI287" s="44" t="s">
        <v>150</v>
      </c>
      <c r="CJ287" s="44" t="s">
        <v>150</v>
      </c>
      <c r="CK287" s="44" t="s">
        <v>150</v>
      </c>
      <c r="CL287" s="44" t="s">
        <v>781</v>
      </c>
      <c r="CM287" s="44">
        <v>13.0</v>
      </c>
      <c r="CN287" s="44">
        <v>94.5</v>
      </c>
      <c r="CP287" s="44">
        <v>2.3</v>
      </c>
      <c r="CR287" s="44">
        <v>2.6</v>
      </c>
      <c r="CT287" s="44">
        <v>0.0</v>
      </c>
      <c r="CW287" s="44">
        <v>4.71</v>
      </c>
      <c r="CX287" s="44">
        <v>148.0</v>
      </c>
      <c r="CZ287" s="44">
        <v>15.0</v>
      </c>
      <c r="DB287" s="44">
        <v>15.7</v>
      </c>
      <c r="DC287" s="44">
        <v>12.4</v>
      </c>
      <c r="DD287" s="44">
        <v>83.2</v>
      </c>
      <c r="DF287" s="44">
        <v>13.9</v>
      </c>
      <c r="DH287" s="44">
        <v>1.5</v>
      </c>
      <c r="DJ287" s="44">
        <v>0.7</v>
      </c>
      <c r="DM287" s="44">
        <v>5.05</v>
      </c>
      <c r="DN287" s="44">
        <v>155.0</v>
      </c>
      <c r="DP287" s="44">
        <v>20.0</v>
      </c>
      <c r="DS287" s="44">
        <v>520.0</v>
      </c>
      <c r="DT287" s="46"/>
      <c r="DU287" s="44">
        <v>11.8</v>
      </c>
      <c r="DV287" s="44">
        <v>1.0</v>
      </c>
      <c r="DW287" s="46"/>
      <c r="DX287" s="44">
        <v>406.0</v>
      </c>
      <c r="DY287" s="46"/>
      <c r="DZ287" s="44">
        <v>9.8</v>
      </c>
      <c r="EA287" s="44">
        <v>0.83</v>
      </c>
      <c r="EB287" s="44">
        <v>406.0</v>
      </c>
      <c r="EC287" s="44">
        <v>7.6</v>
      </c>
      <c r="ED287" s="44">
        <v>12.0</v>
      </c>
      <c r="EE287" s="44">
        <v>33.8</v>
      </c>
      <c r="EF287" s="44">
        <v>59.6</v>
      </c>
      <c r="EG287" s="44">
        <v>66.1</v>
      </c>
      <c r="EH287" s="44">
        <v>9.9</v>
      </c>
      <c r="EI287" s="44">
        <v>4.9</v>
      </c>
      <c r="EJ287" s="44">
        <v>131.0</v>
      </c>
      <c r="EM287" s="46"/>
      <c r="EN287" s="46"/>
      <c r="EO287" s="44">
        <v>335.2</v>
      </c>
      <c r="EP287" s="44">
        <v>42.9</v>
      </c>
      <c r="EQ287" s="44">
        <v>61.7</v>
      </c>
      <c r="ER287" s="44">
        <v>10.4</v>
      </c>
      <c r="ES287" s="44">
        <v>3.6</v>
      </c>
      <c r="ET287" s="44">
        <v>96.0</v>
      </c>
      <c r="EW287" s="46"/>
      <c r="EX287" s="46"/>
      <c r="EY287" s="46"/>
      <c r="EZ287" s="46"/>
      <c r="FA287" s="46"/>
      <c r="FB287" s="46"/>
      <c r="FC287" s="44" t="s">
        <v>779</v>
      </c>
    </row>
    <row r="288">
      <c r="A288" s="44">
        <v>2.0</v>
      </c>
      <c r="B288" s="45">
        <v>2.0</v>
      </c>
      <c r="C288" s="44">
        <v>9033.0</v>
      </c>
      <c r="D288" s="44" t="s">
        <v>779</v>
      </c>
      <c r="E288" s="44">
        <v>60.0</v>
      </c>
      <c r="F288" s="44" t="s">
        <v>149</v>
      </c>
      <c r="H288" s="44">
        <v>25.0</v>
      </c>
      <c r="I288" s="44" t="s">
        <v>150</v>
      </c>
      <c r="J288" s="44" t="s">
        <v>150</v>
      </c>
      <c r="L288" s="44" t="s">
        <v>150</v>
      </c>
      <c r="M288" s="44" t="s">
        <v>150</v>
      </c>
      <c r="O288" s="44" t="s">
        <v>150</v>
      </c>
      <c r="P288" s="44" t="s">
        <v>150</v>
      </c>
      <c r="Q288" s="44" t="s">
        <v>154</v>
      </c>
      <c r="R288" s="44">
        <v>3.0</v>
      </c>
      <c r="S288" s="44" t="s">
        <v>150</v>
      </c>
      <c r="U288" s="44">
        <v>1.0</v>
      </c>
      <c r="V288" s="44" t="s">
        <v>719</v>
      </c>
      <c r="W288" s="44">
        <v>2.0</v>
      </c>
      <c r="X288" s="44" t="s">
        <v>150</v>
      </c>
      <c r="Y288" s="44" t="s">
        <v>150</v>
      </c>
      <c r="AD288" s="44" t="s">
        <v>782</v>
      </c>
      <c r="AE288" s="44" t="s">
        <v>150</v>
      </c>
      <c r="AG288" s="44" t="s">
        <v>618</v>
      </c>
      <c r="AH288" s="44" t="s">
        <v>154</v>
      </c>
      <c r="AI288" s="44" t="s">
        <v>783</v>
      </c>
      <c r="AJ288" s="44">
        <v>2.0</v>
      </c>
      <c r="AK288" s="44" t="s">
        <v>5</v>
      </c>
      <c r="AL288" s="44" t="s">
        <v>150</v>
      </c>
      <c r="AN288" s="44">
        <v>15.0</v>
      </c>
      <c r="AO288" s="44" t="s">
        <v>150</v>
      </c>
      <c r="AP288" s="44">
        <v>180.0</v>
      </c>
      <c r="AQ288" s="44">
        <v>100.0</v>
      </c>
      <c r="AT288" s="44">
        <v>110.0</v>
      </c>
      <c r="AU288" s="44">
        <v>70.0</v>
      </c>
      <c r="AW288" s="44">
        <v>130.0</v>
      </c>
      <c r="AX288" s="44">
        <v>39.0</v>
      </c>
      <c r="AY288" s="44">
        <v>30.0</v>
      </c>
      <c r="AZ288" s="44">
        <v>64.0</v>
      </c>
      <c r="BA288" s="44" t="s">
        <v>154</v>
      </c>
      <c r="BB288" s="44">
        <v>90.0</v>
      </c>
      <c r="BC288" s="44">
        <v>60.0</v>
      </c>
      <c r="BF288" s="44">
        <v>4.0</v>
      </c>
      <c r="BG288" s="44" t="s">
        <v>150</v>
      </c>
      <c r="BI288" s="44" t="s">
        <v>154</v>
      </c>
      <c r="BJ288" s="44" t="s">
        <v>175</v>
      </c>
      <c r="BK288" s="44" t="s">
        <v>150</v>
      </c>
      <c r="BM288" s="44" t="s">
        <v>154</v>
      </c>
      <c r="BN288" s="44" t="s">
        <v>448</v>
      </c>
      <c r="BO288" s="44" t="s">
        <v>150</v>
      </c>
      <c r="BR288" s="44" t="s">
        <v>154</v>
      </c>
      <c r="BS288" s="44" t="s">
        <v>174</v>
      </c>
      <c r="BT288" s="44" t="s">
        <v>784</v>
      </c>
      <c r="BU288" s="44" t="s">
        <v>207</v>
      </c>
      <c r="BV288" s="44">
        <v>16.0</v>
      </c>
      <c r="BW288" s="44" t="s">
        <v>150</v>
      </c>
      <c r="BX288" s="44" t="s">
        <v>150</v>
      </c>
      <c r="BZ288" s="44" t="s">
        <v>158</v>
      </c>
      <c r="CA288" s="44" t="s">
        <v>176</v>
      </c>
      <c r="CB288" s="44" t="s">
        <v>150</v>
      </c>
      <c r="CC288" s="44" t="s">
        <v>150</v>
      </c>
      <c r="CD288" s="44" t="s">
        <v>150</v>
      </c>
      <c r="CE288" s="44" t="s">
        <v>150</v>
      </c>
      <c r="CF288" s="44" t="s">
        <v>150</v>
      </c>
      <c r="CG288" s="44">
        <v>3000.0</v>
      </c>
      <c r="CH288" s="44" t="s">
        <v>150</v>
      </c>
      <c r="CI288" s="44" t="s">
        <v>150</v>
      </c>
      <c r="CJ288" s="44" t="s">
        <v>154</v>
      </c>
      <c r="CK288" s="44" t="s">
        <v>150</v>
      </c>
      <c r="CL288" s="44" t="s">
        <v>785</v>
      </c>
      <c r="CM288" s="44">
        <v>3.52</v>
      </c>
      <c r="CN288" s="44">
        <v>64.7</v>
      </c>
      <c r="CP288" s="44">
        <v>27.3</v>
      </c>
      <c r="CR288" s="44">
        <v>8.0</v>
      </c>
      <c r="CT288" s="44">
        <v>0.0</v>
      </c>
      <c r="CW288" s="44">
        <v>5.38</v>
      </c>
      <c r="CX288" s="44">
        <v>140.0</v>
      </c>
      <c r="CZ288" s="44">
        <v>16.0</v>
      </c>
      <c r="DA288" s="44">
        <v>147.0</v>
      </c>
      <c r="DB288" s="44">
        <v>60.1</v>
      </c>
      <c r="DC288" s="44">
        <v>10.3</v>
      </c>
      <c r="DD288" s="44">
        <v>64.9</v>
      </c>
      <c r="DF288" s="44">
        <v>26.9</v>
      </c>
      <c r="DH288" s="44">
        <v>7.1</v>
      </c>
      <c r="DJ288" s="44">
        <v>0.1</v>
      </c>
      <c r="DM288" s="44">
        <v>4.87</v>
      </c>
      <c r="DN288" s="44">
        <v>136.0</v>
      </c>
      <c r="DP288" s="44">
        <v>2.0</v>
      </c>
      <c r="DQ288" s="44">
        <v>130.0</v>
      </c>
      <c r="DR288" s="44">
        <v>6.7</v>
      </c>
      <c r="DS288" s="44">
        <v>449.0</v>
      </c>
      <c r="DT288" s="44">
        <v>29.4</v>
      </c>
      <c r="DU288" s="44">
        <v>11.4</v>
      </c>
      <c r="DV288" s="44">
        <v>0.97</v>
      </c>
      <c r="DW288" s="44" t="s">
        <v>328</v>
      </c>
      <c r="DX288" s="44">
        <v>243.0</v>
      </c>
      <c r="DY288" s="44">
        <v>33.6</v>
      </c>
      <c r="DZ288" s="44">
        <v>9.8</v>
      </c>
      <c r="EA288" s="44">
        <v>0.83</v>
      </c>
      <c r="EB288" s="44">
        <v>243.0</v>
      </c>
      <c r="EC288" s="44">
        <v>6.85</v>
      </c>
      <c r="ED288" s="44">
        <v>6.17</v>
      </c>
      <c r="EE288" s="44">
        <v>26.72</v>
      </c>
      <c r="EF288" s="44">
        <v>43.83</v>
      </c>
      <c r="EG288" s="44">
        <v>68.9</v>
      </c>
      <c r="EH288" s="44">
        <v>6.82</v>
      </c>
      <c r="EI288" s="44">
        <v>1.36</v>
      </c>
      <c r="EJ288" s="44">
        <v>111.85</v>
      </c>
      <c r="EM288" s="44">
        <v>132.5</v>
      </c>
      <c r="EN288" s="44">
        <v>4.72</v>
      </c>
      <c r="EO288" s="44">
        <v>148.3</v>
      </c>
      <c r="EP288" s="44">
        <v>46.0</v>
      </c>
      <c r="EQ288" s="44">
        <v>59.2</v>
      </c>
      <c r="ER288" s="44">
        <v>6.8</v>
      </c>
      <c r="ES288" s="44">
        <v>2.8</v>
      </c>
      <c r="ET288" s="44">
        <v>90.0</v>
      </c>
      <c r="EW288" s="44">
        <v>133.0</v>
      </c>
      <c r="EX288" s="44">
        <v>4.5</v>
      </c>
      <c r="EY288" s="47">
        <f t="shared" ref="EY288:EY306" si="36">10.3549-0.3925*BF288-0.0583*E288+0.0234*EE288-0.0363*EF288-0.1175*AR288</f>
        <v>4.321119</v>
      </c>
      <c r="EZ288" s="47">
        <f t="shared" ref="EZ288:EZ306" si="37">1/(1+EXP(EY288))</f>
        <v>0.01311083177</v>
      </c>
      <c r="FA288" s="48" t="str">
        <f t="shared" ref="FA288:FA306" si="38">IF(EZ288 &gt;= 0.52, "Неблагоприятный", "Благоприятный")</f>
        <v>Благоприятный</v>
      </c>
      <c r="FB288" s="44" t="s">
        <v>150</v>
      </c>
      <c r="FC288" s="44" t="s">
        <v>779</v>
      </c>
    </row>
    <row r="289">
      <c r="A289" s="44">
        <v>3.0</v>
      </c>
      <c r="B289" s="45">
        <v>3.0</v>
      </c>
      <c r="C289" s="44">
        <v>10087.0</v>
      </c>
      <c r="D289" s="44" t="s">
        <v>779</v>
      </c>
      <c r="E289" s="44">
        <v>72.0</v>
      </c>
      <c r="F289" s="44" t="s">
        <v>149</v>
      </c>
      <c r="H289" s="44">
        <v>17.0</v>
      </c>
      <c r="I289" s="44" t="s">
        <v>150</v>
      </c>
      <c r="J289" s="44" t="s">
        <v>150</v>
      </c>
      <c r="L289" s="44" t="s">
        <v>150</v>
      </c>
      <c r="M289" s="44" t="s">
        <v>150</v>
      </c>
      <c r="O289" s="44" t="s">
        <v>154</v>
      </c>
      <c r="P289" s="44" t="s">
        <v>154</v>
      </c>
      <c r="Q289" s="44" t="s">
        <v>154</v>
      </c>
      <c r="R289" s="44">
        <v>3.0</v>
      </c>
      <c r="S289" s="44" t="s">
        <v>154</v>
      </c>
      <c r="T289" s="44" t="s">
        <v>165</v>
      </c>
      <c r="U289" s="44" t="s">
        <v>694</v>
      </c>
      <c r="W289" s="44">
        <v>2.0</v>
      </c>
      <c r="X289" s="44" t="s">
        <v>150</v>
      </c>
      <c r="Y289" s="44" t="s">
        <v>150</v>
      </c>
      <c r="AD289" s="44" t="s">
        <v>150</v>
      </c>
      <c r="AE289" s="44" t="s">
        <v>150</v>
      </c>
      <c r="AG289" s="44" t="s">
        <v>618</v>
      </c>
      <c r="AH289" s="44" t="s">
        <v>154</v>
      </c>
      <c r="AI289" s="44" t="s">
        <v>780</v>
      </c>
      <c r="AJ289" s="44">
        <v>3.0</v>
      </c>
      <c r="AK289" s="44" t="s">
        <v>5</v>
      </c>
      <c r="AL289" s="44" t="s">
        <v>150</v>
      </c>
      <c r="AN289" s="44">
        <v>15.0</v>
      </c>
      <c r="AO289" s="44" t="s">
        <v>150</v>
      </c>
      <c r="AP289" s="44">
        <v>180.0</v>
      </c>
      <c r="AQ289" s="44">
        <v>70.0</v>
      </c>
      <c r="AT289" s="44">
        <v>130.0</v>
      </c>
      <c r="AU289" s="44">
        <v>77.0</v>
      </c>
      <c r="AW289" s="44">
        <v>84.0</v>
      </c>
      <c r="AX289" s="44">
        <v>37.5</v>
      </c>
      <c r="AY289" s="44">
        <v>20.0</v>
      </c>
      <c r="AZ289" s="44">
        <v>83.0</v>
      </c>
      <c r="BA289" s="44" t="s">
        <v>154</v>
      </c>
      <c r="BB289" s="44">
        <v>89.0</v>
      </c>
      <c r="BC289" s="44">
        <v>60.0</v>
      </c>
      <c r="BF289" s="44">
        <v>4.0</v>
      </c>
      <c r="BG289" s="44" t="s">
        <v>652</v>
      </c>
      <c r="BI289" s="44" t="s">
        <v>154</v>
      </c>
      <c r="BJ289" s="44" t="s">
        <v>175</v>
      </c>
      <c r="BK289" s="44" t="s">
        <v>150</v>
      </c>
      <c r="BM289" s="44" t="s">
        <v>154</v>
      </c>
      <c r="BN289" s="44" t="s">
        <v>448</v>
      </c>
      <c r="BO289" s="44" t="s">
        <v>652</v>
      </c>
      <c r="BR289" s="44" t="s">
        <v>154</v>
      </c>
      <c r="BS289" s="44" t="s">
        <v>477</v>
      </c>
      <c r="BT289" s="44" t="s">
        <v>784</v>
      </c>
      <c r="BU289" s="44" t="s">
        <v>207</v>
      </c>
      <c r="BV289" s="44">
        <v>18.0</v>
      </c>
      <c r="BW289" s="44" t="s">
        <v>154</v>
      </c>
      <c r="BX289" s="44" t="s">
        <v>150</v>
      </c>
      <c r="BZ289" s="44" t="s">
        <v>158</v>
      </c>
      <c r="CA289" s="44" t="s">
        <v>150</v>
      </c>
      <c r="CB289" s="44" t="s">
        <v>150</v>
      </c>
      <c r="CC289" s="44" t="s">
        <v>150</v>
      </c>
      <c r="CD289" s="44" t="s">
        <v>150</v>
      </c>
      <c r="CE289" s="44" t="s">
        <v>150</v>
      </c>
      <c r="CF289" s="44" t="s">
        <v>150</v>
      </c>
      <c r="CG289" s="44" t="s">
        <v>150</v>
      </c>
      <c r="CH289" s="44" t="s">
        <v>150</v>
      </c>
      <c r="CI289" s="44" t="s">
        <v>150</v>
      </c>
      <c r="CJ289" s="44" t="s">
        <v>150</v>
      </c>
      <c r="CK289" s="44" t="s">
        <v>150</v>
      </c>
      <c r="CL289" s="44" t="s">
        <v>150</v>
      </c>
      <c r="CM289" s="44">
        <v>10.1</v>
      </c>
      <c r="CN289" s="44">
        <v>9.0</v>
      </c>
      <c r="CP289" s="44">
        <v>0.5</v>
      </c>
      <c r="CR289" s="44">
        <v>0.7</v>
      </c>
      <c r="CT289" s="44">
        <v>0.0</v>
      </c>
      <c r="CW289" s="44">
        <v>5.09</v>
      </c>
      <c r="CX289" s="44">
        <v>145.0</v>
      </c>
      <c r="DA289" s="44">
        <v>217.0</v>
      </c>
      <c r="DB289" s="44">
        <v>26.9</v>
      </c>
      <c r="DC289" s="44">
        <v>9.56</v>
      </c>
      <c r="DD289" s="44">
        <v>8.73</v>
      </c>
      <c r="DF289" s="44">
        <v>0.41</v>
      </c>
      <c r="DH289" s="44">
        <v>0.4</v>
      </c>
      <c r="DJ289" s="44">
        <v>0.0</v>
      </c>
      <c r="DM289" s="44">
        <v>5.09</v>
      </c>
      <c r="DN289" s="44">
        <v>142.0</v>
      </c>
      <c r="DQ289" s="44">
        <v>129.0</v>
      </c>
      <c r="DR289" s="44">
        <v>8.7</v>
      </c>
      <c r="DS289" s="44">
        <v>810.0</v>
      </c>
      <c r="DT289" s="44">
        <v>25.6</v>
      </c>
      <c r="DU289" s="44">
        <v>14.0</v>
      </c>
      <c r="DV289" s="44">
        <v>1.2</v>
      </c>
      <c r="DX289" s="44">
        <v>574.0</v>
      </c>
      <c r="DY289" s="44">
        <v>28.8</v>
      </c>
      <c r="DZ289" s="44">
        <v>11.3</v>
      </c>
      <c r="EA289" s="44">
        <v>1.017</v>
      </c>
      <c r="EB289" s="44">
        <v>574.0</v>
      </c>
      <c r="EC289" s="44">
        <v>15.84</v>
      </c>
      <c r="ED289" s="44">
        <v>15.32</v>
      </c>
      <c r="EE289" s="44">
        <v>26.0</v>
      </c>
      <c r="EF289" s="44">
        <v>32.7</v>
      </c>
      <c r="EG289" s="44">
        <v>65.7</v>
      </c>
      <c r="EH289" s="44">
        <v>14.9</v>
      </c>
      <c r="EI289" s="44">
        <v>5.8</v>
      </c>
      <c r="EJ289" s="44">
        <v>99.0</v>
      </c>
      <c r="EM289" s="44">
        <v>130.1</v>
      </c>
      <c r="EN289" s="44">
        <v>5.96</v>
      </c>
      <c r="EO289" s="44">
        <v>49.1</v>
      </c>
      <c r="EP289" s="44">
        <v>15.1</v>
      </c>
      <c r="EQ289" s="44">
        <v>61.7</v>
      </c>
      <c r="ER289" s="44">
        <v>15.0</v>
      </c>
      <c r="ES289" s="44">
        <v>5.6</v>
      </c>
      <c r="ET289" s="44">
        <v>84.0</v>
      </c>
      <c r="EW289" s="44">
        <v>136.2</v>
      </c>
      <c r="EX289" s="44">
        <v>4.2</v>
      </c>
      <c r="EY289" s="47">
        <f t="shared" si="36"/>
        <v>4.00869</v>
      </c>
      <c r="EZ289" s="47">
        <f t="shared" si="37"/>
        <v>0.01783336224</v>
      </c>
      <c r="FA289" s="48" t="str">
        <f t="shared" si="38"/>
        <v>Благоприятный</v>
      </c>
      <c r="FB289" s="44" t="s">
        <v>150</v>
      </c>
      <c r="FC289" s="44" t="s">
        <v>779</v>
      </c>
    </row>
    <row r="290">
      <c r="A290" s="44">
        <v>4.0</v>
      </c>
      <c r="B290" s="45">
        <v>4.0</v>
      </c>
      <c r="C290" s="44">
        <v>9411.0</v>
      </c>
      <c r="D290" s="44" t="s">
        <v>779</v>
      </c>
      <c r="E290" s="44">
        <v>50.0</v>
      </c>
      <c r="F290" s="44" t="s">
        <v>161</v>
      </c>
      <c r="G290" s="44" t="s">
        <v>150</v>
      </c>
      <c r="H290" s="44">
        <v>10.0</v>
      </c>
      <c r="I290" s="44" t="s">
        <v>150</v>
      </c>
      <c r="J290" s="44" t="s">
        <v>150</v>
      </c>
      <c r="L290" s="44" t="s">
        <v>150</v>
      </c>
      <c r="M290" s="44" t="s">
        <v>154</v>
      </c>
      <c r="N290" s="44" t="s">
        <v>786</v>
      </c>
      <c r="O290" s="44" t="s">
        <v>150</v>
      </c>
      <c r="P290" s="44" t="s">
        <v>150</v>
      </c>
      <c r="Q290" s="44" t="s">
        <v>150</v>
      </c>
      <c r="S290" s="44" t="s">
        <v>150</v>
      </c>
      <c r="X290" s="44" t="s">
        <v>150</v>
      </c>
      <c r="Y290" s="44" t="s">
        <v>150</v>
      </c>
      <c r="AD290" s="44" t="s">
        <v>787</v>
      </c>
      <c r="AE290" s="44" t="s">
        <v>150</v>
      </c>
      <c r="AG290" s="44" t="s">
        <v>788</v>
      </c>
      <c r="AH290" s="44" t="s">
        <v>154</v>
      </c>
      <c r="AI290" s="44" t="s">
        <v>780</v>
      </c>
      <c r="AJ290" s="44">
        <v>3.0</v>
      </c>
      <c r="AK290" s="44" t="s">
        <v>5</v>
      </c>
      <c r="AL290" s="44" t="s">
        <v>150</v>
      </c>
      <c r="AN290" s="44">
        <v>15.0</v>
      </c>
      <c r="AO290" s="44" t="s">
        <v>150</v>
      </c>
      <c r="AP290" s="44">
        <v>174.0</v>
      </c>
      <c r="AQ290" s="44">
        <v>95.0</v>
      </c>
      <c r="AT290" s="44">
        <v>115.0</v>
      </c>
      <c r="AU290" s="44">
        <v>76.0</v>
      </c>
      <c r="AW290" s="44">
        <v>98.0</v>
      </c>
      <c r="AX290" s="44">
        <v>37.1</v>
      </c>
      <c r="AY290" s="44">
        <v>16.0</v>
      </c>
      <c r="AZ290" s="44">
        <v>89.0</v>
      </c>
      <c r="BA290" s="44" t="s">
        <v>154</v>
      </c>
      <c r="BB290" s="44">
        <v>95.0</v>
      </c>
      <c r="BF290" s="44">
        <v>4.0</v>
      </c>
      <c r="BG290" s="44" t="s">
        <v>154</v>
      </c>
      <c r="BH290" s="44" t="s">
        <v>175</v>
      </c>
      <c r="BI290" s="44" t="s">
        <v>154</v>
      </c>
      <c r="BJ290" s="44" t="s">
        <v>175</v>
      </c>
      <c r="BK290" s="44" t="s">
        <v>150</v>
      </c>
      <c r="BM290" s="44" t="s">
        <v>154</v>
      </c>
      <c r="BN290" s="44" t="s">
        <v>448</v>
      </c>
      <c r="BO290" s="44" t="s">
        <v>154</v>
      </c>
      <c r="BP290" s="44" t="s">
        <v>157</v>
      </c>
      <c r="BQ290" s="44">
        <v>24.0</v>
      </c>
      <c r="BR290" s="44" t="s">
        <v>154</v>
      </c>
      <c r="BS290" s="44" t="s">
        <v>477</v>
      </c>
      <c r="BT290" s="44" t="s">
        <v>784</v>
      </c>
      <c r="BU290" s="44" t="s">
        <v>207</v>
      </c>
      <c r="BV290" s="44">
        <v>20.0</v>
      </c>
      <c r="BW290" s="44" t="s">
        <v>150</v>
      </c>
      <c r="BX290" s="44" t="s">
        <v>150</v>
      </c>
      <c r="BZ290" s="44" t="s">
        <v>158</v>
      </c>
      <c r="CA290" s="44" t="s">
        <v>150</v>
      </c>
      <c r="CB290" s="44" t="s">
        <v>150</v>
      </c>
      <c r="CC290" s="44" t="s">
        <v>150</v>
      </c>
      <c r="CD290" s="44" t="s">
        <v>150</v>
      </c>
      <c r="CE290" s="44" t="s">
        <v>150</v>
      </c>
      <c r="CF290" s="44" t="s">
        <v>150</v>
      </c>
      <c r="CG290" s="44" t="s">
        <v>150</v>
      </c>
      <c r="CH290" s="44" t="s">
        <v>150</v>
      </c>
      <c r="CI290" s="44" t="s">
        <v>150</v>
      </c>
      <c r="CJ290" s="44" t="s">
        <v>150</v>
      </c>
      <c r="CK290" s="44" t="s">
        <v>150</v>
      </c>
      <c r="CL290" s="44" t="s">
        <v>789</v>
      </c>
      <c r="CM290" s="44">
        <v>4.7</v>
      </c>
      <c r="CN290" s="44">
        <v>3.7</v>
      </c>
      <c r="CP290" s="44">
        <v>0.7</v>
      </c>
      <c r="CR290" s="44">
        <v>0.3</v>
      </c>
      <c r="CT290" s="44">
        <v>0.2</v>
      </c>
      <c r="CW290" s="44">
        <v>4.05</v>
      </c>
      <c r="CX290" s="44">
        <v>133.0</v>
      </c>
      <c r="DA290" s="44">
        <v>258.0</v>
      </c>
      <c r="DB290" s="44">
        <v>78.6</v>
      </c>
      <c r="DC290" s="44">
        <v>4.32</v>
      </c>
      <c r="DD290" s="44">
        <v>8.13</v>
      </c>
      <c r="DF290" s="44">
        <v>0.9</v>
      </c>
      <c r="DH290" s="44">
        <v>0.7</v>
      </c>
      <c r="DJ290" s="44">
        <v>0.0</v>
      </c>
      <c r="DM290" s="44">
        <v>4.32</v>
      </c>
      <c r="DN290" s="44">
        <v>122.0</v>
      </c>
      <c r="DQ290" s="44">
        <v>270.0</v>
      </c>
      <c r="DR290" s="44">
        <v>12.9</v>
      </c>
      <c r="DS290" s="44">
        <v>464.0</v>
      </c>
      <c r="DT290" s="44">
        <v>26.4</v>
      </c>
      <c r="DU290" s="44">
        <v>11.8</v>
      </c>
      <c r="DV290" s="44">
        <v>1.01</v>
      </c>
      <c r="DW290" s="44">
        <v>0.4</v>
      </c>
      <c r="DX290" s="44">
        <v>135.0</v>
      </c>
      <c r="DY290" s="46"/>
      <c r="DZ290" s="44">
        <v>10.3</v>
      </c>
      <c r="EA290" s="44">
        <v>0.88</v>
      </c>
      <c r="EB290" s="44">
        <v>135.0</v>
      </c>
      <c r="EC290" s="44">
        <v>5.63</v>
      </c>
      <c r="ED290" s="44">
        <v>10.0</v>
      </c>
      <c r="EE290" s="44">
        <v>88.4</v>
      </c>
      <c r="EF290" s="44">
        <v>13.0</v>
      </c>
      <c r="EG290" s="44">
        <v>61.7</v>
      </c>
      <c r="EH290" s="44">
        <v>6.7</v>
      </c>
      <c r="EI290" s="44">
        <v>2.6</v>
      </c>
      <c r="EJ290" s="44">
        <v>71.0</v>
      </c>
      <c r="EM290" s="44">
        <v>142.4</v>
      </c>
      <c r="EN290" s="44">
        <v>4.9</v>
      </c>
      <c r="EO290" s="44">
        <v>88.4</v>
      </c>
      <c r="EP290" s="44">
        <v>13.0</v>
      </c>
      <c r="EQ290" s="44">
        <v>61.7</v>
      </c>
      <c r="ER290" s="44">
        <v>6.7</v>
      </c>
      <c r="ES290" s="44">
        <v>2.6</v>
      </c>
      <c r="ET290" s="44">
        <v>71.0</v>
      </c>
      <c r="EW290" s="44">
        <v>132.0</v>
      </c>
      <c r="EX290" s="44">
        <v>4.3</v>
      </c>
      <c r="EY290" s="47">
        <f t="shared" si="36"/>
        <v>7.46656</v>
      </c>
      <c r="EZ290" s="47">
        <f t="shared" si="37"/>
        <v>0.0005715653525</v>
      </c>
      <c r="FA290" s="48" t="str">
        <f t="shared" si="38"/>
        <v>Благоприятный</v>
      </c>
      <c r="FB290" s="44" t="s">
        <v>150</v>
      </c>
      <c r="FC290" s="44" t="s">
        <v>779</v>
      </c>
    </row>
    <row r="291">
      <c r="A291" s="44">
        <v>5.0</v>
      </c>
      <c r="B291" s="45">
        <v>5.0</v>
      </c>
      <c r="C291" s="44">
        <v>9320.0</v>
      </c>
      <c r="D291" s="44" t="s">
        <v>779</v>
      </c>
      <c r="E291" s="44">
        <v>57.0</v>
      </c>
      <c r="F291" s="44" t="s">
        <v>161</v>
      </c>
      <c r="G291" s="44" t="s">
        <v>150</v>
      </c>
      <c r="H291" s="44">
        <v>16.0</v>
      </c>
      <c r="I291" s="44" t="s">
        <v>150</v>
      </c>
      <c r="J291" s="44" t="s">
        <v>150</v>
      </c>
      <c r="L291" s="44" t="s">
        <v>150</v>
      </c>
      <c r="M291" s="44" t="s">
        <v>150</v>
      </c>
      <c r="O291" s="44" t="s">
        <v>150</v>
      </c>
      <c r="P291" s="44" t="s">
        <v>150</v>
      </c>
      <c r="Q291" s="44" t="s">
        <v>150</v>
      </c>
      <c r="S291" s="44" t="s">
        <v>150</v>
      </c>
      <c r="X291" s="44" t="s">
        <v>150</v>
      </c>
      <c r="Y291" s="44" t="s">
        <v>150</v>
      </c>
      <c r="AD291" s="44" t="s">
        <v>658</v>
      </c>
      <c r="AE291" s="44" t="s">
        <v>150</v>
      </c>
      <c r="AG291" s="44" t="s">
        <v>788</v>
      </c>
      <c r="AH291" s="44" t="s">
        <v>154</v>
      </c>
      <c r="AI291" s="44" t="s">
        <v>783</v>
      </c>
      <c r="AJ291" s="44">
        <v>1.0</v>
      </c>
      <c r="AK291" s="44" t="s">
        <v>5</v>
      </c>
      <c r="AL291" s="44" t="s">
        <v>150</v>
      </c>
      <c r="AN291" s="44">
        <v>15.0</v>
      </c>
      <c r="AO291" s="44" t="s">
        <v>150</v>
      </c>
      <c r="AP291" s="44">
        <v>158.0</v>
      </c>
      <c r="AQ291" s="44">
        <v>64.0</v>
      </c>
      <c r="AT291" s="44">
        <v>150.0</v>
      </c>
      <c r="AU291" s="44">
        <v>99.0</v>
      </c>
      <c r="AW291" s="44">
        <v>105.0</v>
      </c>
      <c r="AX291" s="44">
        <v>38.7</v>
      </c>
      <c r="AY291" s="44">
        <v>20.0</v>
      </c>
      <c r="AZ291" s="44">
        <v>88.0</v>
      </c>
      <c r="BA291" s="44" t="s">
        <v>150</v>
      </c>
      <c r="BB291" s="44">
        <v>94.0</v>
      </c>
      <c r="BC291" s="44">
        <v>40.0</v>
      </c>
      <c r="BF291" s="44">
        <v>4.0</v>
      </c>
      <c r="BG291" s="44" t="s">
        <v>154</v>
      </c>
      <c r="BH291" s="44" t="s">
        <v>163</v>
      </c>
      <c r="BI291" s="44" t="s">
        <v>150</v>
      </c>
      <c r="BK291" s="44" t="s">
        <v>150</v>
      </c>
      <c r="BM291" s="44" t="s">
        <v>154</v>
      </c>
      <c r="BN291" s="44" t="s">
        <v>448</v>
      </c>
      <c r="BO291" s="44" t="s">
        <v>154</v>
      </c>
      <c r="BP291" s="44" t="s">
        <v>157</v>
      </c>
      <c r="BQ291" s="44">
        <v>16.0</v>
      </c>
      <c r="BR291" s="44" t="s">
        <v>154</v>
      </c>
      <c r="BS291" s="44" t="s">
        <v>174</v>
      </c>
      <c r="BT291" s="44" t="s">
        <v>790</v>
      </c>
      <c r="BU291" s="44" t="s">
        <v>207</v>
      </c>
      <c r="BV291" s="44">
        <v>12.0</v>
      </c>
      <c r="BW291" s="44" t="s">
        <v>150</v>
      </c>
      <c r="BX291" s="44" t="s">
        <v>150</v>
      </c>
      <c r="BZ291" s="44" t="s">
        <v>158</v>
      </c>
      <c r="CA291" s="44" t="s">
        <v>150</v>
      </c>
      <c r="CB291" s="44" t="s">
        <v>150</v>
      </c>
      <c r="CC291" s="44" t="s">
        <v>150</v>
      </c>
      <c r="CD291" s="44" t="s">
        <v>150</v>
      </c>
      <c r="CE291" s="44" t="s">
        <v>150</v>
      </c>
      <c r="CF291" s="44" t="s">
        <v>150</v>
      </c>
      <c r="CG291" s="44" t="s">
        <v>150</v>
      </c>
      <c r="CH291" s="44" t="s">
        <v>150</v>
      </c>
      <c r="CI291" s="44" t="s">
        <v>150</v>
      </c>
      <c r="CJ291" s="44" t="s">
        <v>154</v>
      </c>
      <c r="CK291" s="44" t="s">
        <v>150</v>
      </c>
      <c r="CL291" s="44" t="s">
        <v>791</v>
      </c>
      <c r="CM291" s="44">
        <v>16.6</v>
      </c>
      <c r="CN291" s="44">
        <v>83.7</v>
      </c>
      <c r="CP291" s="44">
        <v>8.6</v>
      </c>
      <c r="CR291" s="46"/>
      <c r="CT291" s="44">
        <v>0.0</v>
      </c>
      <c r="CW291" s="44">
        <v>5.58</v>
      </c>
      <c r="CX291" s="44">
        <v>139.0</v>
      </c>
      <c r="DA291" s="44">
        <v>469.0</v>
      </c>
      <c r="DB291" s="44">
        <v>170.0</v>
      </c>
      <c r="DC291" s="44">
        <v>10.93</v>
      </c>
      <c r="DD291" s="44">
        <v>82.4</v>
      </c>
      <c r="DF291" s="44">
        <v>8.6</v>
      </c>
      <c r="DJ291" s="44">
        <v>0.0</v>
      </c>
      <c r="DM291" s="44">
        <v>4.82</v>
      </c>
      <c r="DN291" s="44">
        <v>133.0</v>
      </c>
      <c r="DQ291" s="44">
        <v>432.0</v>
      </c>
      <c r="DR291" s="44">
        <v>10.7</v>
      </c>
      <c r="DS291" s="44">
        <v>500.0</v>
      </c>
      <c r="DT291" s="46"/>
      <c r="DU291" s="44">
        <v>16.1</v>
      </c>
      <c r="DV291" s="44">
        <v>0.98</v>
      </c>
      <c r="DX291" s="44">
        <v>126.0</v>
      </c>
      <c r="DZ291" s="44">
        <v>11.5</v>
      </c>
      <c r="EA291" s="44">
        <v>0.98</v>
      </c>
      <c r="EB291" s="44">
        <v>126.0</v>
      </c>
      <c r="EC291" s="44">
        <v>7.2</v>
      </c>
      <c r="ED291" s="44">
        <v>8.26</v>
      </c>
      <c r="EE291" s="44">
        <v>11.5</v>
      </c>
      <c r="EF291" s="44">
        <v>30.97</v>
      </c>
      <c r="EG291" s="44">
        <v>66.7</v>
      </c>
      <c r="EH291" s="44">
        <v>7.94</v>
      </c>
      <c r="EI291" s="44">
        <v>1.97</v>
      </c>
      <c r="EJ291" s="44">
        <v>86.71</v>
      </c>
      <c r="EO291" s="44">
        <v>47.1</v>
      </c>
      <c r="EP291" s="44">
        <v>21.0</v>
      </c>
      <c r="EQ291" s="44">
        <v>53.8</v>
      </c>
      <c r="ER291" s="44">
        <v>9.6</v>
      </c>
      <c r="ES291" s="44">
        <v>3.3</v>
      </c>
      <c r="EY291" s="47">
        <f t="shared" si="36"/>
        <v>4.606689</v>
      </c>
      <c r="EZ291" s="47">
        <f t="shared" si="37"/>
        <v>0.009886112303</v>
      </c>
      <c r="FA291" s="48" t="str">
        <f t="shared" si="38"/>
        <v>Благоприятный</v>
      </c>
      <c r="FB291" s="44" t="s">
        <v>150</v>
      </c>
      <c r="FC291" s="44" t="s">
        <v>779</v>
      </c>
    </row>
    <row r="292">
      <c r="A292" s="44">
        <v>6.0</v>
      </c>
      <c r="B292" s="45">
        <v>6.0</v>
      </c>
      <c r="C292" s="44">
        <v>9440.0</v>
      </c>
      <c r="D292" s="44" t="s">
        <v>779</v>
      </c>
      <c r="E292" s="44">
        <v>64.0</v>
      </c>
      <c r="F292" s="44" t="s">
        <v>161</v>
      </c>
      <c r="G292" s="44" t="s">
        <v>150</v>
      </c>
      <c r="H292" s="44">
        <v>18.0</v>
      </c>
      <c r="I292" s="44" t="s">
        <v>150</v>
      </c>
      <c r="J292" s="44" t="s">
        <v>150</v>
      </c>
      <c r="L292" s="44" t="s">
        <v>150</v>
      </c>
      <c r="M292" s="44" t="s">
        <v>154</v>
      </c>
      <c r="N292" s="44" t="s">
        <v>192</v>
      </c>
      <c r="O292" s="44" t="s">
        <v>154</v>
      </c>
      <c r="P292" s="44" t="s">
        <v>154</v>
      </c>
      <c r="Q292" s="44" t="s">
        <v>150</v>
      </c>
      <c r="S292" s="44" t="s">
        <v>150</v>
      </c>
      <c r="X292" s="44" t="s">
        <v>154</v>
      </c>
      <c r="Y292" s="44" t="s">
        <v>150</v>
      </c>
      <c r="AD292" s="44" t="s">
        <v>150</v>
      </c>
      <c r="AE292" s="44" t="s">
        <v>150</v>
      </c>
      <c r="AG292" s="44" t="s">
        <v>618</v>
      </c>
      <c r="AH292" s="44" t="s">
        <v>154</v>
      </c>
      <c r="AI292" s="44" t="s">
        <v>783</v>
      </c>
      <c r="AJ292" s="44">
        <v>2.0</v>
      </c>
      <c r="AK292" s="44" t="s">
        <v>5</v>
      </c>
      <c r="AL292" s="44" t="s">
        <v>150</v>
      </c>
      <c r="AN292" s="44">
        <v>15.0</v>
      </c>
      <c r="AO292" s="44" t="s">
        <v>150</v>
      </c>
      <c r="AP292" s="44">
        <v>168.0</v>
      </c>
      <c r="AQ292" s="44">
        <v>104.0</v>
      </c>
      <c r="AT292" s="44">
        <v>137.0</v>
      </c>
      <c r="AU292" s="44">
        <v>89.0</v>
      </c>
      <c r="AW292" s="44">
        <v>109.0</v>
      </c>
      <c r="AX292" s="44">
        <v>37.8</v>
      </c>
      <c r="AY292" s="44">
        <v>20.0</v>
      </c>
      <c r="AZ292" s="44">
        <v>89.0</v>
      </c>
      <c r="BA292" s="44" t="s">
        <v>154</v>
      </c>
      <c r="BB292" s="44">
        <v>95.0</v>
      </c>
      <c r="BF292" s="44">
        <v>4.0</v>
      </c>
      <c r="BG292" s="44" t="s">
        <v>150</v>
      </c>
      <c r="BI292" s="44" t="s">
        <v>154</v>
      </c>
      <c r="BJ292" s="44" t="s">
        <v>237</v>
      </c>
      <c r="BK292" s="44" t="s">
        <v>150</v>
      </c>
      <c r="BM292" s="44" t="s">
        <v>154</v>
      </c>
      <c r="BN292" s="44" t="s">
        <v>448</v>
      </c>
      <c r="BO292" s="44" t="s">
        <v>150</v>
      </c>
      <c r="BR292" s="44" t="s">
        <v>154</v>
      </c>
      <c r="BS292" s="44" t="s">
        <v>477</v>
      </c>
      <c r="BT292" s="44" t="s">
        <v>784</v>
      </c>
      <c r="BU292" s="44" t="s">
        <v>207</v>
      </c>
      <c r="BV292" s="44">
        <v>20.0</v>
      </c>
      <c r="BW292" s="44" t="s">
        <v>154</v>
      </c>
      <c r="BX292" s="44" t="s">
        <v>150</v>
      </c>
      <c r="BZ292" s="44" t="s">
        <v>158</v>
      </c>
      <c r="CA292" s="44" t="s">
        <v>150</v>
      </c>
      <c r="CB292" s="44" t="s">
        <v>150</v>
      </c>
      <c r="CC292" s="44" t="s">
        <v>150</v>
      </c>
      <c r="CD292" s="44" t="s">
        <v>150</v>
      </c>
      <c r="CE292" s="44" t="s">
        <v>150</v>
      </c>
      <c r="CF292" s="44" t="s">
        <v>150</v>
      </c>
      <c r="CG292" s="44" t="s">
        <v>150</v>
      </c>
      <c r="CH292" s="44" t="s">
        <v>150</v>
      </c>
      <c r="CI292" s="44" t="s">
        <v>150</v>
      </c>
      <c r="CJ292" s="44" t="s">
        <v>150</v>
      </c>
      <c r="CK292" s="44" t="s">
        <v>150</v>
      </c>
      <c r="CL292" s="44" t="s">
        <v>324</v>
      </c>
      <c r="CM292" s="44">
        <v>9.7</v>
      </c>
      <c r="CN292" s="44">
        <v>9.0</v>
      </c>
      <c r="CP292" s="44">
        <v>0.2</v>
      </c>
      <c r="CR292" s="44">
        <v>0.4</v>
      </c>
      <c r="CT292" s="44">
        <v>0.1</v>
      </c>
      <c r="CW292" s="44">
        <v>4.86</v>
      </c>
      <c r="CX292" s="44">
        <v>143.0</v>
      </c>
      <c r="DA292" s="44">
        <v>386.0</v>
      </c>
      <c r="DB292" s="44">
        <v>214.2</v>
      </c>
      <c r="DC292" s="44">
        <v>10.7</v>
      </c>
      <c r="DD292" s="44">
        <v>8.9</v>
      </c>
      <c r="DF292" s="44">
        <v>0.8</v>
      </c>
      <c r="DH292" s="44">
        <v>0.6</v>
      </c>
      <c r="DJ292" s="44">
        <v>0.0</v>
      </c>
      <c r="DM292" s="44">
        <v>4.5</v>
      </c>
      <c r="DN292" s="44">
        <v>139.0</v>
      </c>
      <c r="DQ292" s="44">
        <v>310.0</v>
      </c>
      <c r="DR292" s="44">
        <v>7.7</v>
      </c>
      <c r="DS292" s="44">
        <v>621.5</v>
      </c>
      <c r="DU292" s="44">
        <v>12.8</v>
      </c>
      <c r="DV292" s="44">
        <v>1.09</v>
      </c>
      <c r="DW292" s="44">
        <v>0.3</v>
      </c>
      <c r="DX292" s="44">
        <v>230.0</v>
      </c>
      <c r="DZ292" s="44">
        <v>10.1</v>
      </c>
      <c r="EA292" s="44">
        <v>0.86</v>
      </c>
      <c r="EB292" s="44">
        <v>230.0</v>
      </c>
      <c r="EC292" s="44">
        <v>8.66</v>
      </c>
      <c r="ED292" s="44">
        <v>13.0</v>
      </c>
      <c r="EE292" s="44">
        <v>73.62</v>
      </c>
      <c r="EF292" s="44">
        <v>61.9</v>
      </c>
      <c r="EG292" s="44">
        <v>68.3</v>
      </c>
      <c r="EH292" s="44">
        <v>27.36</v>
      </c>
      <c r="EI292" s="44">
        <v>11.98</v>
      </c>
      <c r="EJ292" s="44">
        <v>80.87</v>
      </c>
      <c r="EM292" s="44">
        <v>131.5</v>
      </c>
      <c r="EN292" s="44">
        <v>4.82</v>
      </c>
      <c r="EO292" s="44">
        <v>53.0</v>
      </c>
      <c r="EP292" s="44">
        <v>15.0</v>
      </c>
      <c r="EQ292" s="44">
        <v>61.0</v>
      </c>
      <c r="ER292" s="44">
        <v>8.0</v>
      </c>
      <c r="ES292" s="44">
        <v>3.5</v>
      </c>
      <c r="ET292" s="44">
        <v>74.0</v>
      </c>
      <c r="EW292" s="44">
        <v>1332.0</v>
      </c>
      <c r="EX292" s="44">
        <v>4.3</v>
      </c>
      <c r="EY292" s="47">
        <f t="shared" si="36"/>
        <v>4.529438</v>
      </c>
      <c r="EZ292" s="47">
        <f t="shared" si="37"/>
        <v>0.01067162451</v>
      </c>
      <c r="FA292" s="48" t="str">
        <f t="shared" si="38"/>
        <v>Благоприятный</v>
      </c>
      <c r="FB292" s="44" t="s">
        <v>150</v>
      </c>
      <c r="FC292" s="44" t="s">
        <v>779</v>
      </c>
    </row>
    <row r="293">
      <c r="A293" s="44">
        <v>7.0</v>
      </c>
      <c r="B293" s="45">
        <v>7.0</v>
      </c>
      <c r="C293" s="44">
        <v>10543.0</v>
      </c>
      <c r="D293" s="44" t="s">
        <v>779</v>
      </c>
      <c r="E293" s="44">
        <v>65.0</v>
      </c>
      <c r="F293" s="44" t="s">
        <v>149</v>
      </c>
      <c r="H293" s="44">
        <v>8.0</v>
      </c>
      <c r="I293" s="44" t="s">
        <v>150</v>
      </c>
      <c r="J293" s="44" t="s">
        <v>150</v>
      </c>
      <c r="L293" s="44" t="s">
        <v>154</v>
      </c>
      <c r="M293" s="44" t="s">
        <v>154</v>
      </c>
      <c r="N293" s="44" t="s">
        <v>786</v>
      </c>
      <c r="O293" s="44" t="s">
        <v>154</v>
      </c>
      <c r="P293" s="44" t="s">
        <v>154</v>
      </c>
      <c r="Q293" s="44" t="s">
        <v>154</v>
      </c>
      <c r="R293" s="44">
        <v>3.0</v>
      </c>
      <c r="S293" s="44" t="s">
        <v>150</v>
      </c>
      <c r="X293" s="44" t="s">
        <v>150</v>
      </c>
      <c r="Y293" s="44" t="s">
        <v>150</v>
      </c>
      <c r="AD293" s="44" t="s">
        <v>792</v>
      </c>
      <c r="AE293" s="44" t="s">
        <v>150</v>
      </c>
      <c r="AG293" s="44" t="s">
        <v>788</v>
      </c>
      <c r="AH293" s="44" t="s">
        <v>793</v>
      </c>
      <c r="AI293" s="44" t="s">
        <v>794</v>
      </c>
      <c r="AJ293" s="44">
        <v>3.0</v>
      </c>
      <c r="AK293" s="44" t="s">
        <v>5</v>
      </c>
      <c r="AL293" s="44" t="s">
        <v>150</v>
      </c>
      <c r="AN293" s="44">
        <v>15.0</v>
      </c>
      <c r="AO293" s="44" t="s">
        <v>150</v>
      </c>
      <c r="AP293" s="44">
        <v>115.0</v>
      </c>
      <c r="AQ293" s="44">
        <v>110.0</v>
      </c>
      <c r="AT293" s="44">
        <v>152.0</v>
      </c>
      <c r="AU293" s="44">
        <v>85.0</v>
      </c>
      <c r="AW293" s="44">
        <v>112.0</v>
      </c>
      <c r="AX293" s="44">
        <v>38.0</v>
      </c>
      <c r="AY293" s="44">
        <v>28.0</v>
      </c>
      <c r="AZ293" s="44">
        <v>89.0</v>
      </c>
      <c r="BA293" s="44" t="s">
        <v>154</v>
      </c>
      <c r="BB293" s="44">
        <v>95.0</v>
      </c>
      <c r="BF293" s="44">
        <v>4.0</v>
      </c>
      <c r="BG293" s="44" t="s">
        <v>150</v>
      </c>
      <c r="BI293" s="44" t="s">
        <v>154</v>
      </c>
      <c r="BJ293" s="44" t="s">
        <v>795</v>
      </c>
      <c r="BK293" s="44" t="s">
        <v>150</v>
      </c>
      <c r="BM293" s="44" t="s">
        <v>154</v>
      </c>
      <c r="BN293" s="44" t="s">
        <v>448</v>
      </c>
      <c r="BO293" s="44" t="s">
        <v>150</v>
      </c>
      <c r="BR293" s="44" t="s">
        <v>154</v>
      </c>
      <c r="BS293" s="44" t="s">
        <v>614</v>
      </c>
      <c r="BT293" s="44">
        <v>24.0</v>
      </c>
      <c r="BU293" s="44" t="s">
        <v>207</v>
      </c>
      <c r="BV293" s="44">
        <v>20.0</v>
      </c>
      <c r="BW293" s="44" t="s">
        <v>154</v>
      </c>
      <c r="BX293" s="44" t="s">
        <v>150</v>
      </c>
      <c r="BZ293" s="44" t="s">
        <v>796</v>
      </c>
      <c r="CA293" s="44" t="s">
        <v>176</v>
      </c>
      <c r="CB293" s="44" t="s">
        <v>150</v>
      </c>
      <c r="CC293" s="44" t="s">
        <v>150</v>
      </c>
      <c r="CD293" s="44" t="s">
        <v>212</v>
      </c>
      <c r="CE293" s="44" t="s">
        <v>150</v>
      </c>
      <c r="CF293" s="44" t="s">
        <v>150</v>
      </c>
      <c r="CG293" s="44" t="s">
        <v>150</v>
      </c>
      <c r="CH293" s="44" t="s">
        <v>150</v>
      </c>
      <c r="CI293" s="44" t="s">
        <v>150</v>
      </c>
      <c r="CJ293" s="44" t="s">
        <v>150</v>
      </c>
      <c r="CK293" s="44" t="s">
        <v>150</v>
      </c>
      <c r="CL293" s="44" t="s">
        <v>150</v>
      </c>
      <c r="CM293" s="44">
        <v>6.62</v>
      </c>
      <c r="CN293" s="44">
        <v>3.56</v>
      </c>
      <c r="CP293" s="44">
        <v>2.16</v>
      </c>
      <c r="CR293" s="44">
        <v>0.89</v>
      </c>
      <c r="CT293" s="44">
        <v>0.01</v>
      </c>
      <c r="CW293" s="44">
        <v>5.52</v>
      </c>
      <c r="CX293" s="44">
        <v>153.0</v>
      </c>
      <c r="DA293" s="44">
        <v>155.0</v>
      </c>
      <c r="DB293" s="44">
        <v>32.3</v>
      </c>
      <c r="DC293" s="44">
        <v>9.4</v>
      </c>
      <c r="DD293" s="44">
        <v>7.6</v>
      </c>
      <c r="DF293" s="44">
        <v>1.0</v>
      </c>
      <c r="DH293" s="44">
        <v>0.8</v>
      </c>
      <c r="DJ293" s="44">
        <v>0.0</v>
      </c>
      <c r="DM293" s="44">
        <v>4.92</v>
      </c>
      <c r="DN293" s="44">
        <v>138.0</v>
      </c>
      <c r="DQ293" s="44">
        <v>283.0</v>
      </c>
      <c r="DR293" s="44">
        <v>32.5</v>
      </c>
      <c r="DS293" s="44">
        <v>618.0</v>
      </c>
      <c r="DU293" s="44" t="s">
        <v>797</v>
      </c>
      <c r="DV293" s="44">
        <v>1.01</v>
      </c>
      <c r="DW293" s="44" t="s">
        <v>328</v>
      </c>
      <c r="DX293" s="44">
        <v>585.0</v>
      </c>
      <c r="DZ293" s="44">
        <v>10.1</v>
      </c>
      <c r="EA293" s="44">
        <v>0.889</v>
      </c>
      <c r="EB293" s="44">
        <v>585.0</v>
      </c>
      <c r="EC293" s="44">
        <v>7.85</v>
      </c>
      <c r="ED293" s="44">
        <v>10.51</v>
      </c>
      <c r="EE293" s="44">
        <v>53.18</v>
      </c>
      <c r="EF293" s="44">
        <v>47.59</v>
      </c>
      <c r="EG293" s="44">
        <v>72.2</v>
      </c>
      <c r="EH293" s="44">
        <v>10.12</v>
      </c>
      <c r="EI293" s="44">
        <v>5.0</v>
      </c>
      <c r="EJ293" s="44">
        <v>149.49</v>
      </c>
      <c r="EM293" s="44">
        <v>136.1</v>
      </c>
      <c r="EN293" s="44">
        <v>4.2</v>
      </c>
      <c r="EO293" s="44">
        <v>77.0</v>
      </c>
      <c r="EP293" s="44">
        <v>31.8</v>
      </c>
      <c r="EQ293" s="44">
        <v>62.0</v>
      </c>
      <c r="ER293" s="44">
        <v>12.0</v>
      </c>
      <c r="ES293" s="44">
        <v>5.0</v>
      </c>
      <c r="ET293" s="44">
        <v>103.0</v>
      </c>
      <c r="EW293" s="44">
        <v>136.2</v>
      </c>
      <c r="EX293" s="44">
        <v>4.2</v>
      </c>
      <c r="EY293" s="47">
        <f t="shared" si="36"/>
        <v>4.512295</v>
      </c>
      <c r="EZ293" s="47">
        <f t="shared" si="37"/>
        <v>0.01085414246</v>
      </c>
      <c r="FA293" s="48" t="str">
        <f t="shared" si="38"/>
        <v>Благоприятный</v>
      </c>
      <c r="FB293" s="44" t="s">
        <v>150</v>
      </c>
      <c r="FC293" s="44" t="s">
        <v>779</v>
      </c>
    </row>
    <row r="294">
      <c r="A294" s="44">
        <v>8.0</v>
      </c>
      <c r="B294" s="45">
        <v>8.0</v>
      </c>
      <c r="C294" s="44">
        <v>9407.0</v>
      </c>
      <c r="D294" s="44" t="s">
        <v>798</v>
      </c>
      <c r="E294" s="44">
        <v>87.0</v>
      </c>
      <c r="F294" s="44" t="s">
        <v>161</v>
      </c>
      <c r="G294" s="44" t="s">
        <v>150</v>
      </c>
      <c r="H294" s="44">
        <v>16.0</v>
      </c>
      <c r="I294" s="44" t="s">
        <v>150</v>
      </c>
      <c r="J294" s="44" t="s">
        <v>150</v>
      </c>
      <c r="L294" s="44" t="s">
        <v>150</v>
      </c>
      <c r="M294" s="44" t="s">
        <v>150</v>
      </c>
      <c r="O294" s="44" t="s">
        <v>154</v>
      </c>
      <c r="P294" s="44" t="s">
        <v>150</v>
      </c>
      <c r="Q294" s="44" t="s">
        <v>154</v>
      </c>
      <c r="R294" s="44">
        <v>3.0</v>
      </c>
      <c r="S294" s="44" t="s">
        <v>150</v>
      </c>
      <c r="X294" s="44" t="s">
        <v>150</v>
      </c>
      <c r="Y294" s="44" t="s">
        <v>150</v>
      </c>
      <c r="AD294" s="44" t="s">
        <v>799</v>
      </c>
      <c r="AE294" s="44" t="s">
        <v>150</v>
      </c>
      <c r="AG294" s="44" t="s">
        <v>788</v>
      </c>
      <c r="AH294" s="44" t="s">
        <v>154</v>
      </c>
      <c r="AI294" s="44" t="s">
        <v>800</v>
      </c>
      <c r="AJ294" s="44">
        <v>4.0</v>
      </c>
      <c r="AK294" s="44" t="s">
        <v>5</v>
      </c>
      <c r="AL294" s="44" t="s">
        <v>150</v>
      </c>
      <c r="AN294" s="44">
        <v>15.0</v>
      </c>
      <c r="AO294" s="44" t="s">
        <v>150</v>
      </c>
      <c r="AP294" s="44">
        <v>168.0</v>
      </c>
      <c r="AQ294" s="44">
        <v>83.0</v>
      </c>
      <c r="AT294" s="44">
        <v>112.0</v>
      </c>
      <c r="AU294" s="44">
        <v>69.0</v>
      </c>
      <c r="AW294" s="44">
        <v>86.0</v>
      </c>
      <c r="AX294" s="44">
        <v>38.8</v>
      </c>
      <c r="AY294" s="44">
        <v>20.0</v>
      </c>
      <c r="AZ294" s="44">
        <v>76.0</v>
      </c>
      <c r="BA294" s="44" t="s">
        <v>154</v>
      </c>
      <c r="BB294" s="44">
        <v>85.0</v>
      </c>
      <c r="BC294" s="44">
        <v>60.0</v>
      </c>
      <c r="BF294" s="44">
        <v>4.0</v>
      </c>
      <c r="BG294" s="44" t="s">
        <v>150</v>
      </c>
      <c r="BI294" s="44" t="s">
        <v>154</v>
      </c>
      <c r="BJ294" s="44" t="s">
        <v>795</v>
      </c>
      <c r="BK294" s="44" t="s">
        <v>150</v>
      </c>
      <c r="BM294" s="44" t="s">
        <v>154</v>
      </c>
      <c r="BN294" s="44" t="s">
        <v>448</v>
      </c>
      <c r="BO294" s="44" t="s">
        <v>150</v>
      </c>
      <c r="BR294" s="44" t="s">
        <v>154</v>
      </c>
      <c r="BS294" s="44" t="s">
        <v>801</v>
      </c>
      <c r="BT294" s="44">
        <v>32.16</v>
      </c>
      <c r="BU294" s="44" t="s">
        <v>802</v>
      </c>
      <c r="BV294" s="44">
        <v>24.0</v>
      </c>
      <c r="BW294" s="44" t="s">
        <v>150</v>
      </c>
      <c r="BX294" s="44" t="s">
        <v>150</v>
      </c>
      <c r="BZ294" s="44" t="s">
        <v>796</v>
      </c>
      <c r="CA294" s="44" t="s">
        <v>184</v>
      </c>
      <c r="CB294" s="44" t="s">
        <v>803</v>
      </c>
      <c r="CC294" s="44" t="s">
        <v>150</v>
      </c>
      <c r="CD294" s="44" t="s">
        <v>247</v>
      </c>
      <c r="CE294" s="44" t="s">
        <v>150</v>
      </c>
      <c r="CF294" s="44" t="s">
        <v>150</v>
      </c>
      <c r="CG294" s="44" t="s">
        <v>150</v>
      </c>
      <c r="CH294" s="44" t="s">
        <v>150</v>
      </c>
      <c r="CI294" s="44" t="s">
        <v>150</v>
      </c>
      <c r="CJ294" s="44" t="s">
        <v>150</v>
      </c>
      <c r="CK294" s="44" t="s">
        <v>150</v>
      </c>
      <c r="CL294" s="44" t="s">
        <v>804</v>
      </c>
      <c r="CM294" s="44">
        <v>9.67</v>
      </c>
      <c r="CN294" s="44">
        <v>92.5</v>
      </c>
      <c r="CP294" s="44">
        <v>5.3</v>
      </c>
      <c r="CR294" s="44">
        <v>2.0</v>
      </c>
      <c r="CT294" s="44">
        <v>0.1</v>
      </c>
      <c r="CW294" s="44">
        <v>4.24</v>
      </c>
      <c r="CX294" s="44">
        <v>119.0</v>
      </c>
      <c r="DA294" s="44">
        <v>86.0</v>
      </c>
      <c r="DB294" s="44">
        <v>58.6</v>
      </c>
      <c r="DC294" s="44">
        <v>10.5</v>
      </c>
      <c r="DD294" s="44">
        <v>83.9</v>
      </c>
      <c r="DF294" s="44">
        <v>9.8</v>
      </c>
      <c r="DH294" s="44">
        <v>5.6</v>
      </c>
      <c r="DJ294" s="44">
        <v>0.5</v>
      </c>
      <c r="DM294" s="44">
        <v>4.51</v>
      </c>
      <c r="DN294" s="44">
        <v>129.0</v>
      </c>
      <c r="DQ294" s="44">
        <v>166.0</v>
      </c>
      <c r="DR294" s="44">
        <v>10.1</v>
      </c>
      <c r="DS294" s="44">
        <v>186.2</v>
      </c>
      <c r="DT294" s="44">
        <v>21.0</v>
      </c>
      <c r="DU294" s="44">
        <v>13.9</v>
      </c>
      <c r="DV294" s="44">
        <v>1.18</v>
      </c>
      <c r="DW294" s="44">
        <v>0.5</v>
      </c>
      <c r="DX294" s="44">
        <v>365.2</v>
      </c>
      <c r="DY294" s="44">
        <v>27.0</v>
      </c>
      <c r="DZ294" s="44">
        <v>12.1</v>
      </c>
      <c r="EA294" s="44">
        <v>1.034</v>
      </c>
      <c r="EB294" s="44">
        <v>365.2</v>
      </c>
      <c r="EC294" s="44">
        <v>10.29</v>
      </c>
      <c r="ED294" s="44">
        <v>3.89</v>
      </c>
      <c r="EE294" s="44">
        <v>272.5</v>
      </c>
      <c r="EF294" s="44">
        <v>119.1</v>
      </c>
      <c r="EG294" s="44">
        <v>60.7</v>
      </c>
      <c r="EH294" s="44">
        <v>10.7</v>
      </c>
      <c r="EI294" s="44">
        <v>5.1</v>
      </c>
      <c r="EJ294" s="44">
        <v>92.0</v>
      </c>
      <c r="EM294" s="44">
        <v>138.5</v>
      </c>
      <c r="EN294" s="44">
        <v>4.42</v>
      </c>
      <c r="EO294" s="44">
        <v>142.4</v>
      </c>
      <c r="EP294" s="44">
        <v>28.9</v>
      </c>
      <c r="EQ294" s="44">
        <v>56.5</v>
      </c>
      <c r="ER294" s="44">
        <v>12.7</v>
      </c>
      <c r="ES294" s="44">
        <v>4.2</v>
      </c>
      <c r="ET294" s="44">
        <v>87.0</v>
      </c>
      <c r="EW294" s="44">
        <v>141.3</v>
      </c>
      <c r="EX294" s="44">
        <v>3.91</v>
      </c>
      <c r="EY294" s="47">
        <f t="shared" si="36"/>
        <v>5.76597</v>
      </c>
      <c r="EZ294" s="47">
        <f t="shared" si="37"/>
        <v>0.003122574491</v>
      </c>
      <c r="FA294" s="48" t="str">
        <f t="shared" si="38"/>
        <v>Благоприятный</v>
      </c>
      <c r="FB294" s="44" t="s">
        <v>150</v>
      </c>
      <c r="FC294" s="44" t="s">
        <v>798</v>
      </c>
    </row>
    <row r="295">
      <c r="A295" s="44">
        <v>9.0</v>
      </c>
      <c r="B295" s="45">
        <v>9.0</v>
      </c>
      <c r="C295" s="44">
        <v>9441.0</v>
      </c>
      <c r="D295" s="44" t="s">
        <v>798</v>
      </c>
      <c r="E295" s="44">
        <v>70.0</v>
      </c>
      <c r="F295" s="44" t="s">
        <v>149</v>
      </c>
      <c r="H295" s="44">
        <v>18.0</v>
      </c>
      <c r="I295" s="44" t="s">
        <v>150</v>
      </c>
      <c r="J295" s="44" t="s">
        <v>150</v>
      </c>
      <c r="L295" s="44" t="s">
        <v>150</v>
      </c>
      <c r="M295" s="44" t="s">
        <v>154</v>
      </c>
      <c r="N295" s="44" t="s">
        <v>192</v>
      </c>
      <c r="O295" s="44" t="s">
        <v>154</v>
      </c>
      <c r="P295" s="44" t="s">
        <v>154</v>
      </c>
      <c r="Q295" s="44" t="s">
        <v>154</v>
      </c>
      <c r="R295" s="44">
        <v>3.0</v>
      </c>
      <c r="S295" s="44" t="s">
        <v>154</v>
      </c>
      <c r="T295" s="44" t="s">
        <v>805</v>
      </c>
      <c r="U295" s="44">
        <v>1.0</v>
      </c>
      <c r="V295" s="44" t="s">
        <v>806</v>
      </c>
      <c r="W295" s="44">
        <v>1.0</v>
      </c>
      <c r="X295" s="44" t="s">
        <v>150</v>
      </c>
      <c r="Y295" s="44" t="s">
        <v>150</v>
      </c>
      <c r="AD295" s="44" t="s">
        <v>150</v>
      </c>
      <c r="AE295" s="44" t="s">
        <v>150</v>
      </c>
      <c r="AG295" s="44" t="s">
        <v>807</v>
      </c>
      <c r="AH295" s="44" t="s">
        <v>154</v>
      </c>
      <c r="AI295" s="44" t="s">
        <v>808</v>
      </c>
      <c r="AJ295" s="44">
        <v>4.0</v>
      </c>
      <c r="AK295" s="44" t="s">
        <v>5</v>
      </c>
      <c r="AL295" s="44" t="s">
        <v>150</v>
      </c>
      <c r="AN295" s="44">
        <v>15.0</v>
      </c>
      <c r="AO295" s="44" t="s">
        <v>150</v>
      </c>
      <c r="AP295" s="44">
        <v>170.0</v>
      </c>
      <c r="AQ295" s="44">
        <v>75.0</v>
      </c>
      <c r="AT295" s="44">
        <v>155.0</v>
      </c>
      <c r="AU295" s="44">
        <v>85.0</v>
      </c>
      <c r="AW295" s="44">
        <v>108.0</v>
      </c>
      <c r="AX295" s="44">
        <v>38.0</v>
      </c>
      <c r="AY295" s="44">
        <v>27.0</v>
      </c>
      <c r="AZ295" s="44">
        <v>78.0</v>
      </c>
      <c r="BA295" s="44" t="s">
        <v>154</v>
      </c>
      <c r="BB295" s="44">
        <v>89.0</v>
      </c>
      <c r="BF295" s="44">
        <v>6.0</v>
      </c>
      <c r="BG295" s="44" t="s">
        <v>150</v>
      </c>
      <c r="BI295" s="44" t="s">
        <v>154</v>
      </c>
      <c r="BJ295" s="44" t="s">
        <v>795</v>
      </c>
      <c r="BK295" s="44" t="s">
        <v>150</v>
      </c>
      <c r="BM295" s="44" t="s">
        <v>154</v>
      </c>
      <c r="BN295" s="44" t="s">
        <v>155</v>
      </c>
      <c r="BO295" s="44" t="s">
        <v>150</v>
      </c>
      <c r="BR295" s="44" t="s">
        <v>154</v>
      </c>
      <c r="BS295" s="44" t="s">
        <v>614</v>
      </c>
      <c r="BT295" s="44">
        <v>24.0</v>
      </c>
      <c r="BU295" s="44" t="s">
        <v>802</v>
      </c>
      <c r="BV295" s="44">
        <v>20.0</v>
      </c>
      <c r="BW295" s="44" t="s">
        <v>154</v>
      </c>
      <c r="BX295" s="44" t="s">
        <v>150</v>
      </c>
      <c r="BZ295" s="44" t="s">
        <v>796</v>
      </c>
      <c r="CA295" s="44" t="s">
        <v>809</v>
      </c>
      <c r="CB295" s="44" t="s">
        <v>185</v>
      </c>
      <c r="CC295" s="44" t="s">
        <v>150</v>
      </c>
      <c r="CD295" s="44" t="s">
        <v>150</v>
      </c>
      <c r="CE295" s="44" t="s">
        <v>150</v>
      </c>
      <c r="CF295" s="44" t="s">
        <v>150</v>
      </c>
      <c r="CG295" s="44" t="s">
        <v>150</v>
      </c>
      <c r="CH295" s="44" t="s">
        <v>150</v>
      </c>
      <c r="CI295" s="44" t="s">
        <v>150</v>
      </c>
      <c r="CJ295" s="44" t="s">
        <v>150</v>
      </c>
      <c r="CK295" s="44" t="s">
        <v>150</v>
      </c>
      <c r="CL295" s="44" t="s">
        <v>150</v>
      </c>
      <c r="CM295" s="44">
        <v>8.4</v>
      </c>
      <c r="CN295" s="44">
        <v>84.8</v>
      </c>
      <c r="CP295" s="44">
        <v>7.3</v>
      </c>
      <c r="CR295" s="44">
        <v>7.1</v>
      </c>
      <c r="CT295" s="44">
        <v>0.0</v>
      </c>
      <c r="CW295" s="44">
        <v>4.63</v>
      </c>
      <c r="CX295" s="44">
        <v>142.0</v>
      </c>
      <c r="DA295" s="44">
        <v>231.0</v>
      </c>
      <c r="DB295" s="44">
        <v>35.5</v>
      </c>
      <c r="DC295" s="44">
        <v>12.7</v>
      </c>
      <c r="DD295" s="44">
        <v>84.9</v>
      </c>
      <c r="DF295" s="44">
        <v>10.5</v>
      </c>
      <c r="DH295" s="44">
        <v>4.1</v>
      </c>
      <c r="DJ295" s="44">
        <v>0.4</v>
      </c>
      <c r="DM295" s="44">
        <v>4.63</v>
      </c>
      <c r="DN295" s="44">
        <v>140.0</v>
      </c>
      <c r="DQ295" s="44">
        <v>116.0</v>
      </c>
      <c r="DR295" s="44">
        <v>6.7</v>
      </c>
      <c r="DS295" s="44">
        <v>470.8</v>
      </c>
      <c r="DT295" s="44">
        <v>20.8</v>
      </c>
      <c r="DU295" s="44">
        <v>14.1</v>
      </c>
      <c r="DV295" s="44">
        <v>1.2</v>
      </c>
      <c r="DW295" s="44">
        <v>0.5</v>
      </c>
      <c r="DX295" s="44">
        <v>130.0</v>
      </c>
      <c r="DY295" s="44">
        <v>26.9</v>
      </c>
      <c r="DZ295" s="44">
        <v>11.0</v>
      </c>
      <c r="EA295" s="44">
        <v>0.9</v>
      </c>
      <c r="EB295" s="44">
        <v>130.0</v>
      </c>
      <c r="EC295" s="44">
        <v>10.78</v>
      </c>
      <c r="ED295" s="44">
        <v>19.7</v>
      </c>
      <c r="EE295" s="44">
        <v>109.26</v>
      </c>
      <c r="EF295" s="44">
        <v>69.96</v>
      </c>
      <c r="EG295" s="44">
        <v>66.0</v>
      </c>
      <c r="EH295" s="44">
        <v>18.96</v>
      </c>
      <c r="EI295" s="44">
        <v>4.48</v>
      </c>
      <c r="EJ295" s="44">
        <v>82.05</v>
      </c>
      <c r="EM295" s="44">
        <v>138.4</v>
      </c>
      <c r="EN295" s="44">
        <v>3.61</v>
      </c>
      <c r="EO295" s="44">
        <v>44.5</v>
      </c>
      <c r="EP295" s="44">
        <v>2.7</v>
      </c>
      <c r="EQ295" s="44">
        <v>59.0</v>
      </c>
      <c r="ER295" s="44">
        <v>13.3</v>
      </c>
      <c r="ES295" s="44">
        <v>4.9</v>
      </c>
      <c r="ET295" s="44">
        <v>103.0</v>
      </c>
      <c r="EW295" s="44">
        <v>141.4</v>
      </c>
      <c r="EX295" s="44">
        <v>3.96</v>
      </c>
      <c r="EY295" s="47">
        <f t="shared" si="36"/>
        <v>3.936036</v>
      </c>
      <c r="EZ295" s="47">
        <f t="shared" si="37"/>
        <v>0.01915151826</v>
      </c>
      <c r="FA295" s="48" t="str">
        <f t="shared" si="38"/>
        <v>Благоприятный</v>
      </c>
      <c r="FB295" s="44" t="s">
        <v>150</v>
      </c>
      <c r="FC295" s="44" t="s">
        <v>798</v>
      </c>
    </row>
    <row r="296">
      <c r="A296" s="44">
        <v>10.0</v>
      </c>
      <c r="B296" s="45">
        <v>10.0</v>
      </c>
      <c r="C296" s="44">
        <v>9839.0</v>
      </c>
      <c r="D296" s="44" t="s">
        <v>779</v>
      </c>
      <c r="E296" s="44">
        <v>71.0</v>
      </c>
      <c r="F296" s="44" t="s">
        <v>161</v>
      </c>
      <c r="G296" s="44" t="s">
        <v>150</v>
      </c>
      <c r="H296" s="44">
        <v>18.0</v>
      </c>
      <c r="I296" s="44" t="s">
        <v>150</v>
      </c>
      <c r="J296" s="44" t="s">
        <v>150</v>
      </c>
      <c r="L296" s="44" t="s">
        <v>150</v>
      </c>
      <c r="M296" s="44" t="s">
        <v>150</v>
      </c>
      <c r="O296" s="44" t="s">
        <v>150</v>
      </c>
      <c r="P296" s="44" t="s">
        <v>150</v>
      </c>
      <c r="Q296" s="44" t="s">
        <v>154</v>
      </c>
      <c r="R296" s="44">
        <v>3.0</v>
      </c>
      <c r="S296" s="44" t="s">
        <v>150</v>
      </c>
      <c r="X296" s="44" t="s">
        <v>150</v>
      </c>
      <c r="Y296" s="44" t="s">
        <v>150</v>
      </c>
      <c r="AD296" s="44" t="s">
        <v>150</v>
      </c>
      <c r="AE296" s="44" t="s">
        <v>150</v>
      </c>
      <c r="AG296" s="44" t="s">
        <v>788</v>
      </c>
      <c r="AH296" s="44" t="s">
        <v>154</v>
      </c>
      <c r="AI296" s="44" t="s">
        <v>808</v>
      </c>
      <c r="AJ296" s="44">
        <v>3.0</v>
      </c>
      <c r="AK296" s="44" t="s">
        <v>5</v>
      </c>
      <c r="AL296" s="44" t="s">
        <v>150</v>
      </c>
      <c r="AN296" s="44">
        <v>15.0</v>
      </c>
      <c r="AO296" s="44" t="s">
        <v>150</v>
      </c>
      <c r="AP296" s="44">
        <v>164.0</v>
      </c>
      <c r="AQ296" s="44">
        <v>95.0</v>
      </c>
      <c r="AT296" s="44">
        <v>130.0</v>
      </c>
      <c r="AU296" s="44">
        <v>70.0</v>
      </c>
      <c r="AW296" s="44">
        <v>103.0</v>
      </c>
      <c r="AX296" s="44">
        <v>38.0</v>
      </c>
      <c r="AY296" s="44">
        <v>24.0</v>
      </c>
      <c r="AZ296" s="44">
        <v>85.0</v>
      </c>
      <c r="BA296" s="44" t="s">
        <v>154</v>
      </c>
      <c r="BB296" s="44">
        <v>92.0</v>
      </c>
      <c r="BC296" s="44">
        <v>44.0</v>
      </c>
      <c r="BF296" s="44">
        <v>4.0</v>
      </c>
      <c r="BG296" s="44" t="s">
        <v>150</v>
      </c>
      <c r="BI296" s="44" t="s">
        <v>154</v>
      </c>
      <c r="BJ296" s="44" t="s">
        <v>795</v>
      </c>
      <c r="BK296" s="44" t="s">
        <v>150</v>
      </c>
      <c r="BM296" s="44" t="s">
        <v>154</v>
      </c>
      <c r="BN296" s="44" t="s">
        <v>810</v>
      </c>
      <c r="BO296" s="44" t="s">
        <v>150</v>
      </c>
      <c r="BR296" s="44" t="s">
        <v>154</v>
      </c>
      <c r="BS296" s="44" t="s">
        <v>811</v>
      </c>
      <c r="BT296" s="44" t="s">
        <v>790</v>
      </c>
      <c r="BU296" s="44" t="s">
        <v>157</v>
      </c>
      <c r="BV296" s="44">
        <v>16.0</v>
      </c>
      <c r="BW296" s="44" t="s">
        <v>150</v>
      </c>
      <c r="BX296" s="44" t="s">
        <v>150</v>
      </c>
      <c r="BZ296" s="44" t="s">
        <v>796</v>
      </c>
      <c r="CA296" s="44" t="s">
        <v>809</v>
      </c>
      <c r="CB296" s="44" t="s">
        <v>150</v>
      </c>
      <c r="CC296" s="44" t="s">
        <v>150</v>
      </c>
      <c r="CD296" s="44" t="s">
        <v>150</v>
      </c>
      <c r="CE296" s="44" t="s">
        <v>150</v>
      </c>
      <c r="CF296" s="44" t="s">
        <v>150</v>
      </c>
      <c r="CG296" s="44" t="s">
        <v>150</v>
      </c>
      <c r="CH296" s="44" t="s">
        <v>150</v>
      </c>
      <c r="CI296" s="44" t="s">
        <v>150</v>
      </c>
      <c r="CJ296" s="44" t="s">
        <v>150</v>
      </c>
      <c r="CK296" s="44" t="s">
        <v>150</v>
      </c>
      <c r="CL296" s="44" t="s">
        <v>812</v>
      </c>
      <c r="CM296" s="44">
        <v>5.96</v>
      </c>
      <c r="CN296" s="44">
        <v>84.4</v>
      </c>
      <c r="CP296" s="44">
        <v>9.7</v>
      </c>
      <c r="CR296" s="44">
        <v>5.9</v>
      </c>
      <c r="CT296" s="44">
        <v>0.0</v>
      </c>
      <c r="CW296" s="44">
        <v>5.32</v>
      </c>
      <c r="CX296" s="44">
        <v>147.0</v>
      </c>
      <c r="DA296" s="44">
        <v>201.0</v>
      </c>
      <c r="DB296" s="44">
        <v>90.8</v>
      </c>
      <c r="DC296" s="44">
        <v>13.7</v>
      </c>
      <c r="DD296" s="44">
        <v>84.1</v>
      </c>
      <c r="DF296" s="44">
        <v>11.1</v>
      </c>
      <c r="DH296" s="44">
        <v>4.2</v>
      </c>
      <c r="DJ296" s="44">
        <v>0.4</v>
      </c>
      <c r="DM296" s="44">
        <v>4.42</v>
      </c>
      <c r="DN296" s="44">
        <v>123.0</v>
      </c>
      <c r="DQ296" s="44">
        <v>372.0</v>
      </c>
      <c r="DR296" s="44">
        <v>19.4</v>
      </c>
      <c r="DS296" s="44">
        <v>648.0</v>
      </c>
      <c r="DT296" s="44">
        <v>32.4</v>
      </c>
      <c r="DU296" s="44">
        <v>14.4</v>
      </c>
      <c r="DV296" s="44">
        <v>1.23</v>
      </c>
      <c r="DW296" s="44" t="s">
        <v>328</v>
      </c>
      <c r="DX296" s="44">
        <v>234.0</v>
      </c>
      <c r="DY296" s="44">
        <v>23.2</v>
      </c>
      <c r="DZ296" s="44">
        <v>11.1</v>
      </c>
      <c r="EA296" s="44">
        <v>1.05</v>
      </c>
      <c r="EB296" s="44">
        <v>234.0</v>
      </c>
      <c r="EC296" s="44">
        <v>5.3</v>
      </c>
      <c r="ED296" s="44">
        <v>5.31</v>
      </c>
      <c r="EE296" s="44">
        <v>54.1</v>
      </c>
      <c r="EF296" s="44">
        <v>52.36</v>
      </c>
      <c r="EG296" s="44">
        <v>75.4</v>
      </c>
      <c r="EH296" s="44">
        <v>12.23</v>
      </c>
      <c r="EI296" s="44">
        <v>2.89</v>
      </c>
      <c r="EJ296" s="44">
        <v>102.33</v>
      </c>
      <c r="EM296" s="44">
        <v>131.7</v>
      </c>
      <c r="EN296" s="44">
        <v>4.07</v>
      </c>
      <c r="EO296" s="44">
        <v>92.4</v>
      </c>
      <c r="EP296" s="44">
        <v>52.8</v>
      </c>
      <c r="EQ296" s="44">
        <v>60.9</v>
      </c>
      <c r="ER296" s="44">
        <v>7.0</v>
      </c>
      <c r="ES296" s="44">
        <v>3.3</v>
      </c>
      <c r="ET296" s="44">
        <v>66.0</v>
      </c>
      <c r="EY296" s="47">
        <f t="shared" si="36"/>
        <v>4.010872</v>
      </c>
      <c r="EZ296" s="47">
        <f t="shared" si="37"/>
        <v>0.01779518396</v>
      </c>
      <c r="FA296" s="48" t="str">
        <f t="shared" si="38"/>
        <v>Благоприятный</v>
      </c>
      <c r="FB296" s="44" t="s">
        <v>150</v>
      </c>
      <c r="FC296" s="44" t="s">
        <v>779</v>
      </c>
    </row>
    <row r="297">
      <c r="A297" s="44">
        <v>11.0</v>
      </c>
      <c r="B297" s="45">
        <v>11.0</v>
      </c>
      <c r="C297" s="44">
        <v>9315.0</v>
      </c>
      <c r="D297" s="44" t="s">
        <v>779</v>
      </c>
      <c r="E297" s="44">
        <v>68.0</v>
      </c>
      <c r="F297" s="44" t="s">
        <v>149</v>
      </c>
      <c r="G297" s="44"/>
      <c r="H297" s="44">
        <v>34.0</v>
      </c>
      <c r="I297" s="44" t="s">
        <v>150</v>
      </c>
      <c r="J297" s="44" t="s">
        <v>150</v>
      </c>
      <c r="L297" s="44" t="s">
        <v>150</v>
      </c>
      <c r="M297" s="44" t="s">
        <v>154</v>
      </c>
      <c r="N297" s="44" t="s">
        <v>813</v>
      </c>
      <c r="O297" s="44" t="s">
        <v>154</v>
      </c>
      <c r="P297" s="44" t="s">
        <v>154</v>
      </c>
      <c r="Q297" s="44" t="s">
        <v>154</v>
      </c>
      <c r="R297" s="44">
        <v>2.0</v>
      </c>
      <c r="S297" s="44" t="s">
        <v>150</v>
      </c>
      <c r="X297" s="44" t="s">
        <v>150</v>
      </c>
      <c r="Y297" s="44" t="s">
        <v>150</v>
      </c>
      <c r="AD297" s="44" t="s">
        <v>150</v>
      </c>
      <c r="AE297" s="44" t="s">
        <v>150</v>
      </c>
      <c r="AG297" s="44" t="s">
        <v>807</v>
      </c>
      <c r="AH297" s="44" t="s">
        <v>154</v>
      </c>
      <c r="AI297" s="44" t="s">
        <v>808</v>
      </c>
      <c r="AJ297" s="44">
        <v>2.0</v>
      </c>
      <c r="AK297" s="44" t="s">
        <v>5</v>
      </c>
      <c r="AL297" s="44" t="s">
        <v>150</v>
      </c>
      <c r="AN297" s="44">
        <v>15.0</v>
      </c>
      <c r="AO297" s="44" t="s">
        <v>150</v>
      </c>
      <c r="AP297" s="44">
        <v>170.0</v>
      </c>
      <c r="AQ297" s="44">
        <v>105.0</v>
      </c>
      <c r="AT297" s="44">
        <v>130.0</v>
      </c>
      <c r="AU297" s="44">
        <v>80.0</v>
      </c>
      <c r="AW297" s="44">
        <v>180.0</v>
      </c>
      <c r="AX297" s="44">
        <v>37.0</v>
      </c>
      <c r="AY297" s="44">
        <v>20.0</v>
      </c>
      <c r="AZ297" s="44">
        <v>88.0</v>
      </c>
      <c r="BA297" s="44" t="s">
        <v>154</v>
      </c>
      <c r="BB297" s="44">
        <v>93.0</v>
      </c>
      <c r="BC297" s="44">
        <v>60.0</v>
      </c>
      <c r="BF297" s="44">
        <v>3.0</v>
      </c>
      <c r="BG297" s="44" t="s">
        <v>154</v>
      </c>
      <c r="BH297" s="44" t="s">
        <v>795</v>
      </c>
      <c r="BI297" s="44" t="s">
        <v>154</v>
      </c>
      <c r="BJ297" s="44" t="s">
        <v>814</v>
      </c>
      <c r="BK297" s="44" t="s">
        <v>150</v>
      </c>
      <c r="BM297" s="44" t="s">
        <v>154</v>
      </c>
      <c r="BN297" s="44" t="s">
        <v>815</v>
      </c>
      <c r="BO297" s="44" t="s">
        <v>150</v>
      </c>
      <c r="BR297" s="44" t="s">
        <v>154</v>
      </c>
      <c r="BS297" s="44" t="s">
        <v>811</v>
      </c>
      <c r="BT297" s="44" t="s">
        <v>816</v>
      </c>
      <c r="BU297" s="44" t="s">
        <v>207</v>
      </c>
      <c r="BV297" s="44">
        <v>16.0</v>
      </c>
      <c r="BW297" s="44" t="s">
        <v>154</v>
      </c>
      <c r="BX297" s="44" t="s">
        <v>150</v>
      </c>
      <c r="BZ297" s="44" t="s">
        <v>796</v>
      </c>
      <c r="CA297" s="44" t="s">
        <v>176</v>
      </c>
      <c r="CB297" s="44" t="s">
        <v>150</v>
      </c>
      <c r="CC297" s="44" t="s">
        <v>150</v>
      </c>
      <c r="CD297" s="44" t="s">
        <v>817</v>
      </c>
      <c r="CE297" s="44" t="s">
        <v>150</v>
      </c>
      <c r="CF297" s="44" t="s">
        <v>240</v>
      </c>
      <c r="CG297" s="44" t="s">
        <v>150</v>
      </c>
      <c r="CH297" s="44" t="s">
        <v>150</v>
      </c>
      <c r="CI297" s="44" t="s">
        <v>150</v>
      </c>
      <c r="CJ297" s="44" t="s">
        <v>150</v>
      </c>
      <c r="CK297" s="44" t="s">
        <v>150</v>
      </c>
      <c r="CL297" s="44" t="s">
        <v>189</v>
      </c>
      <c r="CM297" s="44">
        <v>5.2</v>
      </c>
      <c r="CN297" s="44">
        <v>67.2</v>
      </c>
      <c r="CP297" s="44">
        <v>20.8</v>
      </c>
      <c r="CR297" s="44">
        <v>11.8</v>
      </c>
      <c r="CT297" s="44">
        <v>1.9</v>
      </c>
      <c r="CW297" s="44">
        <v>5.04</v>
      </c>
      <c r="CX297" s="44">
        <v>147.0</v>
      </c>
      <c r="DA297" s="44">
        <v>160.0</v>
      </c>
      <c r="DB297" s="44">
        <v>29.8</v>
      </c>
      <c r="DC297" s="44">
        <v>5.37</v>
      </c>
      <c r="DD297" s="44">
        <v>66.6</v>
      </c>
      <c r="DF297" s="44">
        <v>24.6</v>
      </c>
      <c r="DH297" s="44">
        <v>6.0</v>
      </c>
      <c r="DJ297" s="44">
        <v>1.9</v>
      </c>
      <c r="DM297" s="44">
        <v>4.67</v>
      </c>
      <c r="DN297" s="44">
        <v>133.0</v>
      </c>
      <c r="DQ297" s="44">
        <v>163.0</v>
      </c>
      <c r="DR297" s="44">
        <v>24.1</v>
      </c>
      <c r="DV297" s="44">
        <v>11.1</v>
      </c>
      <c r="DX297" s="44">
        <v>229.1</v>
      </c>
      <c r="DZ297" s="44">
        <v>9.6</v>
      </c>
      <c r="EA297" s="44">
        <v>0.82</v>
      </c>
      <c r="EB297" s="44">
        <v>229.1</v>
      </c>
      <c r="EC297" s="44">
        <v>10.0</v>
      </c>
      <c r="ED297" s="44">
        <v>24.02</v>
      </c>
      <c r="EE297" s="44">
        <v>41.1</v>
      </c>
      <c r="EF297" s="44">
        <v>49.5</v>
      </c>
      <c r="EG297" s="44">
        <v>64.3</v>
      </c>
      <c r="EH297" s="44">
        <v>15.7</v>
      </c>
      <c r="EI297" s="44">
        <v>7.0</v>
      </c>
      <c r="EJ297" s="44">
        <v>95.0</v>
      </c>
      <c r="EM297" s="44">
        <v>133.8</v>
      </c>
      <c r="EN297" s="44">
        <v>3.98</v>
      </c>
      <c r="EO297" s="44">
        <v>39.8</v>
      </c>
      <c r="EP297" s="44">
        <v>9.8</v>
      </c>
      <c r="EQ297" s="44">
        <v>59.7</v>
      </c>
      <c r="ER297" s="44">
        <v>8.7</v>
      </c>
      <c r="ES297" s="44">
        <v>3.9</v>
      </c>
      <c r="ET297" s="44">
        <v>90.0</v>
      </c>
      <c r="EY297" s="47">
        <f t="shared" si="36"/>
        <v>4.37789</v>
      </c>
      <c r="EZ297" s="47">
        <f t="shared" si="37"/>
        <v>0.01239621997</v>
      </c>
      <c r="FA297" s="48" t="str">
        <f t="shared" si="38"/>
        <v>Благоприятный</v>
      </c>
      <c r="FB297" s="44" t="s">
        <v>150</v>
      </c>
      <c r="FC297" s="44" t="s">
        <v>779</v>
      </c>
    </row>
    <row r="298">
      <c r="A298" s="44">
        <v>12.0</v>
      </c>
      <c r="B298" s="45">
        <v>12.0</v>
      </c>
      <c r="C298" s="44">
        <v>8990.0</v>
      </c>
      <c r="D298" s="44" t="s">
        <v>798</v>
      </c>
      <c r="E298" s="44">
        <v>57.0</v>
      </c>
      <c r="F298" s="44" t="s">
        <v>161</v>
      </c>
      <c r="G298" s="44" t="s">
        <v>150</v>
      </c>
      <c r="H298" s="44">
        <v>21.0</v>
      </c>
      <c r="I298" s="44" t="s">
        <v>150</v>
      </c>
      <c r="J298" s="44" t="s">
        <v>150</v>
      </c>
      <c r="L298" s="44" t="s">
        <v>150</v>
      </c>
      <c r="M298" s="44" t="s">
        <v>154</v>
      </c>
      <c r="N298" s="44" t="s">
        <v>813</v>
      </c>
      <c r="O298" s="44" t="s">
        <v>154</v>
      </c>
      <c r="P298" s="44" t="s">
        <v>150</v>
      </c>
      <c r="Q298" s="44" t="s">
        <v>150</v>
      </c>
      <c r="S298" s="44" t="s">
        <v>150</v>
      </c>
      <c r="X298" s="44" t="s">
        <v>150</v>
      </c>
      <c r="Y298" s="44" t="s">
        <v>150</v>
      </c>
      <c r="AD298" s="44" t="s">
        <v>818</v>
      </c>
      <c r="AE298" s="44" t="s">
        <v>150</v>
      </c>
      <c r="AG298" s="44" t="s">
        <v>788</v>
      </c>
      <c r="AH298" s="44" t="s">
        <v>154</v>
      </c>
      <c r="AI298" s="44" t="s">
        <v>800</v>
      </c>
      <c r="AJ298" s="44">
        <v>3.0</v>
      </c>
      <c r="AK298" s="44" t="s">
        <v>5</v>
      </c>
      <c r="AL298" s="44" t="s">
        <v>150</v>
      </c>
      <c r="AN298" s="44">
        <v>15.0</v>
      </c>
      <c r="AO298" s="44" t="s">
        <v>150</v>
      </c>
      <c r="AP298" s="44">
        <v>172.0</v>
      </c>
      <c r="AQ298" s="44">
        <v>100.0</v>
      </c>
      <c r="AT298" s="44">
        <v>125.0</v>
      </c>
      <c r="AU298" s="44">
        <v>80.0</v>
      </c>
      <c r="AW298" s="44">
        <v>76.0</v>
      </c>
      <c r="AX298" s="44">
        <v>36.2</v>
      </c>
      <c r="AY298" s="44">
        <v>22.0</v>
      </c>
      <c r="AZ298" s="44">
        <v>82.0</v>
      </c>
      <c r="BA298" s="44" t="s">
        <v>154</v>
      </c>
      <c r="BB298" s="44">
        <v>97.0</v>
      </c>
      <c r="BC298" s="44">
        <v>60.0</v>
      </c>
      <c r="BF298" s="44">
        <v>4.0</v>
      </c>
      <c r="BG298" s="44" t="s">
        <v>150</v>
      </c>
      <c r="BH298" s="44"/>
      <c r="BI298" s="44" t="s">
        <v>154</v>
      </c>
      <c r="BJ298" s="44" t="s">
        <v>795</v>
      </c>
      <c r="BK298" s="44" t="s">
        <v>150</v>
      </c>
      <c r="BM298" s="44" t="s">
        <v>154</v>
      </c>
      <c r="BN298" s="44" t="s">
        <v>155</v>
      </c>
      <c r="BO298" s="44" t="s">
        <v>150</v>
      </c>
      <c r="BR298" s="44" t="s">
        <v>154</v>
      </c>
      <c r="BS298" s="44" t="s">
        <v>811</v>
      </c>
      <c r="BT298" s="44" t="s">
        <v>819</v>
      </c>
      <c r="BU298" s="44" t="s">
        <v>802</v>
      </c>
      <c r="BV298" s="44">
        <v>18.0</v>
      </c>
      <c r="BW298" s="44" t="s">
        <v>154</v>
      </c>
      <c r="BX298" s="44" t="s">
        <v>150</v>
      </c>
      <c r="BZ298" s="44" t="s">
        <v>796</v>
      </c>
      <c r="CA298" s="44" t="s">
        <v>150</v>
      </c>
      <c r="CB298" s="44" t="s">
        <v>150</v>
      </c>
      <c r="CC298" s="44" t="s">
        <v>150</v>
      </c>
      <c r="CD298" s="44" t="s">
        <v>150</v>
      </c>
      <c r="CE298" s="44" t="s">
        <v>150</v>
      </c>
      <c r="CF298" s="44" t="s">
        <v>150</v>
      </c>
      <c r="CG298" s="44" t="s">
        <v>154</v>
      </c>
      <c r="CH298" s="44" t="s">
        <v>150</v>
      </c>
      <c r="CI298" s="44" t="s">
        <v>150</v>
      </c>
      <c r="CJ298" s="44" t="s">
        <v>150</v>
      </c>
      <c r="CK298" s="44" t="s">
        <v>150</v>
      </c>
      <c r="CL298" s="44" t="s">
        <v>273</v>
      </c>
      <c r="CM298" s="44">
        <v>3.3</v>
      </c>
      <c r="CN298" s="44">
        <v>63.9</v>
      </c>
      <c r="CP298" s="44">
        <v>23.4</v>
      </c>
      <c r="CR298" s="44">
        <v>12.4</v>
      </c>
      <c r="CT298" s="44">
        <v>0.0</v>
      </c>
      <c r="CW298" s="44">
        <v>5.13</v>
      </c>
      <c r="CX298" s="44">
        <v>140.0</v>
      </c>
      <c r="DA298" s="44">
        <v>152.0</v>
      </c>
      <c r="DB298" s="44">
        <v>14.4</v>
      </c>
      <c r="DC298" s="44">
        <v>11.91</v>
      </c>
      <c r="DD298" s="44">
        <v>63.9</v>
      </c>
      <c r="DF298" s="44">
        <v>10.2</v>
      </c>
      <c r="DH298" s="44">
        <v>10.8</v>
      </c>
      <c r="DJ298" s="44">
        <v>0.3</v>
      </c>
      <c r="DM298" s="44">
        <v>5.16</v>
      </c>
      <c r="DN298" s="44">
        <v>139.0</v>
      </c>
      <c r="DP298" s="44">
        <v>8.0</v>
      </c>
      <c r="DQ298" s="44">
        <v>105.0</v>
      </c>
      <c r="DR298" s="44">
        <v>24.6</v>
      </c>
      <c r="DS298" s="44">
        <v>501.0</v>
      </c>
      <c r="DU298" s="44">
        <v>12.2</v>
      </c>
      <c r="DV298" s="44">
        <v>1.04</v>
      </c>
      <c r="DX298" s="44">
        <v>258.0</v>
      </c>
      <c r="DZ298" s="44">
        <v>10.5</v>
      </c>
      <c r="EA298" s="44">
        <v>0.89</v>
      </c>
      <c r="EB298" s="44">
        <v>258.0</v>
      </c>
      <c r="EC298" s="44">
        <v>6.26</v>
      </c>
      <c r="ED298" s="44">
        <v>4.21</v>
      </c>
      <c r="EE298" s="44">
        <v>88.7</v>
      </c>
      <c r="EF298" s="44">
        <v>172.77</v>
      </c>
      <c r="EG298" s="44">
        <v>74.0</v>
      </c>
      <c r="EH298" s="44">
        <v>6.7</v>
      </c>
      <c r="EI298" s="44">
        <v>1.91</v>
      </c>
      <c r="EJ298" s="44">
        <v>71.7</v>
      </c>
      <c r="EO298" s="44">
        <v>81.4</v>
      </c>
      <c r="EP298" s="44">
        <v>21.4</v>
      </c>
      <c r="EQ298" s="44">
        <v>58.6</v>
      </c>
      <c r="ER298" s="44">
        <v>11.5</v>
      </c>
      <c r="ES298" s="44">
        <v>4.5</v>
      </c>
      <c r="ET298" s="44">
        <v>56.0</v>
      </c>
      <c r="EY298" s="47">
        <f t="shared" si="36"/>
        <v>1.265829</v>
      </c>
      <c r="EZ298" s="47">
        <f t="shared" si="37"/>
        <v>0.2199720945</v>
      </c>
      <c r="FA298" s="48" t="str">
        <f t="shared" si="38"/>
        <v>Благоприятный</v>
      </c>
      <c r="FB298" s="44" t="s">
        <v>150</v>
      </c>
      <c r="FC298" s="44" t="s">
        <v>798</v>
      </c>
    </row>
    <row r="299">
      <c r="A299" s="44">
        <v>13.0</v>
      </c>
      <c r="B299" s="45">
        <v>13.0</v>
      </c>
      <c r="C299" s="44">
        <v>9871.0</v>
      </c>
      <c r="D299" s="44" t="s">
        <v>779</v>
      </c>
      <c r="E299" s="44">
        <v>65.0</v>
      </c>
      <c r="F299" s="44" t="s">
        <v>161</v>
      </c>
      <c r="G299" s="44" t="s">
        <v>150</v>
      </c>
      <c r="H299" s="44">
        <v>20.0</v>
      </c>
      <c r="I299" s="44" t="s">
        <v>150</v>
      </c>
      <c r="J299" s="44" t="s">
        <v>150</v>
      </c>
      <c r="L299" s="44" t="s">
        <v>154</v>
      </c>
      <c r="M299" s="44" t="s">
        <v>154</v>
      </c>
      <c r="N299" s="44" t="s">
        <v>820</v>
      </c>
      <c r="O299" s="44" t="s">
        <v>154</v>
      </c>
      <c r="P299" s="44" t="s">
        <v>154</v>
      </c>
      <c r="Q299" s="44" t="s">
        <v>154</v>
      </c>
      <c r="R299" s="44">
        <v>3.0</v>
      </c>
      <c r="S299" s="44" t="s">
        <v>150</v>
      </c>
      <c r="X299" s="44" t="s">
        <v>150</v>
      </c>
      <c r="Y299" s="44" t="s">
        <v>150</v>
      </c>
      <c r="AD299" s="44" t="s">
        <v>821</v>
      </c>
      <c r="AE299" s="44" t="s">
        <v>150</v>
      </c>
      <c r="AG299" s="44" t="s">
        <v>788</v>
      </c>
      <c r="AH299" s="44" t="s">
        <v>154</v>
      </c>
      <c r="AI299" s="44" t="s">
        <v>808</v>
      </c>
      <c r="AJ299" s="44">
        <v>3.0</v>
      </c>
      <c r="AK299" s="44" t="s">
        <v>5</v>
      </c>
      <c r="AL299" s="44" t="s">
        <v>150</v>
      </c>
      <c r="AN299" s="44">
        <v>15.0</v>
      </c>
      <c r="AO299" s="44" t="s">
        <v>150</v>
      </c>
      <c r="AP299" s="44">
        <v>166.0</v>
      </c>
      <c r="AQ299" s="44">
        <v>83.0</v>
      </c>
      <c r="AT299" s="44">
        <v>166.0</v>
      </c>
      <c r="AU299" s="44">
        <v>67.0</v>
      </c>
      <c r="AW299" s="44">
        <v>94.0</v>
      </c>
      <c r="AX299" s="44">
        <v>38.0</v>
      </c>
      <c r="AY299" s="44">
        <v>20.0</v>
      </c>
      <c r="AZ299" s="44">
        <v>66.0</v>
      </c>
      <c r="BA299" s="44" t="s">
        <v>154</v>
      </c>
      <c r="BB299" s="44">
        <v>91.0</v>
      </c>
      <c r="BC299" s="44">
        <v>60.0</v>
      </c>
      <c r="BF299" s="44">
        <v>4.0</v>
      </c>
      <c r="BG299" s="44" t="s">
        <v>652</v>
      </c>
      <c r="BI299" s="44" t="s">
        <v>154</v>
      </c>
      <c r="BJ299" s="44" t="s">
        <v>795</v>
      </c>
      <c r="BK299" s="44" t="s">
        <v>150</v>
      </c>
      <c r="BM299" s="44" t="s">
        <v>154</v>
      </c>
      <c r="BN299" s="44" t="s">
        <v>810</v>
      </c>
      <c r="BO299" s="44" t="s">
        <v>822</v>
      </c>
      <c r="BR299" s="44" t="s">
        <v>154</v>
      </c>
      <c r="BS299" s="44" t="s">
        <v>811</v>
      </c>
      <c r="BT299" s="44" t="s">
        <v>823</v>
      </c>
      <c r="BU299" s="44" t="s">
        <v>802</v>
      </c>
      <c r="BV299" s="44">
        <v>20.0</v>
      </c>
      <c r="BW299" s="44" t="s">
        <v>154</v>
      </c>
      <c r="BX299" s="44" t="s">
        <v>150</v>
      </c>
      <c r="BZ299" s="44" t="s">
        <v>796</v>
      </c>
      <c r="CA299" s="44" t="s">
        <v>184</v>
      </c>
      <c r="CB299" s="44" t="s">
        <v>150</v>
      </c>
      <c r="CC299" s="44" t="s">
        <v>150</v>
      </c>
      <c r="CD299" s="44" t="s">
        <v>150</v>
      </c>
      <c r="CE299" s="44" t="s">
        <v>824</v>
      </c>
      <c r="CF299" s="44" t="s">
        <v>150</v>
      </c>
      <c r="CG299" s="44" t="s">
        <v>150</v>
      </c>
      <c r="CH299" s="44" t="s">
        <v>150</v>
      </c>
      <c r="CI299" s="44" t="s">
        <v>150</v>
      </c>
      <c r="CJ299" s="44" t="s">
        <v>150</v>
      </c>
      <c r="CK299" s="44" t="s">
        <v>150</v>
      </c>
      <c r="CL299" s="44" t="s">
        <v>825</v>
      </c>
      <c r="CM299" s="44">
        <v>11.2</v>
      </c>
      <c r="CN299" s="44">
        <v>89.0</v>
      </c>
      <c r="CP299" s="44">
        <v>5.8</v>
      </c>
      <c r="CR299" s="44">
        <v>5.1</v>
      </c>
      <c r="CT299" s="44">
        <v>0.0</v>
      </c>
      <c r="CW299" s="44">
        <v>4.54</v>
      </c>
      <c r="CX299" s="44">
        <v>125.0</v>
      </c>
      <c r="DA299" s="44">
        <v>235.0</v>
      </c>
      <c r="DB299" s="44">
        <v>18.0</v>
      </c>
      <c r="DC299" s="44">
        <v>6.29</v>
      </c>
      <c r="DD299" s="44">
        <v>52.2</v>
      </c>
      <c r="DF299" s="44">
        <v>37.7</v>
      </c>
      <c r="DH299" s="44">
        <v>8.1</v>
      </c>
      <c r="DJ299" s="44">
        <v>1.0</v>
      </c>
      <c r="DM299" s="44">
        <v>4.5</v>
      </c>
      <c r="DN299" s="44">
        <v>121.0</v>
      </c>
      <c r="DQ299" s="44">
        <v>206.0</v>
      </c>
      <c r="DR299" s="44">
        <v>13.2</v>
      </c>
      <c r="DS299" s="44">
        <v>599.0</v>
      </c>
      <c r="DT299" s="44">
        <v>25.3</v>
      </c>
      <c r="DU299" s="44">
        <v>11.8</v>
      </c>
      <c r="DV299" s="44">
        <v>1.009</v>
      </c>
      <c r="DW299" s="44" t="s">
        <v>328</v>
      </c>
      <c r="DX299" s="44">
        <v>446.0</v>
      </c>
      <c r="DZ299" s="44">
        <v>10.9</v>
      </c>
      <c r="EA299" s="44">
        <v>0.93</v>
      </c>
      <c r="EB299" s="44">
        <v>446.0</v>
      </c>
      <c r="EC299" s="44">
        <v>20.22</v>
      </c>
      <c r="ED299" s="44">
        <v>7.56</v>
      </c>
      <c r="EE299" s="44">
        <v>32.3</v>
      </c>
      <c r="EF299" s="44">
        <v>34.2</v>
      </c>
      <c r="EG299" s="44">
        <v>64.4</v>
      </c>
      <c r="EH299" s="44">
        <v>8.0</v>
      </c>
      <c r="EI299" s="44">
        <v>3.7</v>
      </c>
      <c r="EJ299" s="44">
        <v>102.0</v>
      </c>
      <c r="EM299" s="44">
        <v>133.5</v>
      </c>
      <c r="EN299" s="44">
        <v>4.77</v>
      </c>
      <c r="EO299" s="44">
        <v>71.1</v>
      </c>
      <c r="EP299" s="44">
        <v>21.1</v>
      </c>
      <c r="EQ299" s="44">
        <v>55.9</v>
      </c>
      <c r="ER299" s="44">
        <v>11.3</v>
      </c>
      <c r="ES299" s="44">
        <v>3.6</v>
      </c>
      <c r="ET299" s="44">
        <v>87.0</v>
      </c>
      <c r="EW299" s="44">
        <v>141.0</v>
      </c>
      <c r="EX299" s="44">
        <v>3.6</v>
      </c>
      <c r="EY299" s="47">
        <f t="shared" si="36"/>
        <v>4.50976</v>
      </c>
      <c r="EZ299" s="47">
        <f t="shared" si="37"/>
        <v>0.01088139283</v>
      </c>
      <c r="FA299" s="48" t="str">
        <f t="shared" si="38"/>
        <v>Благоприятный</v>
      </c>
      <c r="FB299" s="44" t="s">
        <v>150</v>
      </c>
      <c r="FC299" s="44" t="s">
        <v>779</v>
      </c>
    </row>
    <row r="300">
      <c r="A300" s="44">
        <v>14.0</v>
      </c>
      <c r="B300" s="45">
        <v>14.0</v>
      </c>
      <c r="C300" s="44">
        <v>9930.0</v>
      </c>
      <c r="D300" s="44" t="s">
        <v>798</v>
      </c>
      <c r="E300" s="44">
        <v>74.0</v>
      </c>
      <c r="F300" s="44" t="s">
        <v>161</v>
      </c>
      <c r="G300" s="44" t="s">
        <v>150</v>
      </c>
      <c r="H300" s="44">
        <v>20.0</v>
      </c>
      <c r="I300" s="44" t="s">
        <v>150</v>
      </c>
      <c r="J300" s="44" t="s">
        <v>150</v>
      </c>
      <c r="L300" s="44" t="s">
        <v>150</v>
      </c>
      <c r="M300" s="44" t="s">
        <v>150</v>
      </c>
      <c r="O300" s="44" t="s">
        <v>154</v>
      </c>
      <c r="P300" s="44" t="s">
        <v>150</v>
      </c>
      <c r="Q300" s="44" t="s">
        <v>154</v>
      </c>
      <c r="R300" s="44">
        <v>3.0</v>
      </c>
      <c r="S300" s="44" t="s">
        <v>154</v>
      </c>
      <c r="T300" s="44" t="s">
        <v>826</v>
      </c>
      <c r="X300" s="44" t="s">
        <v>150</v>
      </c>
      <c r="Y300" s="44" t="s">
        <v>150</v>
      </c>
      <c r="AD300" s="44" t="s">
        <v>827</v>
      </c>
      <c r="AE300" s="44" t="s">
        <v>150</v>
      </c>
      <c r="AG300" s="44" t="s">
        <v>788</v>
      </c>
      <c r="AH300" s="44" t="s">
        <v>154</v>
      </c>
      <c r="AI300" s="44" t="s">
        <v>800</v>
      </c>
      <c r="AJ300" s="44">
        <v>1.0</v>
      </c>
      <c r="AK300" s="44" t="s">
        <v>5</v>
      </c>
      <c r="AL300" s="44" t="s">
        <v>150</v>
      </c>
      <c r="AN300" s="44">
        <v>15.0</v>
      </c>
      <c r="AO300" s="44" t="s">
        <v>150</v>
      </c>
      <c r="AP300" s="44">
        <v>155.0</v>
      </c>
      <c r="AQ300" s="44">
        <v>60.0</v>
      </c>
      <c r="AT300" s="44">
        <v>100.0</v>
      </c>
      <c r="AU300" s="44">
        <v>75.0</v>
      </c>
      <c r="AW300" s="44">
        <v>82.0</v>
      </c>
      <c r="AX300" s="44">
        <v>38.5</v>
      </c>
      <c r="AY300" s="44">
        <v>22.0</v>
      </c>
      <c r="AZ300" s="44">
        <v>80.0</v>
      </c>
      <c r="BA300" s="44" t="s">
        <v>154</v>
      </c>
      <c r="BB300" s="44">
        <v>93.0</v>
      </c>
      <c r="BC300" s="44">
        <v>60.0</v>
      </c>
      <c r="BF300" s="44">
        <v>4.0</v>
      </c>
      <c r="BG300" s="44" t="s">
        <v>154</v>
      </c>
      <c r="BH300" s="44" t="s">
        <v>795</v>
      </c>
      <c r="BI300" s="44" t="s">
        <v>154</v>
      </c>
      <c r="BJ300" s="44" t="s">
        <v>828</v>
      </c>
      <c r="BK300" s="44" t="s">
        <v>150</v>
      </c>
      <c r="BM300" s="44" t="s">
        <v>154</v>
      </c>
      <c r="BN300" s="44" t="s">
        <v>829</v>
      </c>
      <c r="BO300" s="44" t="s">
        <v>150</v>
      </c>
      <c r="BR300" s="44" t="s">
        <v>154</v>
      </c>
      <c r="BS300" s="44" t="s">
        <v>477</v>
      </c>
      <c r="BT300" s="44" t="s">
        <v>830</v>
      </c>
      <c r="BU300" s="44" t="s">
        <v>802</v>
      </c>
      <c r="BV300" s="44">
        <v>16.0</v>
      </c>
      <c r="BW300" s="44" t="s">
        <v>150</v>
      </c>
      <c r="BX300" s="44" t="s">
        <v>150</v>
      </c>
      <c r="BZ300" s="44" t="s">
        <v>796</v>
      </c>
      <c r="CA300" s="44" t="s">
        <v>809</v>
      </c>
      <c r="CB300" s="44" t="s">
        <v>150</v>
      </c>
      <c r="CC300" s="44" t="s">
        <v>150</v>
      </c>
      <c r="CD300" s="44" t="s">
        <v>817</v>
      </c>
      <c r="CE300" s="44" t="s">
        <v>150</v>
      </c>
      <c r="CF300" s="44" t="s">
        <v>831</v>
      </c>
      <c r="CG300" s="44" t="s">
        <v>150</v>
      </c>
      <c r="CH300" s="44" t="s">
        <v>150</v>
      </c>
      <c r="CI300" s="44" t="s">
        <v>150</v>
      </c>
      <c r="CJ300" s="44" t="s">
        <v>150</v>
      </c>
      <c r="CK300" s="44" t="s">
        <v>150</v>
      </c>
      <c r="CL300" s="44" t="s">
        <v>832</v>
      </c>
      <c r="CM300" s="44">
        <v>16.0</v>
      </c>
      <c r="CN300" s="44">
        <v>30.4</v>
      </c>
      <c r="CP300" s="44">
        <v>68.0</v>
      </c>
      <c r="CR300" s="44">
        <v>1.6</v>
      </c>
      <c r="CT300" s="44">
        <v>0.0</v>
      </c>
      <c r="CW300" s="44">
        <v>4.61</v>
      </c>
      <c r="CX300" s="44">
        <v>132.0</v>
      </c>
      <c r="DA300" s="44">
        <v>171.0</v>
      </c>
      <c r="DB300" s="44">
        <v>29.5</v>
      </c>
      <c r="DC300" s="44">
        <v>22.76</v>
      </c>
      <c r="DD300" s="44">
        <v>34.0</v>
      </c>
      <c r="DF300" s="44">
        <v>64.0</v>
      </c>
      <c r="DH300" s="44">
        <v>2.0</v>
      </c>
      <c r="DJ300" s="44">
        <v>0.0</v>
      </c>
      <c r="DM300" s="44">
        <v>4.37</v>
      </c>
      <c r="DN300" s="44">
        <v>124.0</v>
      </c>
      <c r="DQ300" s="44">
        <v>160.0</v>
      </c>
      <c r="DR300" s="44">
        <v>25.8</v>
      </c>
      <c r="DS300" s="44">
        <v>460.0</v>
      </c>
      <c r="DT300" s="44">
        <v>27.7</v>
      </c>
      <c r="DU300" s="44">
        <v>11.3</v>
      </c>
      <c r="DV300" s="44">
        <v>0.97</v>
      </c>
      <c r="DW300" s="44" t="s">
        <v>328</v>
      </c>
      <c r="DY300" s="44">
        <v>23.5</v>
      </c>
      <c r="EC300" s="44">
        <v>8.02</v>
      </c>
      <c r="ED300" s="44">
        <v>5.12</v>
      </c>
      <c r="EE300" s="44">
        <v>37.7</v>
      </c>
      <c r="EF300" s="44">
        <v>25.7</v>
      </c>
      <c r="EG300" s="44">
        <v>53.9</v>
      </c>
      <c r="EH300" s="44">
        <v>12.3</v>
      </c>
      <c r="EI300" s="44">
        <v>5.7</v>
      </c>
      <c r="EJ300" s="44">
        <v>70.0</v>
      </c>
      <c r="EM300" s="44">
        <v>138.5</v>
      </c>
      <c r="EN300" s="44">
        <v>5.04</v>
      </c>
      <c r="EO300" s="44">
        <v>77.7</v>
      </c>
      <c r="EP300" s="44">
        <v>43.4</v>
      </c>
      <c r="EQ300" s="44">
        <v>55.4</v>
      </c>
      <c r="ER300" s="44">
        <v>14.8</v>
      </c>
      <c r="ES300" s="44">
        <v>4.3</v>
      </c>
      <c r="ET300" s="44">
        <v>62.0</v>
      </c>
      <c r="EW300" s="44">
        <v>136.5</v>
      </c>
      <c r="EX300" s="44">
        <v>4.23</v>
      </c>
      <c r="EY300" s="47">
        <f t="shared" si="36"/>
        <v>4.41997</v>
      </c>
      <c r="EZ300" s="47">
        <f t="shared" si="37"/>
        <v>0.01189148414</v>
      </c>
      <c r="FA300" s="48" t="str">
        <f t="shared" si="38"/>
        <v>Благоприятный</v>
      </c>
      <c r="FB300" s="44" t="s">
        <v>150</v>
      </c>
      <c r="FC300" s="44" t="s">
        <v>798</v>
      </c>
    </row>
    <row r="301">
      <c r="A301" s="44">
        <v>15.0</v>
      </c>
      <c r="B301" s="45">
        <v>15.0</v>
      </c>
      <c r="C301" s="44">
        <v>10166.0</v>
      </c>
      <c r="D301" s="44" t="s">
        <v>779</v>
      </c>
      <c r="E301" s="44">
        <v>50.0</v>
      </c>
      <c r="F301" s="44" t="s">
        <v>161</v>
      </c>
      <c r="G301" s="44" t="s">
        <v>150</v>
      </c>
      <c r="H301" s="44">
        <v>18.0</v>
      </c>
      <c r="I301" s="44" t="s">
        <v>150</v>
      </c>
      <c r="J301" s="44" t="s">
        <v>150</v>
      </c>
      <c r="L301" s="44" t="s">
        <v>150</v>
      </c>
      <c r="M301" s="44" t="s">
        <v>150</v>
      </c>
      <c r="O301" s="44" t="s">
        <v>154</v>
      </c>
      <c r="P301" s="44" t="s">
        <v>150</v>
      </c>
      <c r="Q301" s="44" t="s">
        <v>154</v>
      </c>
      <c r="R301" s="44">
        <v>3.0</v>
      </c>
      <c r="S301" s="44" t="s">
        <v>150</v>
      </c>
      <c r="X301" s="44" t="s">
        <v>150</v>
      </c>
      <c r="Y301" s="44" t="s">
        <v>150</v>
      </c>
      <c r="AD301" s="44" t="s">
        <v>833</v>
      </c>
      <c r="AE301" s="44" t="s">
        <v>150</v>
      </c>
      <c r="AG301" s="44" t="s">
        <v>788</v>
      </c>
      <c r="AH301" s="44" t="s">
        <v>154</v>
      </c>
      <c r="AI301" s="44" t="s">
        <v>808</v>
      </c>
      <c r="AJ301" s="44">
        <v>2.0</v>
      </c>
      <c r="AK301" s="44" t="s">
        <v>5</v>
      </c>
      <c r="AL301" s="44" t="s">
        <v>150</v>
      </c>
      <c r="AN301" s="44">
        <v>15.0</v>
      </c>
      <c r="AO301" s="44" t="s">
        <v>150</v>
      </c>
      <c r="AP301" s="44">
        <v>165.0</v>
      </c>
      <c r="AQ301" s="44">
        <v>75.0</v>
      </c>
      <c r="AT301" s="44">
        <v>174.0</v>
      </c>
      <c r="AU301" s="44">
        <v>119.0</v>
      </c>
      <c r="AW301" s="44">
        <v>122.0</v>
      </c>
      <c r="AX301" s="44">
        <v>37.2</v>
      </c>
      <c r="AY301" s="44">
        <v>26.0</v>
      </c>
      <c r="AZ301" s="44">
        <v>82.0</v>
      </c>
      <c r="BA301" s="44" t="s">
        <v>154</v>
      </c>
      <c r="BB301" s="44">
        <v>92.0</v>
      </c>
      <c r="BC301" s="44">
        <v>60.0</v>
      </c>
      <c r="BF301" s="44">
        <v>4.0</v>
      </c>
      <c r="BG301" s="44" t="s">
        <v>154</v>
      </c>
      <c r="BH301" s="44" t="s">
        <v>795</v>
      </c>
      <c r="BI301" s="44" t="s">
        <v>150</v>
      </c>
      <c r="BK301" s="44" t="s">
        <v>150</v>
      </c>
      <c r="BM301" s="44" t="s">
        <v>154</v>
      </c>
      <c r="BN301" s="44" t="s">
        <v>810</v>
      </c>
      <c r="BO301" s="44" t="s">
        <v>154</v>
      </c>
      <c r="BP301" s="44" t="s">
        <v>303</v>
      </c>
      <c r="BR301" s="44" t="s">
        <v>154</v>
      </c>
      <c r="BS301" s="44" t="s">
        <v>811</v>
      </c>
      <c r="BT301" s="44" t="s">
        <v>790</v>
      </c>
      <c r="BU301" s="44" t="s">
        <v>802</v>
      </c>
      <c r="BV301" s="44">
        <v>16.0</v>
      </c>
      <c r="BW301" s="44" t="s">
        <v>150</v>
      </c>
      <c r="BX301" s="44" t="s">
        <v>150</v>
      </c>
      <c r="BZ301" s="44" t="s">
        <v>796</v>
      </c>
      <c r="CA301" s="44" t="s">
        <v>834</v>
      </c>
      <c r="CB301" s="44" t="s">
        <v>150</v>
      </c>
      <c r="CC301" s="44" t="s">
        <v>150</v>
      </c>
      <c r="CD301" s="44" t="s">
        <v>150</v>
      </c>
      <c r="CE301" s="44" t="s">
        <v>150</v>
      </c>
      <c r="CF301" s="44" t="s">
        <v>150</v>
      </c>
      <c r="CG301" s="44" t="s">
        <v>150</v>
      </c>
      <c r="CH301" s="44" t="s">
        <v>150</v>
      </c>
      <c r="CI301" s="44" t="s">
        <v>150</v>
      </c>
      <c r="CJ301" s="44" t="s">
        <v>150</v>
      </c>
      <c r="CK301" s="44" t="s">
        <v>150</v>
      </c>
      <c r="CL301" s="44" t="s">
        <v>835</v>
      </c>
      <c r="CM301" s="44">
        <v>7.4</v>
      </c>
      <c r="CN301" s="44">
        <v>82.1</v>
      </c>
      <c r="CP301" s="44">
        <v>4.0</v>
      </c>
      <c r="CR301" s="44">
        <v>13.7</v>
      </c>
      <c r="CT301" s="44">
        <v>0.0</v>
      </c>
      <c r="CW301" s="44">
        <v>5.52</v>
      </c>
      <c r="CX301" s="44">
        <v>169.0</v>
      </c>
      <c r="CZ301" s="44">
        <v>29.0</v>
      </c>
      <c r="DA301" s="44">
        <v>303.0</v>
      </c>
      <c r="DB301" s="44">
        <v>34.6</v>
      </c>
      <c r="DC301" s="44">
        <v>8.2</v>
      </c>
      <c r="DD301" s="44">
        <v>83.1</v>
      </c>
      <c r="DF301" s="44">
        <v>9.7</v>
      </c>
      <c r="DH301" s="44">
        <v>6.6</v>
      </c>
      <c r="DJ301" s="44">
        <v>0.3</v>
      </c>
      <c r="DM301" s="44">
        <v>5.01</v>
      </c>
      <c r="DN301" s="44">
        <v>152.0</v>
      </c>
      <c r="DP301" s="44">
        <v>19.0</v>
      </c>
      <c r="DQ301" s="44">
        <v>198.0</v>
      </c>
      <c r="DR301" s="44">
        <v>0.0</v>
      </c>
      <c r="DS301" s="44">
        <v>634.0</v>
      </c>
      <c r="DT301" s="44">
        <v>21.6</v>
      </c>
      <c r="DU301" s="44">
        <v>11.6</v>
      </c>
      <c r="DV301" s="44">
        <v>0.89</v>
      </c>
      <c r="DW301" s="44" t="s">
        <v>328</v>
      </c>
      <c r="DX301" s="44">
        <v>610.0</v>
      </c>
      <c r="DY301" s="44">
        <v>26.8</v>
      </c>
      <c r="DZ301" s="44">
        <v>10.6</v>
      </c>
      <c r="EA301" s="44">
        <v>0.923</v>
      </c>
      <c r="EB301" s="44">
        <v>610.0</v>
      </c>
      <c r="EC301" s="44">
        <v>10.68</v>
      </c>
      <c r="ED301" s="44">
        <v>8.22</v>
      </c>
      <c r="EE301" s="44">
        <v>80.1</v>
      </c>
      <c r="EF301" s="44">
        <v>51.5</v>
      </c>
      <c r="EG301" s="44">
        <v>75.9</v>
      </c>
      <c r="EH301" s="44">
        <v>18.1</v>
      </c>
      <c r="EI301" s="44">
        <v>9.2</v>
      </c>
      <c r="EJ301" s="44">
        <v>101.0</v>
      </c>
      <c r="EM301" s="44">
        <v>134.4</v>
      </c>
      <c r="EN301" s="44">
        <v>3.58</v>
      </c>
      <c r="EO301" s="44">
        <v>35.2</v>
      </c>
      <c r="EP301" s="44">
        <v>22.1</v>
      </c>
      <c r="EQ301" s="44">
        <v>75.9</v>
      </c>
      <c r="ER301" s="44">
        <v>18.1</v>
      </c>
      <c r="ES301" s="44">
        <v>9.2</v>
      </c>
      <c r="ET301" s="44">
        <v>62.0</v>
      </c>
      <c r="EY301" s="47">
        <f t="shared" si="36"/>
        <v>5.87479</v>
      </c>
      <c r="EZ301" s="47">
        <f t="shared" si="37"/>
        <v>0.002801513576</v>
      </c>
      <c r="FA301" s="48" t="str">
        <f t="shared" si="38"/>
        <v>Благоприятный</v>
      </c>
      <c r="FB301" s="44" t="s">
        <v>150</v>
      </c>
      <c r="FC301" s="44" t="s">
        <v>779</v>
      </c>
    </row>
    <row r="302">
      <c r="A302" s="44">
        <v>16.0</v>
      </c>
      <c r="B302" s="45">
        <v>16.0</v>
      </c>
      <c r="C302" s="44">
        <v>10109.0</v>
      </c>
      <c r="D302" s="44" t="s">
        <v>779</v>
      </c>
      <c r="E302" s="44">
        <v>49.0</v>
      </c>
      <c r="F302" s="44" t="s">
        <v>161</v>
      </c>
      <c r="G302" s="44" t="s">
        <v>150</v>
      </c>
      <c r="H302" s="44">
        <v>20.0</v>
      </c>
      <c r="I302" s="44" t="s">
        <v>150</v>
      </c>
      <c r="J302" s="44" t="s">
        <v>150</v>
      </c>
      <c r="L302" s="44" t="s">
        <v>150</v>
      </c>
      <c r="M302" s="44" t="s">
        <v>150</v>
      </c>
      <c r="O302" s="44" t="s">
        <v>154</v>
      </c>
      <c r="P302" s="44" t="s">
        <v>150</v>
      </c>
      <c r="Q302" s="44" t="s">
        <v>154</v>
      </c>
      <c r="R302" s="44">
        <v>2.0</v>
      </c>
      <c r="S302" s="44" t="s">
        <v>150</v>
      </c>
      <c r="X302" s="44" t="s">
        <v>150</v>
      </c>
      <c r="Y302" s="44" t="s">
        <v>150</v>
      </c>
      <c r="AD302" s="44" t="s">
        <v>836</v>
      </c>
      <c r="AE302" s="44" t="s">
        <v>150</v>
      </c>
      <c r="AG302" s="44" t="s">
        <v>788</v>
      </c>
      <c r="AH302" s="44" t="s">
        <v>154</v>
      </c>
      <c r="AI302" s="44" t="s">
        <v>800</v>
      </c>
      <c r="AJ302" s="44">
        <v>3.0</v>
      </c>
      <c r="AK302" s="44" t="s">
        <v>5</v>
      </c>
      <c r="AL302" s="44" t="s">
        <v>150</v>
      </c>
      <c r="AN302" s="44">
        <v>15.0</v>
      </c>
      <c r="AO302" s="44" t="s">
        <v>150</v>
      </c>
      <c r="AP302" s="44">
        <v>162.0</v>
      </c>
      <c r="AQ302" s="44">
        <v>82.0</v>
      </c>
      <c r="AT302" s="44">
        <v>135.0</v>
      </c>
      <c r="AU302" s="44">
        <v>75.0</v>
      </c>
      <c r="AW302" s="44">
        <v>100.0</v>
      </c>
      <c r="AX302" s="44">
        <v>37.0</v>
      </c>
      <c r="AY302" s="44">
        <v>23.0</v>
      </c>
      <c r="AZ302" s="44">
        <v>88.0</v>
      </c>
      <c r="BA302" s="44" t="s">
        <v>154</v>
      </c>
      <c r="BB302" s="44">
        <v>96.0</v>
      </c>
      <c r="BC302" s="44">
        <v>60.0</v>
      </c>
      <c r="BF302" s="44">
        <v>4.0</v>
      </c>
      <c r="BG302" s="44" t="s">
        <v>154</v>
      </c>
      <c r="BH302" s="44" t="s">
        <v>837</v>
      </c>
      <c r="BI302" s="44" t="s">
        <v>154</v>
      </c>
      <c r="BJ302" s="44" t="s">
        <v>838</v>
      </c>
      <c r="BK302" s="44" t="s">
        <v>150</v>
      </c>
      <c r="BM302" s="44" t="s">
        <v>154</v>
      </c>
      <c r="BN302" s="44" t="s">
        <v>810</v>
      </c>
      <c r="BO302" s="44" t="s">
        <v>154</v>
      </c>
      <c r="BP302" s="44" t="s">
        <v>811</v>
      </c>
      <c r="BR302" s="44" t="s">
        <v>154</v>
      </c>
      <c r="BS302" s="44" t="s">
        <v>839</v>
      </c>
      <c r="BT302" s="44" t="s">
        <v>840</v>
      </c>
      <c r="BU302" s="44" t="s">
        <v>802</v>
      </c>
      <c r="BV302" s="44">
        <v>18.0</v>
      </c>
      <c r="BW302" s="44" t="s">
        <v>154</v>
      </c>
      <c r="BX302" s="44" t="s">
        <v>150</v>
      </c>
      <c r="BZ302" s="44" t="s">
        <v>796</v>
      </c>
      <c r="CA302" s="44" t="s">
        <v>834</v>
      </c>
      <c r="CB302" s="44" t="s">
        <v>150</v>
      </c>
      <c r="CC302" s="44" t="s">
        <v>150</v>
      </c>
      <c r="CD302" s="44" t="s">
        <v>150</v>
      </c>
      <c r="CE302" s="44" t="s">
        <v>150</v>
      </c>
      <c r="CF302" s="44" t="s">
        <v>831</v>
      </c>
      <c r="CG302" s="44" t="s">
        <v>154</v>
      </c>
      <c r="CH302" s="44" t="s">
        <v>150</v>
      </c>
      <c r="CI302" s="44" t="s">
        <v>150</v>
      </c>
      <c r="CJ302" s="44" t="s">
        <v>150</v>
      </c>
      <c r="CK302" s="44" t="s">
        <v>150</v>
      </c>
      <c r="CL302" s="44" t="s">
        <v>841</v>
      </c>
      <c r="CM302" s="44">
        <v>13.1</v>
      </c>
      <c r="CN302" s="44">
        <v>82.6</v>
      </c>
      <c r="CP302" s="44">
        <v>9.8</v>
      </c>
      <c r="CR302" s="44">
        <v>7.3</v>
      </c>
      <c r="CT302" s="44">
        <v>0.0</v>
      </c>
      <c r="CW302" s="44">
        <v>4.97</v>
      </c>
      <c r="CX302" s="44">
        <v>134.0</v>
      </c>
      <c r="CZ302" s="44">
        <v>35.0</v>
      </c>
      <c r="DA302" s="44">
        <v>237.0</v>
      </c>
      <c r="DB302" s="44">
        <v>102.0</v>
      </c>
      <c r="DC302" s="44">
        <v>6.5</v>
      </c>
      <c r="DD302" s="44">
        <v>83.5</v>
      </c>
      <c r="DF302" s="44">
        <v>9.2</v>
      </c>
      <c r="DH302" s="44">
        <v>6.0</v>
      </c>
      <c r="DJ302" s="44">
        <v>0.0</v>
      </c>
      <c r="DM302" s="44">
        <v>4.86</v>
      </c>
      <c r="DN302" s="44">
        <v>131.0</v>
      </c>
      <c r="DQ302" s="44">
        <v>176.0</v>
      </c>
      <c r="DR302" s="44">
        <v>13.8</v>
      </c>
      <c r="DS302" s="44">
        <v>563.6</v>
      </c>
      <c r="DT302" s="44">
        <v>30.5</v>
      </c>
      <c r="DU302" s="44">
        <v>10.7</v>
      </c>
      <c r="DV302" s="44">
        <v>92.0</v>
      </c>
      <c r="DW302" s="44" t="s">
        <v>328</v>
      </c>
      <c r="DX302" s="44">
        <v>513.0</v>
      </c>
      <c r="DY302" s="44">
        <v>23.2</v>
      </c>
      <c r="DZ302" s="44">
        <v>12.7</v>
      </c>
      <c r="EA302" s="44">
        <v>1.09</v>
      </c>
      <c r="EB302" s="44">
        <v>513.0</v>
      </c>
      <c r="EC302" s="44">
        <v>8.59</v>
      </c>
      <c r="ED302" s="44">
        <v>7.8</v>
      </c>
      <c r="EE302" s="44">
        <v>30.6</v>
      </c>
      <c r="EF302" s="44">
        <v>26.6</v>
      </c>
      <c r="EG302" s="44">
        <v>64.9</v>
      </c>
      <c r="EH302" s="44">
        <v>7.0</v>
      </c>
      <c r="EI302" s="44">
        <v>3.1</v>
      </c>
      <c r="EJ302" s="44">
        <v>80.0</v>
      </c>
      <c r="EO302" s="44">
        <v>52.1</v>
      </c>
      <c r="EP302" s="44">
        <v>12.1</v>
      </c>
      <c r="EQ302" s="44">
        <v>66.14</v>
      </c>
      <c r="ER302" s="44">
        <v>16.8</v>
      </c>
      <c r="ES302" s="44">
        <v>5.4</v>
      </c>
      <c r="ET302" s="44">
        <v>102.0</v>
      </c>
      <c r="EY302" s="47">
        <f t="shared" si="36"/>
        <v>5.67866</v>
      </c>
      <c r="EZ302" s="47">
        <f t="shared" si="37"/>
        <v>0.003406491827</v>
      </c>
      <c r="FA302" s="48" t="str">
        <f t="shared" si="38"/>
        <v>Благоприятный</v>
      </c>
      <c r="FB302" s="44" t="s">
        <v>150</v>
      </c>
      <c r="FC302" s="44" t="s">
        <v>779</v>
      </c>
    </row>
    <row r="303">
      <c r="A303" s="44">
        <v>17.0</v>
      </c>
      <c r="B303" s="45">
        <v>17.0</v>
      </c>
      <c r="C303" s="44">
        <v>10572.0</v>
      </c>
      <c r="D303" s="44" t="s">
        <v>798</v>
      </c>
      <c r="E303" s="44">
        <v>61.0</v>
      </c>
      <c r="F303" s="44" t="s">
        <v>161</v>
      </c>
      <c r="G303" s="44" t="s">
        <v>150</v>
      </c>
      <c r="H303" s="44">
        <v>12.0</v>
      </c>
      <c r="I303" s="44" t="s">
        <v>150</v>
      </c>
      <c r="J303" s="44" t="s">
        <v>150</v>
      </c>
      <c r="L303" s="44" t="s">
        <v>150</v>
      </c>
      <c r="M303" s="44" t="s">
        <v>154</v>
      </c>
      <c r="N303" s="44" t="s">
        <v>813</v>
      </c>
      <c r="O303" s="44" t="s">
        <v>150</v>
      </c>
      <c r="P303" s="44" t="s">
        <v>150</v>
      </c>
      <c r="Q303" s="44" t="s">
        <v>154</v>
      </c>
      <c r="R303" s="44">
        <v>3.0</v>
      </c>
      <c r="S303" s="44" t="s">
        <v>150</v>
      </c>
      <c r="X303" s="44" t="s">
        <v>150</v>
      </c>
      <c r="Y303" s="44" t="s">
        <v>150</v>
      </c>
      <c r="AD303" s="44" t="s">
        <v>842</v>
      </c>
      <c r="AE303" s="44" t="s">
        <v>150</v>
      </c>
      <c r="AG303" s="44" t="s">
        <v>807</v>
      </c>
      <c r="AH303" s="44" t="s">
        <v>154</v>
      </c>
      <c r="AI303" s="44" t="s">
        <v>800</v>
      </c>
      <c r="AJ303" s="44">
        <v>1.0</v>
      </c>
      <c r="AK303" s="44" t="s">
        <v>5</v>
      </c>
      <c r="AL303" s="44" t="s">
        <v>154</v>
      </c>
      <c r="AM303" s="44" t="s">
        <v>843</v>
      </c>
      <c r="AN303" s="44">
        <v>15.0</v>
      </c>
      <c r="AO303" s="44" t="s">
        <v>150</v>
      </c>
      <c r="AP303" s="44">
        <v>150.0</v>
      </c>
      <c r="AQ303" s="44">
        <v>82.0</v>
      </c>
      <c r="AT303" s="44">
        <v>135.0</v>
      </c>
      <c r="AU303" s="44">
        <v>75.0</v>
      </c>
      <c r="AW303" s="44">
        <v>111.0</v>
      </c>
      <c r="AX303" s="44">
        <v>37.5</v>
      </c>
      <c r="AY303" s="44">
        <v>20.0</v>
      </c>
      <c r="AZ303" s="44">
        <v>88.0</v>
      </c>
      <c r="BA303" s="44" t="s">
        <v>154</v>
      </c>
      <c r="BB303" s="44">
        <v>100.0</v>
      </c>
      <c r="BC303" s="44">
        <v>40.0</v>
      </c>
      <c r="BF303" s="44">
        <v>4.0</v>
      </c>
      <c r="BG303" s="44" t="s">
        <v>154</v>
      </c>
      <c r="BH303" s="44" t="s">
        <v>795</v>
      </c>
      <c r="BI303" s="44" t="s">
        <v>154</v>
      </c>
      <c r="BJ303" s="44" t="s">
        <v>795</v>
      </c>
      <c r="BK303" s="44" t="s">
        <v>150</v>
      </c>
      <c r="BM303" s="44" t="s">
        <v>154</v>
      </c>
      <c r="BN303" s="44" t="s">
        <v>810</v>
      </c>
      <c r="BO303" s="44" t="s">
        <v>154</v>
      </c>
      <c r="BP303" s="44" t="s">
        <v>844</v>
      </c>
      <c r="BR303" s="44" t="s">
        <v>154</v>
      </c>
      <c r="BS303" s="44" t="s">
        <v>801</v>
      </c>
      <c r="BT303" s="44" t="s">
        <v>784</v>
      </c>
      <c r="BU303" s="44" t="s">
        <v>802</v>
      </c>
      <c r="BV303" s="44">
        <v>20.0</v>
      </c>
      <c r="BW303" s="44" t="s">
        <v>154</v>
      </c>
      <c r="BX303" s="44" t="s">
        <v>150</v>
      </c>
      <c r="BZ303" s="44" t="s">
        <v>796</v>
      </c>
      <c r="CA303" s="44" t="s">
        <v>809</v>
      </c>
      <c r="CB303" s="44" t="s">
        <v>150</v>
      </c>
      <c r="CC303" s="44" t="s">
        <v>150</v>
      </c>
      <c r="CD303" s="44" t="s">
        <v>845</v>
      </c>
      <c r="CE303" s="44" t="s">
        <v>150</v>
      </c>
      <c r="CF303" s="44" t="s">
        <v>150</v>
      </c>
      <c r="CG303" s="44" t="s">
        <v>150</v>
      </c>
      <c r="CH303" s="44" t="s">
        <v>150</v>
      </c>
      <c r="CI303" s="44" t="s">
        <v>150</v>
      </c>
      <c r="CJ303" s="44" t="s">
        <v>150</v>
      </c>
      <c r="CK303" s="44" t="s">
        <v>150</v>
      </c>
      <c r="CL303" s="44" t="s">
        <v>846</v>
      </c>
      <c r="CM303" s="44">
        <v>9.9</v>
      </c>
      <c r="CN303" s="44">
        <v>78.4</v>
      </c>
      <c r="CP303" s="44">
        <v>12.6</v>
      </c>
      <c r="CR303" s="44">
        <v>8.8</v>
      </c>
      <c r="CT303" s="44">
        <v>0.0</v>
      </c>
      <c r="CW303" s="44">
        <v>4.63</v>
      </c>
      <c r="CX303" s="44">
        <v>131.0</v>
      </c>
      <c r="CZ303" s="44">
        <v>19.0</v>
      </c>
      <c r="DA303" s="44">
        <v>312.0</v>
      </c>
      <c r="DB303" s="44">
        <v>45.6</v>
      </c>
      <c r="DC303" s="44">
        <v>18.4</v>
      </c>
      <c r="DD303" s="44">
        <v>75.1</v>
      </c>
      <c r="DF303" s="44">
        <v>14.9</v>
      </c>
      <c r="DH303" s="44">
        <v>8.3</v>
      </c>
      <c r="DJ303" s="44">
        <v>0.4</v>
      </c>
      <c r="DM303" s="44">
        <v>4.81</v>
      </c>
      <c r="DN303" s="44">
        <v>135.0</v>
      </c>
      <c r="DP303" s="44">
        <v>14.0</v>
      </c>
      <c r="DQ303" s="44">
        <v>288.0</v>
      </c>
      <c r="DR303" s="44">
        <v>0.0</v>
      </c>
      <c r="DS303" s="44">
        <v>780.0</v>
      </c>
      <c r="DT303" s="44">
        <v>26.7</v>
      </c>
      <c r="DU303" s="44">
        <v>13.4</v>
      </c>
      <c r="DV303" s="44">
        <v>1.14</v>
      </c>
      <c r="DW303" s="44" t="s">
        <v>5</v>
      </c>
      <c r="DX303" s="44">
        <v>391.0</v>
      </c>
      <c r="DY303" s="44">
        <v>27.4</v>
      </c>
      <c r="DZ303" s="44">
        <v>10.7</v>
      </c>
      <c r="EA303" s="44">
        <v>0.91</v>
      </c>
      <c r="EB303" s="44">
        <v>391.0</v>
      </c>
      <c r="EC303" s="44">
        <v>5.5</v>
      </c>
      <c r="ED303" s="44">
        <v>5.5</v>
      </c>
      <c r="EE303" s="44">
        <v>21.3</v>
      </c>
      <c r="EF303" s="44">
        <v>29.6</v>
      </c>
      <c r="EG303" s="44">
        <v>71.7</v>
      </c>
      <c r="EH303" s="44">
        <v>12.0</v>
      </c>
      <c r="EI303" s="44">
        <v>5.5</v>
      </c>
      <c r="EJ303" s="44">
        <v>81.0</v>
      </c>
      <c r="EM303" s="44">
        <v>138.5</v>
      </c>
      <c r="EN303" s="44">
        <v>3.5</v>
      </c>
      <c r="EO303" s="44">
        <v>19.9</v>
      </c>
      <c r="EP303" s="44">
        <v>7.4</v>
      </c>
      <c r="EQ303" s="44">
        <v>62.7</v>
      </c>
      <c r="ER303" s="44">
        <v>11.5</v>
      </c>
      <c r="ES303" s="44">
        <v>3.7</v>
      </c>
      <c r="ET303" s="44">
        <v>80.0</v>
      </c>
      <c r="EW303" s="44">
        <v>137.7</v>
      </c>
      <c r="EX303" s="44">
        <v>4.3</v>
      </c>
      <c r="EY303" s="47">
        <f t="shared" si="36"/>
        <v>4.65254</v>
      </c>
      <c r="EZ303" s="47">
        <f t="shared" si="37"/>
        <v>0.009447244636</v>
      </c>
      <c r="FA303" s="48" t="str">
        <f t="shared" si="38"/>
        <v>Благоприятный</v>
      </c>
      <c r="FB303" s="44" t="s">
        <v>150</v>
      </c>
      <c r="FC303" s="44" t="s">
        <v>798</v>
      </c>
    </row>
    <row r="304">
      <c r="A304" s="44">
        <v>18.0</v>
      </c>
      <c r="B304" s="45">
        <v>18.0</v>
      </c>
      <c r="C304" s="44">
        <v>10189.0</v>
      </c>
      <c r="D304" s="44" t="s">
        <v>798</v>
      </c>
      <c r="E304" s="44">
        <v>57.0</v>
      </c>
      <c r="F304" s="44" t="s">
        <v>149</v>
      </c>
      <c r="H304" s="44">
        <v>23.0</v>
      </c>
      <c r="I304" s="44" t="s">
        <v>150</v>
      </c>
      <c r="J304" s="44" t="s">
        <v>150</v>
      </c>
      <c r="L304" s="44" t="s">
        <v>150</v>
      </c>
      <c r="M304" s="44" t="s">
        <v>154</v>
      </c>
      <c r="N304" s="44" t="s">
        <v>813</v>
      </c>
      <c r="O304" s="44" t="s">
        <v>150</v>
      </c>
      <c r="P304" s="44" t="s">
        <v>150</v>
      </c>
      <c r="Q304" s="44" t="s">
        <v>154</v>
      </c>
      <c r="R304" s="44">
        <v>3.0</v>
      </c>
      <c r="S304" s="44" t="s">
        <v>150</v>
      </c>
      <c r="U304" s="44">
        <v>1.0</v>
      </c>
      <c r="V304" s="44" t="s">
        <v>806</v>
      </c>
      <c r="X304" s="44" t="s">
        <v>150</v>
      </c>
      <c r="Y304" s="44" t="s">
        <v>150</v>
      </c>
      <c r="AD304" s="44" t="s">
        <v>847</v>
      </c>
      <c r="AE304" s="44" t="s">
        <v>150</v>
      </c>
      <c r="AG304" s="44" t="s">
        <v>788</v>
      </c>
      <c r="AH304" s="44" t="s">
        <v>154</v>
      </c>
      <c r="AI304" s="44" t="s">
        <v>800</v>
      </c>
      <c r="AJ304" s="44">
        <v>3.0</v>
      </c>
      <c r="AK304" s="44" t="s">
        <v>5</v>
      </c>
      <c r="AL304" s="44" t="s">
        <v>150</v>
      </c>
      <c r="AN304" s="44">
        <v>15.0</v>
      </c>
      <c r="AO304" s="44" t="s">
        <v>150</v>
      </c>
      <c r="AP304" s="44">
        <v>174.0</v>
      </c>
      <c r="AQ304" s="44">
        <v>115.0</v>
      </c>
      <c r="AT304" s="44">
        <v>150.0</v>
      </c>
      <c r="AU304" s="44">
        <v>100.0</v>
      </c>
      <c r="AW304" s="44">
        <v>98.0</v>
      </c>
      <c r="AX304" s="44">
        <v>38.0</v>
      </c>
      <c r="AY304" s="44">
        <v>26.0</v>
      </c>
      <c r="AZ304" s="44">
        <v>82.0</v>
      </c>
      <c r="BA304" s="44" t="s">
        <v>154</v>
      </c>
      <c r="BB304" s="44">
        <v>82.0</v>
      </c>
      <c r="BF304" s="44">
        <v>4.0</v>
      </c>
      <c r="BG304" s="44" t="s">
        <v>154</v>
      </c>
      <c r="BH304" s="44" t="s">
        <v>795</v>
      </c>
      <c r="BI304" s="44" t="s">
        <v>154</v>
      </c>
      <c r="BJ304" s="44" t="s">
        <v>795</v>
      </c>
      <c r="BK304" s="44" t="s">
        <v>150</v>
      </c>
      <c r="BM304" s="44" t="s">
        <v>154</v>
      </c>
      <c r="BN304" s="44" t="s">
        <v>810</v>
      </c>
      <c r="BO304" s="44" t="s">
        <v>154</v>
      </c>
      <c r="BP304" s="44" t="s">
        <v>614</v>
      </c>
      <c r="BR304" s="44" t="s">
        <v>154</v>
      </c>
      <c r="BS304" s="44" t="s">
        <v>811</v>
      </c>
      <c r="BT304" s="44" t="s">
        <v>830</v>
      </c>
      <c r="BU304" s="44" t="s">
        <v>802</v>
      </c>
      <c r="BV304" s="44">
        <v>16.0</v>
      </c>
      <c r="BW304" s="44" t="s">
        <v>154</v>
      </c>
      <c r="BX304" s="44" t="s">
        <v>150</v>
      </c>
      <c r="BZ304" s="44" t="s">
        <v>796</v>
      </c>
      <c r="CA304" s="44" t="s">
        <v>809</v>
      </c>
      <c r="CB304" s="44" t="s">
        <v>150</v>
      </c>
      <c r="CC304" s="44" t="s">
        <v>150</v>
      </c>
      <c r="CD304" s="44" t="s">
        <v>150</v>
      </c>
      <c r="CE304" s="44" t="s">
        <v>150</v>
      </c>
      <c r="CF304" s="44" t="s">
        <v>831</v>
      </c>
      <c r="CG304" s="44" t="s">
        <v>150</v>
      </c>
      <c r="CH304" s="44" t="s">
        <v>150</v>
      </c>
      <c r="CI304" s="44" t="s">
        <v>150</v>
      </c>
      <c r="CJ304" s="44" t="s">
        <v>150</v>
      </c>
      <c r="CK304" s="44" t="s">
        <v>150</v>
      </c>
      <c r="CL304" s="44" t="s">
        <v>250</v>
      </c>
      <c r="CM304" s="44">
        <v>11.4</v>
      </c>
      <c r="CN304" s="44">
        <v>89.2</v>
      </c>
      <c r="CP304" s="44">
        <v>5.0</v>
      </c>
      <c r="CR304" s="44">
        <v>5.5</v>
      </c>
      <c r="CT304" s="44">
        <v>0.2</v>
      </c>
      <c r="CW304" s="44">
        <v>4.87</v>
      </c>
      <c r="CX304" s="44">
        <v>141.0</v>
      </c>
      <c r="DA304" s="44">
        <v>422.0</v>
      </c>
      <c r="DB304" s="44">
        <v>8.9</v>
      </c>
      <c r="DC304" s="44">
        <v>11.6</v>
      </c>
      <c r="DD304" s="44">
        <v>76.8</v>
      </c>
      <c r="DF304" s="44">
        <v>17.4</v>
      </c>
      <c r="DH304" s="44">
        <v>2.6</v>
      </c>
      <c r="DJ304" s="44">
        <v>2.6</v>
      </c>
      <c r="DM304" s="44">
        <v>4.66</v>
      </c>
      <c r="DN304" s="44">
        <v>135.0</v>
      </c>
      <c r="DQ304" s="44">
        <v>212.0</v>
      </c>
      <c r="DR304" s="44">
        <v>0.0</v>
      </c>
      <c r="DS304" s="44">
        <v>650.0</v>
      </c>
      <c r="DU304" s="44">
        <v>13.8</v>
      </c>
      <c r="DV304" s="44">
        <v>1.17</v>
      </c>
      <c r="DW304" s="44" t="s">
        <v>328</v>
      </c>
      <c r="DX304" s="44">
        <v>314.0</v>
      </c>
      <c r="DZ304" s="44">
        <v>10.8</v>
      </c>
      <c r="EA304" s="44">
        <v>0.96</v>
      </c>
      <c r="EB304" s="44">
        <v>314.0</v>
      </c>
      <c r="EC304" s="44">
        <v>6.9</v>
      </c>
      <c r="ED304" s="44">
        <v>7.9</v>
      </c>
      <c r="EE304" s="44">
        <v>34.9</v>
      </c>
      <c r="EF304" s="44">
        <v>46.4</v>
      </c>
      <c r="EG304" s="44">
        <v>67.8</v>
      </c>
      <c r="EH304" s="44">
        <v>15.8</v>
      </c>
      <c r="EI304" s="44">
        <v>4.4</v>
      </c>
      <c r="EJ304" s="44">
        <v>99.93</v>
      </c>
      <c r="EM304" s="44">
        <v>132.9</v>
      </c>
      <c r="EN304" s="44">
        <v>4.68</v>
      </c>
      <c r="EO304" s="44">
        <v>51.3</v>
      </c>
      <c r="EP304" s="44">
        <v>17.2</v>
      </c>
      <c r="EQ304" s="44">
        <v>68.6</v>
      </c>
      <c r="ER304" s="44">
        <v>13.1</v>
      </c>
      <c r="ES304" s="44">
        <v>3.8</v>
      </c>
      <c r="ET304" s="44">
        <v>100.0</v>
      </c>
      <c r="EW304" s="44">
        <v>134.3</v>
      </c>
      <c r="EX304" s="44">
        <v>4.02</v>
      </c>
      <c r="EY304" s="47">
        <f t="shared" si="36"/>
        <v>4.59414</v>
      </c>
      <c r="EZ304" s="47">
        <f t="shared" si="37"/>
        <v>0.01000970518</v>
      </c>
      <c r="FA304" s="48" t="str">
        <f t="shared" si="38"/>
        <v>Благоприятный</v>
      </c>
      <c r="FB304" s="44" t="s">
        <v>150</v>
      </c>
      <c r="FC304" s="44" t="s">
        <v>798</v>
      </c>
    </row>
    <row r="305">
      <c r="A305" s="44">
        <v>19.0</v>
      </c>
      <c r="B305" s="45">
        <v>19.0</v>
      </c>
      <c r="C305" s="44">
        <v>10763.0</v>
      </c>
      <c r="D305" s="44" t="s">
        <v>798</v>
      </c>
      <c r="E305" s="44">
        <v>61.0</v>
      </c>
      <c r="F305" s="44" t="s">
        <v>161</v>
      </c>
      <c r="G305" s="44" t="s">
        <v>150</v>
      </c>
      <c r="H305" s="44">
        <v>18.0</v>
      </c>
      <c r="I305" s="44" t="s">
        <v>150</v>
      </c>
      <c r="J305" s="44" t="s">
        <v>150</v>
      </c>
      <c r="L305" s="44" t="s">
        <v>154</v>
      </c>
      <c r="M305" s="44" t="s">
        <v>154</v>
      </c>
      <c r="N305" s="44" t="s">
        <v>820</v>
      </c>
      <c r="O305" s="44" t="s">
        <v>154</v>
      </c>
      <c r="P305" s="44" t="s">
        <v>154</v>
      </c>
      <c r="Q305" s="44" t="s">
        <v>154</v>
      </c>
      <c r="R305" s="44">
        <v>2.0</v>
      </c>
      <c r="S305" s="44" t="s">
        <v>150</v>
      </c>
      <c r="X305" s="44" t="s">
        <v>150</v>
      </c>
      <c r="Y305" s="44" t="s">
        <v>150</v>
      </c>
      <c r="AD305" s="44" t="s">
        <v>848</v>
      </c>
      <c r="AE305" s="44" t="s">
        <v>150</v>
      </c>
      <c r="AG305" s="44" t="s">
        <v>788</v>
      </c>
      <c r="AH305" s="44" t="s">
        <v>154</v>
      </c>
      <c r="AI305" s="44" t="s">
        <v>808</v>
      </c>
      <c r="AJ305" s="44">
        <v>2.0</v>
      </c>
      <c r="AK305" s="44" t="s">
        <v>5</v>
      </c>
      <c r="AL305" s="44" t="s">
        <v>150</v>
      </c>
      <c r="AN305" s="44">
        <v>15.0</v>
      </c>
      <c r="AO305" s="44" t="s">
        <v>150</v>
      </c>
      <c r="AP305" s="44">
        <v>150.0</v>
      </c>
      <c r="AQ305" s="44">
        <v>68.0</v>
      </c>
      <c r="AT305" s="44">
        <v>130.0</v>
      </c>
      <c r="AU305" s="44">
        <v>84.0</v>
      </c>
      <c r="AW305" s="44">
        <v>131.0</v>
      </c>
      <c r="AX305" s="44">
        <v>36.9</v>
      </c>
      <c r="AY305" s="44">
        <v>24.0</v>
      </c>
      <c r="AZ305" s="44">
        <v>77.0</v>
      </c>
      <c r="BA305" s="44" t="s">
        <v>154</v>
      </c>
      <c r="BB305" s="44">
        <v>92.0</v>
      </c>
      <c r="BC305" s="44">
        <v>60.0</v>
      </c>
      <c r="BF305" s="44">
        <v>4.0</v>
      </c>
      <c r="BG305" s="44" t="s">
        <v>822</v>
      </c>
      <c r="BI305" s="44" t="s">
        <v>150</v>
      </c>
      <c r="BK305" s="44" t="s">
        <v>150</v>
      </c>
      <c r="BM305" s="44" t="s">
        <v>154</v>
      </c>
      <c r="BN305" s="44" t="s">
        <v>849</v>
      </c>
      <c r="BO305" s="44" t="s">
        <v>822</v>
      </c>
      <c r="BR305" s="44" t="s">
        <v>154</v>
      </c>
      <c r="BS305" s="44" t="s">
        <v>614</v>
      </c>
      <c r="BT305" s="44">
        <v>24.0</v>
      </c>
      <c r="BU305" s="44" t="s">
        <v>802</v>
      </c>
      <c r="BV305" s="44">
        <v>52.0</v>
      </c>
      <c r="BW305" s="44" t="s">
        <v>154</v>
      </c>
      <c r="BX305" s="44" t="s">
        <v>150</v>
      </c>
      <c r="BZ305" s="44" t="s">
        <v>796</v>
      </c>
      <c r="CA305" s="44" t="s">
        <v>809</v>
      </c>
      <c r="CB305" s="44" t="s">
        <v>150</v>
      </c>
      <c r="CC305" s="44" t="s">
        <v>150</v>
      </c>
      <c r="CD305" s="44" t="s">
        <v>150</v>
      </c>
      <c r="CE305" s="44" t="s">
        <v>150</v>
      </c>
      <c r="CF305" s="44" t="s">
        <v>150</v>
      </c>
      <c r="CG305" s="44" t="s">
        <v>150</v>
      </c>
      <c r="CH305" s="44" t="s">
        <v>150</v>
      </c>
      <c r="CI305" s="44" t="s">
        <v>150</v>
      </c>
      <c r="CJ305" s="44" t="s">
        <v>150</v>
      </c>
      <c r="CK305" s="44" t="s">
        <v>150</v>
      </c>
      <c r="CL305" s="44" t="s">
        <v>850</v>
      </c>
      <c r="CM305" s="44">
        <v>9.5</v>
      </c>
      <c r="CN305" s="44">
        <v>81.0</v>
      </c>
      <c r="CP305" s="44">
        <v>8.5</v>
      </c>
      <c r="CR305" s="44">
        <v>10.3</v>
      </c>
      <c r="CT305" s="44">
        <v>0.2</v>
      </c>
      <c r="CW305" s="44">
        <v>4.83</v>
      </c>
      <c r="CX305" s="44">
        <v>134.0</v>
      </c>
      <c r="CZ305" s="44">
        <v>34.0</v>
      </c>
      <c r="DA305" s="44">
        <v>391.0</v>
      </c>
      <c r="DB305" s="44">
        <v>159.78</v>
      </c>
      <c r="DC305" s="44">
        <v>13.58</v>
      </c>
      <c r="DF305" s="44">
        <v>16.0</v>
      </c>
      <c r="DH305" s="44">
        <v>7.0</v>
      </c>
      <c r="DJ305" s="44">
        <v>0.0</v>
      </c>
      <c r="DM305" s="44">
        <v>5.08</v>
      </c>
      <c r="DN305" s="44">
        <v>141.0</v>
      </c>
      <c r="DP305" s="44">
        <v>18.0</v>
      </c>
      <c r="DQ305" s="44">
        <v>303.0</v>
      </c>
      <c r="DR305" s="44">
        <v>4.9</v>
      </c>
      <c r="DS305" s="44">
        <v>1130.0</v>
      </c>
      <c r="DT305" s="44">
        <v>29.0</v>
      </c>
      <c r="DU305" s="44">
        <v>15.2</v>
      </c>
      <c r="DV305" s="44">
        <v>1.3</v>
      </c>
      <c r="DW305" s="44" t="s">
        <v>328</v>
      </c>
      <c r="DX305" s="44">
        <v>316.0</v>
      </c>
      <c r="DY305" s="44">
        <v>31.0</v>
      </c>
      <c r="DZ305" s="44">
        <v>10.3</v>
      </c>
      <c r="EA305" s="44">
        <v>0.88</v>
      </c>
      <c r="EB305" s="44">
        <v>316.0</v>
      </c>
      <c r="EC305" s="44">
        <v>10.48</v>
      </c>
      <c r="ED305" s="44">
        <v>6.7</v>
      </c>
      <c r="EE305" s="44">
        <v>19.79</v>
      </c>
      <c r="EF305" s="44">
        <v>21.8</v>
      </c>
      <c r="EG305" s="44">
        <v>64.0</v>
      </c>
      <c r="EH305" s="44">
        <v>12.68</v>
      </c>
      <c r="EI305" s="44">
        <v>3.62</v>
      </c>
      <c r="EJ305" s="44">
        <v>55.63</v>
      </c>
      <c r="EM305" s="44">
        <v>132.1</v>
      </c>
      <c r="EN305" s="44">
        <v>3.9</v>
      </c>
      <c r="EO305" s="44">
        <v>30.5</v>
      </c>
      <c r="EP305" s="44">
        <v>12.0</v>
      </c>
      <c r="EQ305" s="44">
        <v>65.1</v>
      </c>
      <c r="ER305" s="44">
        <v>10.3</v>
      </c>
      <c r="ES305" s="44">
        <v>3.7</v>
      </c>
      <c r="ET305" s="44">
        <v>57.0</v>
      </c>
      <c r="EW305" s="44">
        <v>138.3</v>
      </c>
      <c r="EX305" s="44">
        <v>4.8</v>
      </c>
      <c r="EY305" s="47">
        <f t="shared" si="36"/>
        <v>4.900346</v>
      </c>
      <c r="EZ305" s="47">
        <f t="shared" si="37"/>
        <v>0.007389003207</v>
      </c>
      <c r="FA305" s="48" t="str">
        <f t="shared" si="38"/>
        <v>Благоприятный</v>
      </c>
      <c r="FB305" s="44" t="s">
        <v>150</v>
      </c>
      <c r="FC305" s="44" t="s">
        <v>798</v>
      </c>
    </row>
    <row r="306">
      <c r="A306" s="44">
        <v>20.0</v>
      </c>
      <c r="B306" s="45">
        <v>20.0</v>
      </c>
      <c r="C306" s="44">
        <v>9957.0</v>
      </c>
      <c r="D306" s="44" t="s">
        <v>779</v>
      </c>
      <c r="E306" s="44">
        <v>49.0</v>
      </c>
      <c r="F306" s="44" t="s">
        <v>149</v>
      </c>
      <c r="H306" s="44">
        <v>26.0</v>
      </c>
      <c r="I306" s="44" t="s">
        <v>150</v>
      </c>
      <c r="J306" s="44" t="s">
        <v>150</v>
      </c>
      <c r="L306" s="44" t="s">
        <v>150</v>
      </c>
      <c r="M306" s="44" t="s">
        <v>150</v>
      </c>
      <c r="O306" s="44" t="s">
        <v>154</v>
      </c>
      <c r="P306" s="44" t="s">
        <v>150</v>
      </c>
      <c r="Q306" s="44" t="s">
        <v>154</v>
      </c>
      <c r="R306" s="44">
        <v>2.0</v>
      </c>
      <c r="S306" s="44" t="s">
        <v>150</v>
      </c>
      <c r="X306" s="44" t="s">
        <v>150</v>
      </c>
      <c r="Y306" s="44" t="s">
        <v>150</v>
      </c>
      <c r="AD306" s="44" t="s">
        <v>390</v>
      </c>
      <c r="AE306" s="44" t="s">
        <v>150</v>
      </c>
      <c r="AG306" s="44" t="s">
        <v>788</v>
      </c>
      <c r="AH306" s="44" t="s">
        <v>154</v>
      </c>
      <c r="AI306" s="44" t="s">
        <v>808</v>
      </c>
      <c r="AJ306" s="44">
        <v>2.0</v>
      </c>
      <c r="AK306" s="44" t="s">
        <v>5</v>
      </c>
      <c r="AL306" s="44" t="s">
        <v>150</v>
      </c>
      <c r="AN306" s="44">
        <v>15.0</v>
      </c>
      <c r="AO306" s="44" t="s">
        <v>150</v>
      </c>
      <c r="AP306" s="44">
        <v>173.0</v>
      </c>
      <c r="AQ306" s="44">
        <v>86.0</v>
      </c>
      <c r="AT306" s="44">
        <v>120.0</v>
      </c>
      <c r="AU306" s="44">
        <v>80.0</v>
      </c>
      <c r="AW306" s="44">
        <v>90.0</v>
      </c>
      <c r="AX306" s="44">
        <v>37.5</v>
      </c>
      <c r="AY306" s="44">
        <v>22.0</v>
      </c>
      <c r="AZ306" s="44">
        <v>80.0</v>
      </c>
      <c r="BA306" s="44" t="s">
        <v>154</v>
      </c>
      <c r="BB306" s="44">
        <v>92.0</v>
      </c>
      <c r="BF306" s="44">
        <v>4.0</v>
      </c>
      <c r="BG306" s="44" t="s">
        <v>154</v>
      </c>
      <c r="BH306" s="44" t="s">
        <v>795</v>
      </c>
      <c r="BI306" s="44" t="s">
        <v>154</v>
      </c>
      <c r="BJ306" s="44" t="s">
        <v>795</v>
      </c>
      <c r="BK306" s="44" t="s">
        <v>150</v>
      </c>
      <c r="BM306" s="44" t="s">
        <v>154</v>
      </c>
      <c r="BN306" s="44" t="s">
        <v>849</v>
      </c>
      <c r="BO306" s="44" t="s">
        <v>154</v>
      </c>
      <c r="BP306" s="44" t="s">
        <v>844</v>
      </c>
      <c r="BR306" s="44" t="s">
        <v>154</v>
      </c>
      <c r="BS306" s="44" t="s">
        <v>614</v>
      </c>
      <c r="BT306" s="44">
        <v>16.0</v>
      </c>
      <c r="BU306" s="44" t="s">
        <v>844</v>
      </c>
      <c r="BV306" s="44">
        <v>16.0</v>
      </c>
      <c r="BW306" s="44" t="s">
        <v>150</v>
      </c>
      <c r="BX306" s="44" t="s">
        <v>150</v>
      </c>
      <c r="BZ306" s="44" t="s">
        <v>796</v>
      </c>
      <c r="CA306" s="44" t="s">
        <v>809</v>
      </c>
      <c r="CB306" s="44" t="s">
        <v>150</v>
      </c>
      <c r="CC306" s="44" t="s">
        <v>150</v>
      </c>
      <c r="CD306" s="44" t="s">
        <v>817</v>
      </c>
      <c r="CE306" s="44" t="s">
        <v>150</v>
      </c>
      <c r="CF306" s="44" t="s">
        <v>150</v>
      </c>
      <c r="CG306" s="44" t="s">
        <v>150</v>
      </c>
      <c r="CH306" s="44" t="s">
        <v>150</v>
      </c>
      <c r="CI306" s="44" t="s">
        <v>150</v>
      </c>
      <c r="CJ306" s="44" t="s">
        <v>150</v>
      </c>
      <c r="CK306" s="44" t="s">
        <v>150</v>
      </c>
      <c r="CL306" s="44" t="s">
        <v>150</v>
      </c>
      <c r="CM306" s="44">
        <v>10.8</v>
      </c>
      <c r="CN306" s="44">
        <v>85.7</v>
      </c>
      <c r="CP306" s="44">
        <v>13.8</v>
      </c>
      <c r="CR306" s="44">
        <v>5.5</v>
      </c>
      <c r="CT306" s="44">
        <v>0.0</v>
      </c>
      <c r="CW306" s="44">
        <v>5.61</v>
      </c>
      <c r="CX306" s="44">
        <v>158.0</v>
      </c>
      <c r="CZ306" s="44">
        <v>21.0</v>
      </c>
      <c r="DA306" s="44">
        <v>389.0</v>
      </c>
      <c r="DC306" s="44">
        <v>12.62</v>
      </c>
      <c r="DD306" s="44">
        <v>85.6</v>
      </c>
      <c r="DF306" s="44">
        <v>8.3</v>
      </c>
      <c r="DH306" s="44">
        <v>5.9</v>
      </c>
      <c r="DJ306" s="44">
        <v>0.0</v>
      </c>
      <c r="DM306" s="44">
        <v>5.43</v>
      </c>
      <c r="DN306" s="44">
        <v>151.0</v>
      </c>
      <c r="DP306" s="44">
        <v>5.0</v>
      </c>
      <c r="DQ306" s="44">
        <v>206.0</v>
      </c>
      <c r="DS306" s="44">
        <v>622.8</v>
      </c>
      <c r="DT306" s="44">
        <v>13.8</v>
      </c>
      <c r="DU306" s="44">
        <v>9.9</v>
      </c>
      <c r="DV306" s="44">
        <v>1.09</v>
      </c>
      <c r="DW306" s="44" t="s">
        <v>328</v>
      </c>
      <c r="DX306" s="44">
        <v>1200.0</v>
      </c>
      <c r="DZ306" s="44">
        <v>10.4</v>
      </c>
      <c r="EA306" s="44">
        <v>1.03</v>
      </c>
      <c r="EB306" s="44">
        <v>1200.0</v>
      </c>
      <c r="EC306" s="44">
        <v>6.18</v>
      </c>
      <c r="ED306" s="44">
        <v>13.53</v>
      </c>
      <c r="EE306" s="44">
        <v>43.3</v>
      </c>
      <c r="EF306" s="44">
        <v>21.4</v>
      </c>
      <c r="EG306" s="44">
        <v>67.0</v>
      </c>
      <c r="EH306" s="44">
        <v>12.2</v>
      </c>
      <c r="EI306" s="44">
        <v>4.8</v>
      </c>
      <c r="EJ306" s="44">
        <v>79.0</v>
      </c>
      <c r="EM306" s="44">
        <v>131.7</v>
      </c>
      <c r="EN306" s="44">
        <v>5.35</v>
      </c>
      <c r="EO306" s="44">
        <v>145.8</v>
      </c>
      <c r="EP306" s="44">
        <v>54.0</v>
      </c>
      <c r="EQ306" s="44">
        <v>64.2</v>
      </c>
      <c r="ER306" s="44">
        <v>23.4</v>
      </c>
      <c r="ES306" s="44">
        <v>3.9</v>
      </c>
      <c r="ET306" s="44">
        <v>71.0</v>
      </c>
      <c r="EY306" s="47">
        <f t="shared" si="36"/>
        <v>6.1646</v>
      </c>
      <c r="EZ306" s="47">
        <f t="shared" si="37"/>
        <v>0.00209814774</v>
      </c>
      <c r="FA306" s="48" t="str">
        <f t="shared" si="38"/>
        <v>Благоприятный</v>
      </c>
      <c r="FB306" s="44" t="s">
        <v>150</v>
      </c>
      <c r="FC306" s="44" t="s">
        <v>779</v>
      </c>
    </row>
    <row r="307">
      <c r="A307" s="44">
        <v>21.0</v>
      </c>
      <c r="CB307" s="44"/>
    </row>
    <row r="308">
      <c r="A308" s="44">
        <v>22.0</v>
      </c>
    </row>
    <row r="309">
      <c r="A309" s="44">
        <v>23.0</v>
      </c>
    </row>
    <row r="310">
      <c r="A310" s="44">
        <v>24.0</v>
      </c>
    </row>
    <row r="311">
      <c r="A311" s="44">
        <v>25.0</v>
      </c>
    </row>
    <row r="312">
      <c r="A312" s="44">
        <v>26.0</v>
      </c>
    </row>
    <row r="313">
      <c r="A313" s="44">
        <v>27.0</v>
      </c>
    </row>
    <row r="314">
      <c r="A314" s="44">
        <v>28.0</v>
      </c>
    </row>
    <row r="315">
      <c r="A315" s="44">
        <v>29.0</v>
      </c>
    </row>
    <row r="316">
      <c r="A316" s="44">
        <v>30.0</v>
      </c>
    </row>
    <row r="325">
      <c r="A325" s="44" t="s">
        <v>851</v>
      </c>
    </row>
    <row r="326">
      <c r="A326" s="44" t="s">
        <v>852</v>
      </c>
      <c r="D326" s="39" t="s">
        <v>445</v>
      </c>
      <c r="FC326" s="39" t="s">
        <v>445</v>
      </c>
    </row>
    <row r="327">
      <c r="D327" s="39" t="s">
        <v>445</v>
      </c>
      <c r="FC327" s="39" t="s">
        <v>445</v>
      </c>
    </row>
    <row r="328">
      <c r="D328" s="39" t="s">
        <v>445</v>
      </c>
      <c r="FC328" s="39" t="s">
        <v>445</v>
      </c>
    </row>
    <row r="329">
      <c r="D329" s="39" t="s">
        <v>445</v>
      </c>
      <c r="FC329" s="39" t="s">
        <v>445</v>
      </c>
    </row>
    <row r="330">
      <c r="D330" s="39" t="s">
        <v>445</v>
      </c>
      <c r="FC330" s="39" t="s">
        <v>445</v>
      </c>
    </row>
    <row r="331">
      <c r="D331" s="39" t="s">
        <v>445</v>
      </c>
      <c r="FC331" s="39" t="s">
        <v>445</v>
      </c>
    </row>
    <row r="332">
      <c r="D332" s="39" t="s">
        <v>445</v>
      </c>
      <c r="FC332" s="39" t="s">
        <v>445</v>
      </c>
    </row>
    <row r="333">
      <c r="D333" s="39" t="s">
        <v>445</v>
      </c>
      <c r="FC333" s="39" t="s">
        <v>445</v>
      </c>
    </row>
    <row r="334">
      <c r="D334" s="39" t="s">
        <v>445</v>
      </c>
      <c r="FC334" s="39" t="s">
        <v>445</v>
      </c>
    </row>
    <row r="335">
      <c r="D335" s="39" t="s">
        <v>445</v>
      </c>
      <c r="FC335" s="39" t="s">
        <v>445</v>
      </c>
    </row>
    <row r="336">
      <c r="D336" s="39" t="s">
        <v>445</v>
      </c>
      <c r="FC336" s="39" t="s">
        <v>445</v>
      </c>
    </row>
    <row r="337">
      <c r="D337" s="39" t="s">
        <v>445</v>
      </c>
      <c r="FC337" s="39" t="s">
        <v>445</v>
      </c>
    </row>
    <row r="338">
      <c r="D338" s="39" t="s">
        <v>445</v>
      </c>
      <c r="FC338" s="39" t="s">
        <v>445</v>
      </c>
    </row>
    <row r="339">
      <c r="D339" s="39" t="s">
        <v>445</v>
      </c>
      <c r="FC339" s="39" t="s">
        <v>445</v>
      </c>
    </row>
    <row r="340">
      <c r="D340" s="39" t="s">
        <v>445</v>
      </c>
      <c r="FC340" s="39" t="s">
        <v>445</v>
      </c>
    </row>
    <row r="341">
      <c r="D341" s="39" t="s">
        <v>445</v>
      </c>
      <c r="FC341" s="39" t="s">
        <v>445</v>
      </c>
    </row>
    <row r="342">
      <c r="D342" s="39" t="s">
        <v>445</v>
      </c>
      <c r="FC342" s="39" t="s">
        <v>445</v>
      </c>
    </row>
    <row r="343">
      <c r="D343" s="39" t="s">
        <v>445</v>
      </c>
      <c r="FC343" s="39" t="s">
        <v>445</v>
      </c>
    </row>
    <row r="344">
      <c r="D344" s="39" t="s">
        <v>445</v>
      </c>
      <c r="FC344" s="39" t="s">
        <v>445</v>
      </c>
    </row>
    <row r="345">
      <c r="D345" s="39" t="s">
        <v>445</v>
      </c>
      <c r="FC345" s="39" t="s">
        <v>445</v>
      </c>
    </row>
    <row r="346">
      <c r="D346" s="39" t="s">
        <v>445</v>
      </c>
      <c r="FC346" s="39" t="s">
        <v>445</v>
      </c>
    </row>
    <row r="347">
      <c r="D347" s="39" t="s">
        <v>445</v>
      </c>
      <c r="FC347" s="39" t="s">
        <v>445</v>
      </c>
    </row>
    <row r="348">
      <c r="D348" s="39" t="s">
        <v>445</v>
      </c>
      <c r="FC348" s="39" t="s">
        <v>445</v>
      </c>
    </row>
    <row r="349">
      <c r="D349" s="39" t="s">
        <v>445</v>
      </c>
      <c r="FC349" s="39" t="s">
        <v>445</v>
      </c>
    </row>
    <row r="350">
      <c r="D350" s="39" t="s">
        <v>445</v>
      </c>
      <c r="FC350" s="39" t="s">
        <v>445</v>
      </c>
    </row>
    <row r="351">
      <c r="D351" s="39" t="s">
        <v>445</v>
      </c>
      <c r="FC351" s="39" t="s">
        <v>445</v>
      </c>
    </row>
    <row r="352">
      <c r="D352" s="39" t="s">
        <v>445</v>
      </c>
      <c r="FC352" s="39" t="s">
        <v>445</v>
      </c>
    </row>
    <row r="353">
      <c r="D353" s="39" t="s">
        <v>445</v>
      </c>
      <c r="FC353" s="39" t="s">
        <v>445</v>
      </c>
    </row>
    <row r="354">
      <c r="D354" s="39" t="s">
        <v>445</v>
      </c>
      <c r="FC354" s="39" t="s">
        <v>445</v>
      </c>
    </row>
    <row r="355">
      <c r="A355" s="44" t="s">
        <v>853</v>
      </c>
      <c r="D355" s="39" t="s">
        <v>445</v>
      </c>
      <c r="CB355" s="1"/>
      <c r="FC355" s="39" t="s">
        <v>445</v>
      </c>
    </row>
    <row r="356">
      <c r="A356" s="44" t="s">
        <v>854</v>
      </c>
      <c r="B356" s="45">
        <v>1.0</v>
      </c>
      <c r="C356" s="44">
        <v>75.0</v>
      </c>
      <c r="D356" s="39" t="s">
        <v>445</v>
      </c>
      <c r="E356" s="44">
        <v>40.0</v>
      </c>
      <c r="F356" s="1" t="s">
        <v>161</v>
      </c>
      <c r="H356" s="44">
        <v>39.0</v>
      </c>
      <c r="I356" s="1" t="s">
        <v>150</v>
      </c>
      <c r="J356" s="1" t="s">
        <v>150</v>
      </c>
      <c r="L356" s="1" t="s">
        <v>150</v>
      </c>
      <c r="M356" s="1" t="s">
        <v>154</v>
      </c>
      <c r="N356" s="44" t="s">
        <v>192</v>
      </c>
      <c r="O356" s="1" t="s">
        <v>154</v>
      </c>
      <c r="P356" s="1" t="s">
        <v>150</v>
      </c>
      <c r="Q356" s="1" t="s">
        <v>150</v>
      </c>
      <c r="R356" s="1"/>
      <c r="S356" s="1" t="s">
        <v>150</v>
      </c>
      <c r="Y356" s="1" t="s">
        <v>150</v>
      </c>
      <c r="AE356" s="1" t="s">
        <v>154</v>
      </c>
      <c r="AF356" s="44">
        <v>39.0</v>
      </c>
      <c r="AH356" s="1" t="s">
        <v>154</v>
      </c>
      <c r="AI356" s="44" t="s">
        <v>168</v>
      </c>
      <c r="AJ356" s="44">
        <v>3.0</v>
      </c>
      <c r="AK356" s="1" t="s">
        <v>5</v>
      </c>
      <c r="AL356" s="1" t="s">
        <v>150</v>
      </c>
      <c r="AO356" s="1" t="s">
        <v>150</v>
      </c>
      <c r="AP356" s="49"/>
      <c r="AQ356" s="49"/>
      <c r="AR356" s="44">
        <v>33.4</v>
      </c>
      <c r="AT356" s="44">
        <v>100.0</v>
      </c>
      <c r="AU356" s="44">
        <v>72.0</v>
      </c>
      <c r="AW356" s="44">
        <v>98.0</v>
      </c>
      <c r="AX356" s="44">
        <v>37.0</v>
      </c>
      <c r="AY356" s="44">
        <v>20.0</v>
      </c>
      <c r="AZ356" s="44">
        <v>84.0</v>
      </c>
      <c r="BA356" s="1" t="s">
        <v>154</v>
      </c>
      <c r="BB356" s="46"/>
      <c r="BC356" s="6">
        <v>60.0</v>
      </c>
      <c r="BG356" s="1" t="s">
        <v>150</v>
      </c>
      <c r="BI356" s="1" t="s">
        <v>154</v>
      </c>
      <c r="BJ356" s="44" t="s">
        <v>855</v>
      </c>
      <c r="BK356" s="1" t="s">
        <v>150</v>
      </c>
      <c r="BM356" s="1" t="s">
        <v>154</v>
      </c>
      <c r="BN356" s="44" t="s">
        <v>155</v>
      </c>
      <c r="BO356" s="1" t="s">
        <v>150</v>
      </c>
      <c r="BR356" s="1" t="s">
        <v>154</v>
      </c>
      <c r="BS356" s="44" t="s">
        <v>207</v>
      </c>
      <c r="BT356" s="44">
        <v>250.0</v>
      </c>
      <c r="BU356" s="1" t="s">
        <v>170</v>
      </c>
      <c r="BV356" s="44">
        <v>12.5</v>
      </c>
      <c r="BW356" s="1" t="s">
        <v>154</v>
      </c>
      <c r="BX356" s="1" t="s">
        <v>150</v>
      </c>
      <c r="BZ356" s="1" t="s">
        <v>158</v>
      </c>
      <c r="CA356" s="1" t="s">
        <v>150</v>
      </c>
      <c r="CB356" s="1" t="s">
        <v>150</v>
      </c>
      <c r="CC356" s="15" t="s">
        <v>150</v>
      </c>
      <c r="CD356" s="1" t="s">
        <v>150</v>
      </c>
      <c r="CE356" s="1" t="s">
        <v>150</v>
      </c>
      <c r="CF356" s="1" t="s">
        <v>150</v>
      </c>
      <c r="CG356" s="1" t="s">
        <v>150</v>
      </c>
      <c r="CH356" s="1" t="s">
        <v>150</v>
      </c>
      <c r="CI356" s="1" t="s">
        <v>150</v>
      </c>
      <c r="CJ356" s="1" t="s">
        <v>154</v>
      </c>
      <c r="CK356" s="1" t="s">
        <v>150</v>
      </c>
      <c r="CL356" s="44" t="s">
        <v>856</v>
      </c>
      <c r="CM356" s="44">
        <v>7.2</v>
      </c>
      <c r="CN356" s="44">
        <v>80.4</v>
      </c>
      <c r="CP356" s="44">
        <v>14.4</v>
      </c>
      <c r="CR356" s="44">
        <v>4.6</v>
      </c>
      <c r="CT356" s="44">
        <v>0.1</v>
      </c>
      <c r="CW356" s="44">
        <v>5.18</v>
      </c>
      <c r="CX356" s="44">
        <v>125.0</v>
      </c>
      <c r="CZ356" s="46"/>
      <c r="DA356" s="44">
        <v>241.0</v>
      </c>
      <c r="DB356" s="44">
        <v>27.0</v>
      </c>
      <c r="DC356" s="44">
        <v>6.6</v>
      </c>
      <c r="DD356" s="44">
        <v>86.8</v>
      </c>
      <c r="DF356" s="44">
        <v>12.7</v>
      </c>
      <c r="DH356" s="44">
        <v>0.9</v>
      </c>
      <c r="DJ356" s="44">
        <v>0.1</v>
      </c>
      <c r="DM356" s="44">
        <v>4.63</v>
      </c>
      <c r="DN356" s="44">
        <v>117.0</v>
      </c>
      <c r="DP356" s="46"/>
      <c r="DQ356" s="44">
        <v>242.0</v>
      </c>
      <c r="DR356" s="46"/>
      <c r="DS356" s="44">
        <v>651.0</v>
      </c>
      <c r="DT356" s="46"/>
      <c r="DU356" s="44">
        <v>12.3</v>
      </c>
      <c r="DV356" s="44">
        <v>1.05</v>
      </c>
      <c r="DW356" s="46"/>
      <c r="DX356" s="44">
        <v>234.0</v>
      </c>
      <c r="DY356" s="46"/>
      <c r="DZ356" s="44">
        <v>9.7</v>
      </c>
      <c r="EA356" s="44">
        <v>0.83</v>
      </c>
      <c r="EC356" s="44">
        <v>7.46</v>
      </c>
      <c r="ED356" s="44">
        <v>26.7</v>
      </c>
      <c r="EE356" s="44">
        <v>77.73</v>
      </c>
      <c r="EF356" s="44">
        <v>76.33</v>
      </c>
      <c r="EG356" s="44">
        <v>64.61</v>
      </c>
      <c r="EH356" s="44">
        <v>5.94</v>
      </c>
      <c r="EI356" s="44">
        <v>1.34</v>
      </c>
      <c r="EJ356" s="44">
        <v>41.73</v>
      </c>
      <c r="EM356" s="44">
        <v>134.9</v>
      </c>
      <c r="EN356" s="44">
        <v>3.61</v>
      </c>
      <c r="EO356" s="44">
        <v>160.0</v>
      </c>
      <c r="EP356" s="44">
        <v>92.2</v>
      </c>
      <c r="EQ356" s="44">
        <v>79.0</v>
      </c>
      <c r="ER356" s="44">
        <v>14.4</v>
      </c>
      <c r="ES356" s="44">
        <v>8.7</v>
      </c>
      <c r="ET356" s="44">
        <v>106.0</v>
      </c>
      <c r="EW356" s="46"/>
      <c r="EX356" s="46"/>
      <c r="EY356" s="46"/>
      <c r="EZ356" s="46"/>
      <c r="FA356" s="46"/>
      <c r="FB356" s="46"/>
      <c r="FC356" s="39" t="s">
        <v>445</v>
      </c>
    </row>
    <row r="357">
      <c r="B357" s="45">
        <v>2.0</v>
      </c>
      <c r="C357" s="44">
        <v>459.0</v>
      </c>
      <c r="D357" s="39" t="s">
        <v>445</v>
      </c>
      <c r="E357" s="44">
        <v>85.0</v>
      </c>
      <c r="F357" s="1" t="s">
        <v>161</v>
      </c>
      <c r="H357" s="44">
        <v>14.0</v>
      </c>
      <c r="I357" s="1" t="s">
        <v>150</v>
      </c>
      <c r="J357" s="1" t="s">
        <v>150</v>
      </c>
      <c r="L357" s="1" t="s">
        <v>150</v>
      </c>
      <c r="M357" s="1" t="s">
        <v>150</v>
      </c>
      <c r="O357" s="1" t="s">
        <v>522</v>
      </c>
      <c r="P357" s="1" t="s">
        <v>150</v>
      </c>
      <c r="Q357" s="1" t="s">
        <v>154</v>
      </c>
      <c r="R357" s="44">
        <v>3.0</v>
      </c>
      <c r="S357" s="1" t="s">
        <v>154</v>
      </c>
      <c r="T357" s="44" t="s">
        <v>857</v>
      </c>
      <c r="U357" s="44" t="s">
        <v>858</v>
      </c>
      <c r="W357" s="44">
        <v>2.0</v>
      </c>
      <c r="Y357" s="1" t="s">
        <v>154</v>
      </c>
      <c r="AE357" s="1" t="s">
        <v>154</v>
      </c>
      <c r="AF357" s="44">
        <v>1.0</v>
      </c>
      <c r="AH357" s="1" t="s">
        <v>154</v>
      </c>
      <c r="AI357" s="44" t="s">
        <v>153</v>
      </c>
      <c r="AJ357" s="46"/>
      <c r="AK357" s="1" t="s">
        <v>5</v>
      </c>
      <c r="AL357" s="1" t="s">
        <v>150</v>
      </c>
      <c r="AO357" s="1" t="s">
        <v>150</v>
      </c>
      <c r="AP357" s="49"/>
      <c r="AQ357" s="49"/>
      <c r="AR357" s="49"/>
      <c r="AT357" s="44">
        <v>110.0</v>
      </c>
      <c r="AU357" s="44">
        <v>70.0</v>
      </c>
      <c r="AW357" s="44">
        <v>110.0</v>
      </c>
      <c r="AX357" s="44">
        <v>35.9</v>
      </c>
      <c r="AY357" s="44">
        <v>22.0</v>
      </c>
      <c r="AZ357" s="44">
        <v>91.0</v>
      </c>
      <c r="BA357" s="1" t="s">
        <v>154</v>
      </c>
      <c r="BB357" s="44">
        <v>99.0</v>
      </c>
      <c r="BC357" s="18"/>
      <c r="BF357" s="44">
        <v>4.0</v>
      </c>
      <c r="BG357" s="1" t="s">
        <v>150</v>
      </c>
      <c r="BI357" s="1" t="s">
        <v>154</v>
      </c>
      <c r="BJ357" s="44" t="s">
        <v>237</v>
      </c>
      <c r="BK357" s="1" t="s">
        <v>150</v>
      </c>
      <c r="BM357" s="1" t="s">
        <v>154</v>
      </c>
      <c r="BN357" s="44" t="s">
        <v>155</v>
      </c>
      <c r="BO357" s="1" t="s">
        <v>150</v>
      </c>
      <c r="BR357" s="1" t="s">
        <v>154</v>
      </c>
      <c r="BS357" s="44" t="s">
        <v>303</v>
      </c>
      <c r="BT357" s="44">
        <v>60.0</v>
      </c>
      <c r="BU357" s="1" t="s">
        <v>443</v>
      </c>
      <c r="BV357" s="44">
        <v>250.0</v>
      </c>
      <c r="BW357" s="1" t="s">
        <v>150</v>
      </c>
      <c r="BX357" s="1" t="s">
        <v>150</v>
      </c>
      <c r="BZ357" s="1" t="s">
        <v>158</v>
      </c>
      <c r="CA357" s="1" t="s">
        <v>154</v>
      </c>
      <c r="CB357" s="1" t="s">
        <v>154</v>
      </c>
      <c r="CC357" s="15" t="s">
        <v>150</v>
      </c>
      <c r="CD357" s="1" t="s">
        <v>154</v>
      </c>
      <c r="CE357" s="1" t="s">
        <v>150</v>
      </c>
      <c r="CF357" s="1" t="s">
        <v>150</v>
      </c>
      <c r="CG357" s="1" t="s">
        <v>150</v>
      </c>
      <c r="CH357" s="1" t="s">
        <v>150</v>
      </c>
      <c r="CI357" s="1" t="s">
        <v>150</v>
      </c>
      <c r="CJ357" s="1" t="s">
        <v>150</v>
      </c>
      <c r="CK357" s="1" t="s">
        <v>150</v>
      </c>
      <c r="CL357" s="44" t="s">
        <v>859</v>
      </c>
      <c r="CM357" s="44">
        <v>1.5</v>
      </c>
      <c r="CN357" s="44">
        <v>62.6</v>
      </c>
      <c r="CP357" s="44">
        <v>27.4</v>
      </c>
      <c r="CR357" s="44">
        <v>9.6</v>
      </c>
      <c r="CT357" s="44">
        <v>0.2</v>
      </c>
      <c r="CW357" s="44">
        <v>2.8</v>
      </c>
      <c r="CX357" s="44">
        <v>112.0</v>
      </c>
      <c r="CZ357" s="46"/>
      <c r="DA357" s="46"/>
      <c r="DB357" s="44">
        <v>19.0</v>
      </c>
      <c r="DC357" s="44">
        <v>22.6</v>
      </c>
      <c r="DD357" s="44">
        <v>90.6</v>
      </c>
      <c r="DF357" s="44">
        <v>5.8</v>
      </c>
      <c r="DH357" s="44">
        <v>2.9</v>
      </c>
      <c r="DJ357" s="44">
        <v>0.0</v>
      </c>
      <c r="DM357" s="44">
        <v>2.62</v>
      </c>
      <c r="DN357" s="44">
        <v>103.0</v>
      </c>
      <c r="DP357" s="46"/>
      <c r="DQ357" s="46"/>
      <c r="DR357" s="44">
        <v>10.0</v>
      </c>
      <c r="DS357" s="44">
        <v>587.0</v>
      </c>
      <c r="DT357" s="46"/>
      <c r="DU357" s="44">
        <v>13.0</v>
      </c>
      <c r="DV357" s="44">
        <v>1.11</v>
      </c>
      <c r="DW357" s="46"/>
      <c r="DX357" s="44">
        <v>550.0</v>
      </c>
      <c r="DY357" s="46"/>
      <c r="DZ357" s="44">
        <v>12.9</v>
      </c>
      <c r="EA357" s="44">
        <v>1.29</v>
      </c>
      <c r="EC357" s="46"/>
      <c r="ED357" s="44">
        <v>10.15</v>
      </c>
      <c r="EE357" s="44">
        <v>15.25</v>
      </c>
      <c r="EF357" s="44">
        <v>43.21</v>
      </c>
      <c r="EG357" s="44">
        <v>54.8</v>
      </c>
      <c r="EH357" s="44">
        <v>7.39</v>
      </c>
      <c r="EI357" s="44">
        <v>1.82</v>
      </c>
      <c r="EJ357" s="44">
        <v>75.61</v>
      </c>
      <c r="EM357" s="44">
        <v>139.1</v>
      </c>
      <c r="EN357" s="44">
        <v>3.75</v>
      </c>
      <c r="EO357" s="44">
        <v>12.7</v>
      </c>
      <c r="EP357" s="44">
        <v>29.3</v>
      </c>
      <c r="EQ357" s="44">
        <v>50.6</v>
      </c>
      <c r="ER357" s="44">
        <v>18.8</v>
      </c>
      <c r="ES357" s="44">
        <v>5.7</v>
      </c>
      <c r="ET357" s="44">
        <v>89.0</v>
      </c>
      <c r="EW357" s="44">
        <v>137.3</v>
      </c>
      <c r="EX357" s="44">
        <v>3.64</v>
      </c>
      <c r="EY357" s="47">
        <f t="shared" ref="EY357:EY374" si="39">10.3549-0.3925*BF357-0.0583*E357+0.0234*EE357-0.0363*EF357-0.1175*AR357</f>
        <v>2.617727</v>
      </c>
      <c r="EZ357" s="47">
        <f t="shared" ref="EZ357:EZ374" si="40">1/(1+EXP(EY357))</f>
        <v>0.06800621805</v>
      </c>
      <c r="FA357" s="48" t="str">
        <f t="shared" ref="FA357:FA374" si="41">IF(EZ357 &gt;= 0.52, "Неблагоприятный", "Благоприятный")</f>
        <v>Благоприятный</v>
      </c>
      <c r="FB357" s="44" t="s">
        <v>256</v>
      </c>
      <c r="FC357" s="39" t="s">
        <v>445</v>
      </c>
    </row>
    <row r="358">
      <c r="B358" s="45">
        <v>3.0</v>
      </c>
      <c r="C358" s="44">
        <v>426.0</v>
      </c>
      <c r="D358" s="39" t="s">
        <v>445</v>
      </c>
      <c r="E358" s="44">
        <v>81.0</v>
      </c>
      <c r="F358" s="1" t="s">
        <v>161</v>
      </c>
      <c r="H358" s="44">
        <v>16.0</v>
      </c>
      <c r="I358" s="1" t="s">
        <v>150</v>
      </c>
      <c r="J358" s="1" t="s">
        <v>150</v>
      </c>
      <c r="L358" s="1" t="s">
        <v>150</v>
      </c>
      <c r="M358" s="1" t="s">
        <v>150</v>
      </c>
      <c r="O358" s="1" t="s">
        <v>150</v>
      </c>
      <c r="P358" s="1" t="s">
        <v>154</v>
      </c>
      <c r="Q358" s="1" t="s">
        <v>154</v>
      </c>
      <c r="R358" s="44">
        <v>2.0</v>
      </c>
      <c r="S358" s="1" t="s">
        <v>154</v>
      </c>
      <c r="T358" s="44" t="s">
        <v>860</v>
      </c>
      <c r="U358" s="44" t="s">
        <v>764</v>
      </c>
      <c r="W358" s="44">
        <v>3.0</v>
      </c>
      <c r="Y358" s="1" t="s">
        <v>154</v>
      </c>
      <c r="AE358" s="1" t="s">
        <v>154</v>
      </c>
      <c r="AF358" s="46"/>
      <c r="AH358" s="1" t="s">
        <v>154</v>
      </c>
      <c r="AI358" s="44" t="s">
        <v>153</v>
      </c>
      <c r="AJ358" s="44">
        <v>1.0</v>
      </c>
      <c r="AK358" s="1" t="s">
        <v>5</v>
      </c>
      <c r="AL358" s="1" t="s">
        <v>150</v>
      </c>
      <c r="AO358" s="1" t="s">
        <v>154</v>
      </c>
      <c r="AR358" s="44">
        <v>27.0</v>
      </c>
      <c r="AT358" s="44">
        <v>140.0</v>
      </c>
      <c r="AU358" s="44">
        <v>90.0</v>
      </c>
      <c r="AW358" s="44" t="s">
        <v>861</v>
      </c>
      <c r="AX358" s="44">
        <v>35.0</v>
      </c>
      <c r="AY358" s="44">
        <v>32.0</v>
      </c>
      <c r="AZ358" s="44">
        <v>90.0</v>
      </c>
      <c r="BA358" s="1" t="s">
        <v>154</v>
      </c>
      <c r="BB358" s="44">
        <v>90.0</v>
      </c>
      <c r="BC358" s="18"/>
      <c r="BG358" s="1" t="s">
        <v>150</v>
      </c>
      <c r="BI358" s="1" t="s">
        <v>154</v>
      </c>
      <c r="BJ358" s="44" t="s">
        <v>285</v>
      </c>
      <c r="BK358" s="1" t="s">
        <v>150</v>
      </c>
      <c r="BM358" s="1" t="s">
        <v>154</v>
      </c>
      <c r="BN358" s="44" t="s">
        <v>155</v>
      </c>
      <c r="BO358" s="1" t="s">
        <v>150</v>
      </c>
      <c r="BR358" s="1" t="s">
        <v>154</v>
      </c>
      <c r="BS358" s="44" t="s">
        <v>170</v>
      </c>
      <c r="BT358" s="44">
        <v>8.0</v>
      </c>
      <c r="BU358" s="1" t="s">
        <v>170</v>
      </c>
      <c r="BV358" s="44">
        <v>8.0</v>
      </c>
      <c r="BW358" s="1" t="s">
        <v>150</v>
      </c>
      <c r="BX358" s="1" t="s">
        <v>150</v>
      </c>
      <c r="BZ358" s="1" t="s">
        <v>158</v>
      </c>
      <c r="CA358" s="1" t="s">
        <v>154</v>
      </c>
      <c r="CB358" s="1" t="s">
        <v>154</v>
      </c>
      <c r="CC358" s="15" t="s">
        <v>150</v>
      </c>
      <c r="CD358" s="1" t="s">
        <v>154</v>
      </c>
      <c r="CE358" s="1" t="s">
        <v>150</v>
      </c>
      <c r="CF358" s="1" t="s">
        <v>240</v>
      </c>
      <c r="CG358" s="1" t="s">
        <v>150</v>
      </c>
      <c r="CH358" s="1" t="s">
        <v>150</v>
      </c>
      <c r="CI358" s="1" t="s">
        <v>150</v>
      </c>
      <c r="CJ358" s="1" t="s">
        <v>154</v>
      </c>
      <c r="CK358" s="1" t="s">
        <v>150</v>
      </c>
      <c r="CL358" s="44" t="s">
        <v>862</v>
      </c>
      <c r="CM358" s="44">
        <v>11.3</v>
      </c>
      <c r="CN358" s="44">
        <v>89.6</v>
      </c>
      <c r="CP358" s="44">
        <v>5.2</v>
      </c>
      <c r="CR358" s="44">
        <v>5.1</v>
      </c>
      <c r="CT358" s="44">
        <v>0.0</v>
      </c>
      <c r="CW358" s="44">
        <v>4.1</v>
      </c>
      <c r="CX358" s="44">
        <v>108.0</v>
      </c>
      <c r="CZ358" s="46"/>
      <c r="DA358" s="44">
        <v>182.0</v>
      </c>
      <c r="DB358" s="44">
        <v>126.0</v>
      </c>
      <c r="DC358" s="44">
        <v>10.6</v>
      </c>
      <c r="DD358" s="44">
        <v>86.3</v>
      </c>
      <c r="DF358" s="44">
        <v>10.4</v>
      </c>
      <c r="DH358" s="44">
        <v>2.8</v>
      </c>
      <c r="DJ358" s="44">
        <v>0.2</v>
      </c>
      <c r="DM358" s="44">
        <v>3.99</v>
      </c>
      <c r="DN358" s="44">
        <v>110.0</v>
      </c>
      <c r="DP358" s="46"/>
      <c r="DQ358" s="44">
        <v>206.0</v>
      </c>
      <c r="DR358" s="44">
        <v>80.0</v>
      </c>
      <c r="DS358" s="44">
        <v>576.0</v>
      </c>
      <c r="DT358" s="46"/>
      <c r="DU358" s="44">
        <v>16.9</v>
      </c>
      <c r="DV358" s="44">
        <v>1.44</v>
      </c>
      <c r="DW358" s="46"/>
      <c r="DX358" s="44">
        <v>666.0</v>
      </c>
      <c r="DY358" s="46"/>
      <c r="DZ358" s="44">
        <v>12.0</v>
      </c>
      <c r="EA358" s="44">
        <v>1.2</v>
      </c>
      <c r="EC358" s="44">
        <v>4.76</v>
      </c>
      <c r="ED358" s="44">
        <v>10.63</v>
      </c>
      <c r="EE358" s="44">
        <v>14.56</v>
      </c>
      <c r="EF358" s="44">
        <v>20.32</v>
      </c>
      <c r="EG358" s="44">
        <v>68.2</v>
      </c>
      <c r="EH358" s="44">
        <v>11.75</v>
      </c>
      <c r="EI358" s="44">
        <v>2.6</v>
      </c>
      <c r="EJ358" s="44">
        <v>81.26</v>
      </c>
      <c r="EM358" s="46"/>
      <c r="EN358" s="46"/>
      <c r="EO358" s="44">
        <v>22.3</v>
      </c>
      <c r="EP358" s="44">
        <v>43.1</v>
      </c>
      <c r="EQ358" s="44">
        <v>49.4</v>
      </c>
      <c r="ER358" s="44">
        <v>13.3</v>
      </c>
      <c r="ES358" s="44">
        <v>5.5</v>
      </c>
      <c r="ET358" s="44">
        <v>152.0</v>
      </c>
      <c r="EW358" s="44">
        <v>132.5</v>
      </c>
      <c r="EX358" s="44">
        <v>4.36</v>
      </c>
      <c r="EY358" s="47">
        <f t="shared" si="39"/>
        <v>2.063188</v>
      </c>
      <c r="EZ358" s="47">
        <f t="shared" si="40"/>
        <v>0.1127265747</v>
      </c>
      <c r="FA358" s="48" t="str">
        <f t="shared" si="41"/>
        <v>Благоприятный</v>
      </c>
      <c r="FB358" s="44" t="s">
        <v>256</v>
      </c>
      <c r="FC358" s="39" t="s">
        <v>445</v>
      </c>
    </row>
    <row r="359">
      <c r="B359" s="45">
        <v>4.0</v>
      </c>
      <c r="C359" s="44">
        <v>64.0</v>
      </c>
      <c r="D359" s="39" t="s">
        <v>445</v>
      </c>
      <c r="E359" s="44">
        <v>82.0</v>
      </c>
      <c r="F359" s="1" t="s">
        <v>149</v>
      </c>
      <c r="H359" s="44">
        <v>10.0</v>
      </c>
      <c r="I359" s="1" t="s">
        <v>150</v>
      </c>
      <c r="J359" s="1" t="s">
        <v>150</v>
      </c>
      <c r="L359" s="1" t="s">
        <v>150</v>
      </c>
      <c r="M359" s="1" t="s">
        <v>150</v>
      </c>
      <c r="O359" s="1" t="s">
        <v>154</v>
      </c>
      <c r="P359" s="1" t="s">
        <v>150</v>
      </c>
      <c r="Q359" s="1" t="s">
        <v>154</v>
      </c>
      <c r="R359" s="44">
        <v>3.0</v>
      </c>
      <c r="S359" s="1" t="s">
        <v>154</v>
      </c>
      <c r="T359" s="44" t="s">
        <v>863</v>
      </c>
      <c r="U359" s="44" t="s">
        <v>764</v>
      </c>
      <c r="W359" s="44">
        <v>3.0</v>
      </c>
      <c r="Y359" s="1" t="s">
        <v>150</v>
      </c>
      <c r="AE359" s="1" t="s">
        <v>154</v>
      </c>
      <c r="AF359" s="44" t="s">
        <v>466</v>
      </c>
      <c r="AH359" s="1" t="s">
        <v>154</v>
      </c>
      <c r="AI359" s="44" t="s">
        <v>153</v>
      </c>
      <c r="AJ359" s="50">
        <v>45750.0</v>
      </c>
      <c r="AK359" s="1" t="s">
        <v>5</v>
      </c>
      <c r="AL359" s="1" t="s">
        <v>150</v>
      </c>
      <c r="AO359" s="1" t="s">
        <v>150</v>
      </c>
      <c r="AP359" s="44">
        <v>170.0</v>
      </c>
      <c r="AQ359" s="44">
        <v>78.0</v>
      </c>
      <c r="AR359" s="44">
        <v>27.0</v>
      </c>
      <c r="AT359" s="44">
        <v>198.0</v>
      </c>
      <c r="AU359" s="44">
        <v>104.0</v>
      </c>
      <c r="AW359" s="44">
        <v>96.0</v>
      </c>
      <c r="AX359" s="44">
        <v>38.0</v>
      </c>
      <c r="AY359" s="44">
        <v>24.0</v>
      </c>
      <c r="AZ359" s="44">
        <v>80.0</v>
      </c>
      <c r="BA359" s="1" t="s">
        <v>154</v>
      </c>
      <c r="BB359" s="44">
        <v>92.0</v>
      </c>
      <c r="BC359" s="18"/>
      <c r="BF359" s="46"/>
      <c r="BG359" s="1" t="s">
        <v>522</v>
      </c>
      <c r="BI359" s="1" t="s">
        <v>154</v>
      </c>
      <c r="BJ359" s="44" t="s">
        <v>237</v>
      </c>
      <c r="BK359" s="1" t="s">
        <v>150</v>
      </c>
      <c r="BM359" s="1" t="s">
        <v>154</v>
      </c>
      <c r="BN359" s="44" t="s">
        <v>155</v>
      </c>
      <c r="BO359" s="1" t="s">
        <v>522</v>
      </c>
      <c r="BR359" s="1" t="s">
        <v>154</v>
      </c>
      <c r="BS359" s="44" t="s">
        <v>207</v>
      </c>
      <c r="BT359" s="44" t="s">
        <v>864</v>
      </c>
      <c r="BU359" s="1" t="s">
        <v>157</v>
      </c>
      <c r="BV359" s="44">
        <v>125.0</v>
      </c>
      <c r="BW359" s="1" t="s">
        <v>150</v>
      </c>
      <c r="BX359" s="1" t="s">
        <v>150</v>
      </c>
      <c r="BZ359" s="1" t="s">
        <v>158</v>
      </c>
      <c r="CA359" s="1" t="s">
        <v>150</v>
      </c>
      <c r="CB359" s="1" t="s">
        <v>150</v>
      </c>
      <c r="CC359" s="15" t="s">
        <v>150</v>
      </c>
      <c r="CD359" s="1" t="s">
        <v>150</v>
      </c>
      <c r="CE359" s="1" t="s">
        <v>150</v>
      </c>
      <c r="CF359" s="1" t="s">
        <v>150</v>
      </c>
      <c r="CG359" s="1" t="s">
        <v>150</v>
      </c>
      <c r="CH359" s="1" t="s">
        <v>150</v>
      </c>
      <c r="CI359" s="1" t="s">
        <v>150</v>
      </c>
      <c r="CJ359" s="1" t="s">
        <v>154</v>
      </c>
      <c r="CK359" s="1" t="s">
        <v>150</v>
      </c>
      <c r="CL359" s="44" t="s">
        <v>865</v>
      </c>
      <c r="CM359" s="44">
        <v>9.2</v>
      </c>
      <c r="CN359" s="44">
        <v>90.3</v>
      </c>
      <c r="CP359" s="44">
        <v>9.2</v>
      </c>
      <c r="CR359" s="44">
        <v>4.7</v>
      </c>
      <c r="CT359" s="44">
        <v>0.0</v>
      </c>
      <c r="CW359" s="44">
        <v>4.38</v>
      </c>
      <c r="CX359" s="44">
        <v>142.0</v>
      </c>
      <c r="CZ359" s="46"/>
      <c r="DA359" s="44">
        <v>188.0</v>
      </c>
      <c r="DB359" s="46"/>
      <c r="DC359" s="44">
        <v>13.5</v>
      </c>
      <c r="DD359" s="44">
        <v>89.0</v>
      </c>
      <c r="DF359" s="44">
        <v>6.9</v>
      </c>
      <c r="DH359" s="44">
        <v>2.7</v>
      </c>
      <c r="DJ359" s="44">
        <v>0.2</v>
      </c>
      <c r="DM359" s="44">
        <v>89.0</v>
      </c>
      <c r="DN359" s="44">
        <v>141.0</v>
      </c>
      <c r="DP359" s="46"/>
      <c r="DQ359" s="44">
        <v>60.0</v>
      </c>
      <c r="DR359" s="46"/>
      <c r="DS359" s="44">
        <v>627.1</v>
      </c>
      <c r="DT359" s="46"/>
      <c r="DU359" s="44">
        <v>12.3</v>
      </c>
      <c r="DV359" s="44">
        <v>1.051</v>
      </c>
      <c r="DW359" s="46"/>
      <c r="DX359" s="44">
        <v>74.0</v>
      </c>
      <c r="DY359" s="44">
        <v>30.8</v>
      </c>
      <c r="DZ359" s="44">
        <v>18.3</v>
      </c>
      <c r="EA359" s="44">
        <v>1.56</v>
      </c>
      <c r="EC359" s="44">
        <v>8.11</v>
      </c>
      <c r="ED359" s="44">
        <v>7.16</v>
      </c>
      <c r="EE359" s="44">
        <v>34.49</v>
      </c>
      <c r="EF359" s="44">
        <v>58.83</v>
      </c>
      <c r="EG359" s="44">
        <v>68.67</v>
      </c>
      <c r="EH359" s="44">
        <v>12.99</v>
      </c>
      <c r="EI359" s="44">
        <v>4.37</v>
      </c>
      <c r="EJ359" s="44">
        <v>97.61</v>
      </c>
      <c r="EM359" s="44">
        <v>140.7</v>
      </c>
      <c r="EN359" s="44">
        <v>5.63</v>
      </c>
      <c r="EO359" s="44">
        <v>42.46</v>
      </c>
      <c r="EP359" s="44">
        <v>97.18</v>
      </c>
      <c r="EQ359" s="44">
        <v>62.4</v>
      </c>
      <c r="ER359" s="44">
        <v>78.33</v>
      </c>
      <c r="ES359" s="44">
        <v>45.88</v>
      </c>
      <c r="ET359" s="44">
        <v>217.74</v>
      </c>
      <c r="EW359" s="44">
        <v>161.8</v>
      </c>
      <c r="EX359" s="44">
        <v>4.4</v>
      </c>
      <c r="EY359" s="47">
        <f t="shared" si="39"/>
        <v>1.073337</v>
      </c>
      <c r="EZ359" s="47">
        <f t="shared" si="40"/>
        <v>0.2547689972</v>
      </c>
      <c r="FA359" s="48" t="str">
        <f t="shared" si="41"/>
        <v>Благоприятный</v>
      </c>
      <c r="FB359" s="44" t="s">
        <v>256</v>
      </c>
      <c r="FC359" s="39" t="s">
        <v>445</v>
      </c>
    </row>
    <row r="360">
      <c r="B360" s="45">
        <v>5.0</v>
      </c>
      <c r="C360" s="44">
        <v>276.0</v>
      </c>
      <c r="D360" s="39" t="s">
        <v>445</v>
      </c>
      <c r="E360" s="44">
        <v>71.0</v>
      </c>
      <c r="F360" s="1" t="s">
        <v>161</v>
      </c>
      <c r="H360" s="44">
        <v>8.0</v>
      </c>
      <c r="I360" s="1" t="s">
        <v>150</v>
      </c>
      <c r="J360" s="1" t="s">
        <v>150</v>
      </c>
      <c r="L360" s="1" t="s">
        <v>150</v>
      </c>
      <c r="M360" s="1" t="s">
        <v>150</v>
      </c>
      <c r="O360" s="1" t="s">
        <v>150</v>
      </c>
      <c r="P360" s="1" t="s">
        <v>150</v>
      </c>
      <c r="Q360" s="1" t="s">
        <v>154</v>
      </c>
      <c r="R360" s="44">
        <v>3.0</v>
      </c>
      <c r="S360" s="1" t="s">
        <v>150</v>
      </c>
      <c r="Y360" s="1" t="s">
        <v>150</v>
      </c>
      <c r="AD360" s="44" t="s">
        <v>866</v>
      </c>
      <c r="AE360" s="1" t="s">
        <v>154</v>
      </c>
      <c r="AF360" s="44" t="s">
        <v>466</v>
      </c>
      <c r="AH360" s="1" t="s">
        <v>154</v>
      </c>
      <c r="AI360" s="44" t="s">
        <v>153</v>
      </c>
      <c r="AJ360" s="44">
        <v>1.0</v>
      </c>
      <c r="AK360" s="1" t="s">
        <v>5</v>
      </c>
      <c r="AL360" s="1" t="s">
        <v>150</v>
      </c>
      <c r="AO360" s="1" t="s">
        <v>150</v>
      </c>
      <c r="AP360" s="46"/>
      <c r="AQ360" s="46"/>
      <c r="AR360" s="46"/>
      <c r="AT360" s="44">
        <v>155.0</v>
      </c>
      <c r="AU360" s="44">
        <v>100.0</v>
      </c>
      <c r="AW360" s="44">
        <v>75.0</v>
      </c>
      <c r="AX360" s="44">
        <v>37.1</v>
      </c>
      <c r="AY360" s="44">
        <v>22.0</v>
      </c>
      <c r="AZ360" s="44">
        <v>93.0</v>
      </c>
      <c r="BA360" s="1" t="s">
        <v>154</v>
      </c>
      <c r="BB360" s="46"/>
      <c r="BC360" s="18"/>
      <c r="BF360" s="44">
        <v>4.0</v>
      </c>
      <c r="BG360" s="1" t="s">
        <v>154</v>
      </c>
      <c r="BH360" s="44" t="s">
        <v>652</v>
      </c>
      <c r="BI360" s="1" t="s">
        <v>154</v>
      </c>
      <c r="BJ360" s="44" t="s">
        <v>237</v>
      </c>
      <c r="BK360" s="1" t="s">
        <v>150</v>
      </c>
      <c r="BM360" s="1" t="s">
        <v>154</v>
      </c>
      <c r="BN360" s="44" t="s">
        <v>155</v>
      </c>
      <c r="BO360" s="1" t="s">
        <v>150</v>
      </c>
      <c r="BR360" s="1" t="s">
        <v>154</v>
      </c>
      <c r="BS360" s="44" t="s">
        <v>303</v>
      </c>
      <c r="BT360" s="44">
        <v>90.0</v>
      </c>
      <c r="BU360" s="1" t="s">
        <v>303</v>
      </c>
      <c r="BV360" s="44">
        <v>90.0</v>
      </c>
      <c r="BW360" s="1" t="s">
        <v>150</v>
      </c>
      <c r="BX360" s="1" t="s">
        <v>150</v>
      </c>
      <c r="BZ360" s="1" t="s">
        <v>158</v>
      </c>
      <c r="CA360" s="1" t="s">
        <v>150</v>
      </c>
      <c r="CB360" s="1" t="s">
        <v>185</v>
      </c>
      <c r="CC360" s="15" t="s">
        <v>150</v>
      </c>
      <c r="CD360" s="1" t="s">
        <v>150</v>
      </c>
      <c r="CE360" s="1" t="s">
        <v>150</v>
      </c>
      <c r="CF360" s="1" t="s">
        <v>150</v>
      </c>
      <c r="CG360" s="1" t="s">
        <v>150</v>
      </c>
      <c r="CH360" s="1" t="s">
        <v>150</v>
      </c>
      <c r="CI360" s="1" t="s">
        <v>150</v>
      </c>
      <c r="CJ360" s="1" t="s">
        <v>150</v>
      </c>
      <c r="CK360" s="1" t="s">
        <v>150</v>
      </c>
      <c r="CM360" s="44">
        <v>6.3</v>
      </c>
      <c r="CN360" s="44">
        <v>84.1</v>
      </c>
      <c r="CP360" s="44">
        <v>13.1</v>
      </c>
      <c r="CR360" s="44">
        <v>2.3</v>
      </c>
      <c r="CT360" s="44">
        <v>0.0</v>
      </c>
      <c r="CW360" s="44">
        <v>4.42</v>
      </c>
      <c r="CX360" s="44">
        <v>126.0</v>
      </c>
      <c r="CZ360" s="46"/>
      <c r="DA360" s="44">
        <v>180.0</v>
      </c>
      <c r="DB360" s="46"/>
      <c r="DC360" s="44">
        <v>12.7</v>
      </c>
      <c r="DD360" s="44">
        <v>84.5</v>
      </c>
      <c r="DF360" s="44">
        <v>9.0</v>
      </c>
      <c r="DH360" s="44">
        <v>6.1</v>
      </c>
      <c r="DJ360" s="44">
        <v>0.0</v>
      </c>
      <c r="DM360" s="44">
        <v>4.5</v>
      </c>
      <c r="DN360" s="44">
        <v>129.0</v>
      </c>
      <c r="DP360" s="46"/>
      <c r="DQ360" s="44">
        <v>208.0</v>
      </c>
      <c r="DR360" s="46"/>
      <c r="DS360" s="44">
        <v>596.0</v>
      </c>
      <c r="DT360" s="44">
        <v>30.3</v>
      </c>
      <c r="DU360" s="44">
        <v>12.1</v>
      </c>
      <c r="DV360" s="44">
        <v>1.03</v>
      </c>
      <c r="EC360" s="44">
        <v>6.08</v>
      </c>
      <c r="EE360" s="44">
        <v>21.44</v>
      </c>
      <c r="EF360" s="44">
        <v>70.19</v>
      </c>
      <c r="EG360" s="44">
        <v>75.4</v>
      </c>
      <c r="EH360" s="44">
        <v>9.24</v>
      </c>
      <c r="EI360" s="44">
        <v>2.47</v>
      </c>
      <c r="EJ360" s="44">
        <v>124.5</v>
      </c>
      <c r="EM360" s="46"/>
      <c r="EN360" s="46"/>
      <c r="EO360" s="46"/>
      <c r="EP360" s="46"/>
      <c r="EQ360" s="46"/>
      <c r="ER360" s="46"/>
      <c r="ES360" s="46"/>
      <c r="ET360" s="46"/>
      <c r="EU360" s="46"/>
      <c r="EV360" s="46"/>
      <c r="EW360" s="46"/>
      <c r="EX360" s="46"/>
      <c r="EY360" s="47">
        <f t="shared" si="39"/>
        <v>2.599399</v>
      </c>
      <c r="EZ360" s="47">
        <f t="shared" si="40"/>
        <v>0.0691771097</v>
      </c>
      <c r="FA360" s="48" t="str">
        <f t="shared" si="41"/>
        <v>Благоприятный</v>
      </c>
      <c r="FB360" s="44" t="s">
        <v>256</v>
      </c>
      <c r="FC360" s="39" t="s">
        <v>445</v>
      </c>
    </row>
    <row r="361">
      <c r="A361" s="44" t="s">
        <v>867</v>
      </c>
      <c r="B361" s="45">
        <v>6.0</v>
      </c>
      <c r="C361" s="44">
        <v>8569.0</v>
      </c>
      <c r="D361" s="39" t="s">
        <v>445</v>
      </c>
      <c r="E361" s="44">
        <v>63.0</v>
      </c>
      <c r="F361" s="1" t="s">
        <v>149</v>
      </c>
      <c r="H361" s="44">
        <v>23.0</v>
      </c>
      <c r="I361" s="1" t="s">
        <v>150</v>
      </c>
      <c r="J361" s="1" t="s">
        <v>150</v>
      </c>
      <c r="L361" s="1" t="s">
        <v>150</v>
      </c>
      <c r="M361" s="1" t="s">
        <v>150</v>
      </c>
      <c r="O361" s="1" t="s">
        <v>154</v>
      </c>
      <c r="P361" s="1" t="s">
        <v>150</v>
      </c>
      <c r="Q361" s="1" t="s">
        <v>154</v>
      </c>
      <c r="R361" s="44">
        <v>2.0</v>
      </c>
      <c r="S361" s="1" t="s">
        <v>150</v>
      </c>
      <c r="Y361" s="1" t="s">
        <v>150</v>
      </c>
      <c r="AD361" s="44" t="s">
        <v>868</v>
      </c>
      <c r="AE361" s="1" t="s">
        <v>154</v>
      </c>
      <c r="AF361" s="44" t="s">
        <v>466</v>
      </c>
      <c r="AH361" s="1" t="s">
        <v>154</v>
      </c>
      <c r="AI361" s="44" t="s">
        <v>168</v>
      </c>
      <c r="AJ361" s="46"/>
      <c r="AK361" s="1" t="s">
        <v>5</v>
      </c>
      <c r="AL361" s="1" t="s">
        <v>150</v>
      </c>
      <c r="AO361" s="1" t="s">
        <v>150</v>
      </c>
      <c r="AP361" s="46"/>
      <c r="AQ361" s="46"/>
      <c r="AR361" s="44">
        <v>29.2</v>
      </c>
      <c r="AT361" s="44">
        <v>130.0</v>
      </c>
      <c r="AU361" s="44">
        <v>80.0</v>
      </c>
      <c r="AW361" s="44">
        <v>100.0</v>
      </c>
      <c r="AX361" s="44">
        <v>37.0</v>
      </c>
      <c r="AY361" s="44">
        <v>24.0</v>
      </c>
      <c r="AZ361" s="44">
        <v>72.0</v>
      </c>
      <c r="BA361" s="1" t="s">
        <v>154</v>
      </c>
      <c r="BB361" s="44">
        <v>84.0</v>
      </c>
      <c r="BC361" s="9"/>
      <c r="BF361" s="51">
        <v>45781.0</v>
      </c>
      <c r="BG361" s="1" t="s">
        <v>154</v>
      </c>
      <c r="BH361" s="44" t="s">
        <v>466</v>
      </c>
      <c r="BI361" s="1" t="s">
        <v>154</v>
      </c>
      <c r="BK361" s="1" t="s">
        <v>150</v>
      </c>
      <c r="BM361" s="1" t="s">
        <v>154</v>
      </c>
      <c r="BO361" s="1" t="s">
        <v>150</v>
      </c>
      <c r="BR361" s="1" t="s">
        <v>154</v>
      </c>
      <c r="BU361" s="1" t="s">
        <v>157</v>
      </c>
      <c r="BW361" s="1" t="s">
        <v>154</v>
      </c>
      <c r="BX361" s="1" t="s">
        <v>150</v>
      </c>
      <c r="BZ361" s="1" t="s">
        <v>158</v>
      </c>
      <c r="CA361" s="1" t="s">
        <v>154</v>
      </c>
      <c r="CB361" s="1" t="s">
        <v>150</v>
      </c>
      <c r="CC361" s="15" t="s">
        <v>150</v>
      </c>
      <c r="CD361" s="1" t="s">
        <v>150</v>
      </c>
      <c r="CE361" s="1" t="s">
        <v>150</v>
      </c>
      <c r="CF361" s="1" t="s">
        <v>150</v>
      </c>
      <c r="CG361" s="1" t="s">
        <v>150</v>
      </c>
      <c r="CH361" s="1" t="s">
        <v>150</v>
      </c>
      <c r="CI361" s="1" t="s">
        <v>150</v>
      </c>
      <c r="CJ361" s="1" t="s">
        <v>150</v>
      </c>
      <c r="CK361" s="1" t="s">
        <v>150</v>
      </c>
      <c r="EY361" s="52">
        <f t="shared" si="39"/>
        <v>-17965.7915</v>
      </c>
      <c r="EZ361" s="47">
        <f t="shared" si="40"/>
        <v>1</v>
      </c>
      <c r="FA361" s="48" t="str">
        <f t="shared" si="41"/>
        <v>Неблагоприятный</v>
      </c>
      <c r="FB361" s="44" t="s">
        <v>150</v>
      </c>
      <c r="FC361" s="39" t="s">
        <v>445</v>
      </c>
    </row>
    <row r="362">
      <c r="B362" s="45">
        <v>7.0</v>
      </c>
      <c r="C362" s="44">
        <v>664.0</v>
      </c>
      <c r="D362" s="39" t="s">
        <v>445</v>
      </c>
      <c r="E362" s="44">
        <v>68.0</v>
      </c>
      <c r="F362" s="1" t="s">
        <v>161</v>
      </c>
      <c r="H362" s="44">
        <v>6.0</v>
      </c>
      <c r="I362" s="1" t="s">
        <v>150</v>
      </c>
      <c r="J362" s="1" t="s">
        <v>154</v>
      </c>
      <c r="K362" s="44" t="s">
        <v>869</v>
      </c>
      <c r="L362" s="1" t="s">
        <v>154</v>
      </c>
      <c r="M362" s="1" t="s">
        <v>154</v>
      </c>
      <c r="N362" s="44" t="s">
        <v>628</v>
      </c>
      <c r="O362" s="1" t="s">
        <v>154</v>
      </c>
      <c r="P362" s="1" t="s">
        <v>150</v>
      </c>
      <c r="Q362" s="1" t="s">
        <v>154</v>
      </c>
      <c r="R362" s="44">
        <v>3.0</v>
      </c>
      <c r="S362" s="1" t="s">
        <v>150</v>
      </c>
      <c r="Y362" s="1" t="s">
        <v>150</v>
      </c>
      <c r="AD362" s="44" t="s">
        <v>870</v>
      </c>
      <c r="AE362" s="1" t="s">
        <v>154</v>
      </c>
      <c r="AF362" s="44">
        <v>6.0</v>
      </c>
      <c r="AH362" s="1" t="s">
        <v>154</v>
      </c>
      <c r="AI362" s="44" t="s">
        <v>168</v>
      </c>
      <c r="AJ362" s="44">
        <v>2.0</v>
      </c>
      <c r="AK362" s="1" t="s">
        <v>5</v>
      </c>
      <c r="AL362" s="1" t="s">
        <v>150</v>
      </c>
      <c r="AO362" s="1" t="s">
        <v>150</v>
      </c>
      <c r="AP362" s="44">
        <v>164.0</v>
      </c>
      <c r="AQ362" s="44">
        <v>98.0</v>
      </c>
      <c r="AR362" s="44">
        <v>36.44</v>
      </c>
      <c r="AT362" s="44">
        <v>147.0</v>
      </c>
      <c r="AU362" s="44">
        <v>91.0</v>
      </c>
      <c r="AW362" s="44">
        <v>101.0</v>
      </c>
      <c r="AY362" s="44">
        <v>22.0</v>
      </c>
      <c r="AZ362" s="44">
        <v>90.0</v>
      </c>
      <c r="BA362" s="1" t="s">
        <v>154</v>
      </c>
      <c r="BB362" s="44">
        <v>99.0</v>
      </c>
      <c r="BC362" s="9"/>
      <c r="BF362" s="51">
        <v>45748.0</v>
      </c>
      <c r="BG362" s="1" t="s">
        <v>154</v>
      </c>
      <c r="BH362" s="44" t="s">
        <v>466</v>
      </c>
      <c r="BI362" s="1" t="s">
        <v>154</v>
      </c>
      <c r="BJ362" s="44" t="s">
        <v>237</v>
      </c>
      <c r="BK362" s="1" t="s">
        <v>150</v>
      </c>
      <c r="BM362" s="1" t="s">
        <v>154</v>
      </c>
      <c r="BN362" s="44" t="s">
        <v>155</v>
      </c>
      <c r="BO362" s="1" t="s">
        <v>154</v>
      </c>
      <c r="BP362" s="44" t="s">
        <v>157</v>
      </c>
      <c r="BR362" s="1" t="s">
        <v>154</v>
      </c>
      <c r="BS362" s="44" t="s">
        <v>170</v>
      </c>
      <c r="BT362" s="44">
        <v>24.0</v>
      </c>
      <c r="BU362" s="1" t="s">
        <v>170</v>
      </c>
      <c r="BW362" s="1" t="s">
        <v>154</v>
      </c>
      <c r="BX362" s="1" t="s">
        <v>150</v>
      </c>
      <c r="BZ362" s="1" t="s">
        <v>158</v>
      </c>
      <c r="CA362" s="1" t="s">
        <v>150</v>
      </c>
      <c r="CB362" s="1" t="s">
        <v>150</v>
      </c>
      <c r="CC362" s="15" t="s">
        <v>150</v>
      </c>
      <c r="CD362" s="1" t="s">
        <v>150</v>
      </c>
      <c r="CE362" s="1" t="s">
        <v>150</v>
      </c>
      <c r="CF362" s="1" t="s">
        <v>150</v>
      </c>
      <c r="CG362" s="1" t="s">
        <v>150</v>
      </c>
      <c r="CH362" s="1" t="s">
        <v>150</v>
      </c>
      <c r="CI362" s="1" t="s">
        <v>150</v>
      </c>
      <c r="CJ362" s="1" t="s">
        <v>154</v>
      </c>
      <c r="CK362" s="1" t="s">
        <v>150</v>
      </c>
      <c r="CL362" s="44" t="s">
        <v>871</v>
      </c>
      <c r="CM362" s="44">
        <v>6.2</v>
      </c>
      <c r="CN362" s="44">
        <v>89.4</v>
      </c>
      <c r="CP362" s="44">
        <v>6.1</v>
      </c>
      <c r="CR362" s="44">
        <v>4.2</v>
      </c>
      <c r="CT362" s="44">
        <v>0.0</v>
      </c>
      <c r="CW362" s="44">
        <v>4.29</v>
      </c>
      <c r="CX362" s="44">
        <v>118.0</v>
      </c>
      <c r="CZ362" s="46"/>
      <c r="DA362" s="46"/>
      <c r="DB362" s="44">
        <v>70.0</v>
      </c>
      <c r="DC362" s="44">
        <v>12.5</v>
      </c>
      <c r="DD362" s="44">
        <v>94.7</v>
      </c>
      <c r="DF362" s="44">
        <v>2.6</v>
      </c>
      <c r="DH362" s="44">
        <v>2.4</v>
      </c>
      <c r="DJ362" s="44">
        <v>0.1</v>
      </c>
      <c r="DM362" s="44">
        <v>3.87</v>
      </c>
      <c r="DN362" s="44">
        <v>106.0</v>
      </c>
      <c r="DP362" s="46"/>
      <c r="DQ362" s="46"/>
      <c r="DR362" s="46"/>
      <c r="DS362" s="46"/>
      <c r="DT362" s="44">
        <v>21.8</v>
      </c>
      <c r="DU362" s="44">
        <v>15.8</v>
      </c>
      <c r="DV362" s="44">
        <v>1.58</v>
      </c>
      <c r="DW362" s="46"/>
      <c r="DX362" s="46"/>
      <c r="DY362" s="44">
        <v>26.0</v>
      </c>
      <c r="DZ362" s="44">
        <v>18.9</v>
      </c>
      <c r="EA362" s="44">
        <v>1.67</v>
      </c>
      <c r="EC362" s="44">
        <v>11.81</v>
      </c>
      <c r="ED362" s="44">
        <v>6.69</v>
      </c>
      <c r="EE362" s="44">
        <v>362.0</v>
      </c>
      <c r="EF362" s="44">
        <v>581.38</v>
      </c>
      <c r="EG362" s="44">
        <v>64.8</v>
      </c>
      <c r="EH362" s="44">
        <v>14.91</v>
      </c>
      <c r="EI362" s="44">
        <v>4.52</v>
      </c>
      <c r="EJ362" s="44">
        <v>73.79</v>
      </c>
      <c r="EM362" s="44">
        <v>141.1</v>
      </c>
      <c r="EN362" s="44">
        <v>3.94</v>
      </c>
      <c r="EO362" s="44">
        <v>183.3</v>
      </c>
      <c r="EP362" s="44">
        <v>129.1</v>
      </c>
      <c r="EQ362" s="44">
        <v>61.7</v>
      </c>
      <c r="ER362" s="44">
        <v>10.8</v>
      </c>
      <c r="ES362" s="44">
        <v>5.0</v>
      </c>
      <c r="ET362" s="44">
        <v>130.0</v>
      </c>
      <c r="EW362" s="44">
        <v>135.6</v>
      </c>
      <c r="EX362" s="44">
        <v>4.2</v>
      </c>
      <c r="EY362" s="52">
        <f t="shared" si="39"/>
        <v>-17966.61449</v>
      </c>
      <c r="EZ362" s="47">
        <f t="shared" si="40"/>
        <v>1</v>
      </c>
      <c r="FA362" s="48" t="str">
        <f t="shared" si="41"/>
        <v>Неблагоприятный</v>
      </c>
      <c r="FB362" s="44"/>
      <c r="FC362" s="39" t="s">
        <v>445</v>
      </c>
    </row>
    <row r="363">
      <c r="B363" s="45">
        <v>8.0</v>
      </c>
      <c r="C363" s="44">
        <v>541.0</v>
      </c>
      <c r="D363" s="39" t="s">
        <v>445</v>
      </c>
      <c r="E363" s="44">
        <v>65.0</v>
      </c>
      <c r="F363" s="1" t="s">
        <v>149</v>
      </c>
      <c r="H363" s="44">
        <v>8.0</v>
      </c>
      <c r="I363" s="1" t="s">
        <v>150</v>
      </c>
      <c r="J363" s="1" t="s">
        <v>150</v>
      </c>
      <c r="L363" s="1" t="s">
        <v>150</v>
      </c>
      <c r="M363" s="1" t="s">
        <v>150</v>
      </c>
      <c r="O363" s="1" t="s">
        <v>154</v>
      </c>
      <c r="P363" s="1" t="s">
        <v>150</v>
      </c>
      <c r="Q363" s="1" t="s">
        <v>154</v>
      </c>
      <c r="R363" s="44">
        <v>3.0</v>
      </c>
      <c r="S363" s="1" t="s">
        <v>150</v>
      </c>
      <c r="Y363" s="1" t="s">
        <v>150</v>
      </c>
      <c r="AD363" s="44" t="s">
        <v>872</v>
      </c>
      <c r="AE363" s="1" t="s">
        <v>154</v>
      </c>
      <c r="AF363" s="44" t="s">
        <v>466</v>
      </c>
      <c r="AH363" s="1" t="s">
        <v>154</v>
      </c>
      <c r="AI363" s="44" t="s">
        <v>168</v>
      </c>
      <c r="AJ363" s="44">
        <v>1.0</v>
      </c>
      <c r="AK363" s="1" t="s">
        <v>5</v>
      </c>
      <c r="AL363" s="1" t="s">
        <v>150</v>
      </c>
      <c r="AO363" s="1" t="s">
        <v>150</v>
      </c>
      <c r="AP363" s="46"/>
      <c r="AQ363" s="46"/>
      <c r="AR363" s="46"/>
      <c r="AT363" s="44">
        <v>130.0</v>
      </c>
      <c r="AU363" s="44">
        <v>80.0</v>
      </c>
      <c r="AW363" s="44">
        <v>106.0</v>
      </c>
      <c r="AX363" s="44">
        <v>36.8</v>
      </c>
      <c r="AY363" s="44">
        <v>26.0</v>
      </c>
      <c r="AZ363" s="44">
        <v>75.0</v>
      </c>
      <c r="BA363" s="1" t="s">
        <v>154</v>
      </c>
      <c r="BB363" s="44">
        <v>87.0</v>
      </c>
      <c r="BC363" s="9"/>
      <c r="BF363" s="44" t="s">
        <v>873</v>
      </c>
      <c r="BG363" s="1" t="s">
        <v>154</v>
      </c>
      <c r="BH363" s="44" t="s">
        <v>466</v>
      </c>
      <c r="BI363" s="1" t="s">
        <v>154</v>
      </c>
      <c r="BJ363" s="44" t="s">
        <v>237</v>
      </c>
      <c r="BK363" s="1" t="s">
        <v>150</v>
      </c>
      <c r="BM363" s="1" t="s">
        <v>154</v>
      </c>
      <c r="BN363" s="44" t="s">
        <v>155</v>
      </c>
      <c r="BO363" s="1" t="s">
        <v>154</v>
      </c>
      <c r="BR363" s="1" t="s">
        <v>154</v>
      </c>
      <c r="BS363" s="44" t="s">
        <v>170</v>
      </c>
      <c r="BT363" s="44" t="s">
        <v>503</v>
      </c>
      <c r="BU363" s="1" t="s">
        <v>170</v>
      </c>
      <c r="BV363" s="44">
        <v>24.0</v>
      </c>
      <c r="BW363" s="1" t="s">
        <v>874</v>
      </c>
      <c r="BX363" s="1" t="s">
        <v>150</v>
      </c>
      <c r="BZ363" s="1" t="s">
        <v>158</v>
      </c>
      <c r="CA363" s="1" t="s">
        <v>154</v>
      </c>
      <c r="CB363" s="1" t="s">
        <v>150</v>
      </c>
      <c r="CC363" s="15" t="s">
        <v>150</v>
      </c>
      <c r="CD363" s="1" t="s">
        <v>150</v>
      </c>
      <c r="CE363" s="1" t="s">
        <v>150</v>
      </c>
      <c r="CF363" s="1" t="s">
        <v>150</v>
      </c>
      <c r="CG363" s="1" t="s">
        <v>150</v>
      </c>
      <c r="CH363" s="1" t="s">
        <v>150</v>
      </c>
      <c r="CI363" s="1" t="s">
        <v>150</v>
      </c>
      <c r="CJ363" s="1" t="s">
        <v>150</v>
      </c>
      <c r="CK363" s="1" t="s">
        <v>150</v>
      </c>
      <c r="CM363" s="44">
        <v>10.1</v>
      </c>
      <c r="CN363" s="44">
        <v>93.0</v>
      </c>
      <c r="CP363" s="44">
        <v>3.4</v>
      </c>
      <c r="CR363" s="44">
        <v>5.4</v>
      </c>
      <c r="CT363" s="44">
        <v>0.1</v>
      </c>
      <c r="CW363" s="44">
        <v>5.16</v>
      </c>
      <c r="CX363" s="44">
        <v>140.0</v>
      </c>
      <c r="CZ363" s="46"/>
      <c r="DA363" s="44">
        <v>208.0</v>
      </c>
      <c r="DB363" s="46"/>
      <c r="DC363" s="44">
        <v>20.3</v>
      </c>
      <c r="DD363" s="44">
        <v>93.0</v>
      </c>
      <c r="DF363" s="44">
        <v>2.1</v>
      </c>
      <c r="DH363" s="44">
        <v>4.4</v>
      </c>
      <c r="DJ363" s="44">
        <v>0.0</v>
      </c>
      <c r="DM363" s="44">
        <v>4.66</v>
      </c>
      <c r="DN363" s="44">
        <v>126.0</v>
      </c>
      <c r="DP363" s="46"/>
      <c r="DQ363" s="44">
        <v>233.0</v>
      </c>
      <c r="DR363" s="46"/>
      <c r="DS363" s="44">
        <v>651.0</v>
      </c>
      <c r="DT363" s="44">
        <v>23.1</v>
      </c>
      <c r="DU363" s="44">
        <v>14.0</v>
      </c>
      <c r="DV363" s="44">
        <v>1.2</v>
      </c>
      <c r="DX363" s="44">
        <v>632.0</v>
      </c>
      <c r="DY363" s="44">
        <v>24.0</v>
      </c>
      <c r="DZ363" s="44">
        <v>12.4</v>
      </c>
      <c r="EA363" s="44">
        <v>1.25</v>
      </c>
      <c r="EC363" s="44">
        <v>6.94</v>
      </c>
      <c r="ED363" s="44">
        <v>8.49</v>
      </c>
      <c r="EE363" s="44">
        <v>67.33</v>
      </c>
      <c r="EF363" s="44">
        <v>49.69</v>
      </c>
      <c r="EG363" s="44">
        <v>65.2</v>
      </c>
      <c r="EH363" s="44">
        <v>10.14</v>
      </c>
      <c r="EI363" s="44">
        <v>3.39</v>
      </c>
      <c r="EJ363" s="44">
        <v>101.0</v>
      </c>
      <c r="EM363" s="44">
        <v>136.5</v>
      </c>
      <c r="EN363" s="44">
        <v>3.0</v>
      </c>
      <c r="EO363" s="44">
        <v>26.0</v>
      </c>
      <c r="EP363" s="44">
        <v>14.0</v>
      </c>
      <c r="EQ363" s="44">
        <v>56.4</v>
      </c>
      <c r="ER363" s="44">
        <v>19.0</v>
      </c>
      <c r="ES363" s="44">
        <v>5.0</v>
      </c>
      <c r="ET363" s="44">
        <v>92.0</v>
      </c>
      <c r="EW363" s="44">
        <v>140.0</v>
      </c>
      <c r="EX363" s="44">
        <v>3.73</v>
      </c>
      <c r="EY363" s="47" t="str">
        <f t="shared" si="39"/>
        <v>#VALUE!</v>
      </c>
      <c r="EZ363" s="47" t="str">
        <f t="shared" si="40"/>
        <v>#VALUE!</v>
      </c>
      <c r="FA363" s="48" t="str">
        <f t="shared" si="41"/>
        <v>#VALUE!</v>
      </c>
      <c r="FB363" s="44"/>
      <c r="FC363" s="39" t="s">
        <v>445</v>
      </c>
    </row>
    <row r="364">
      <c r="B364" s="45">
        <v>9.0</v>
      </c>
      <c r="C364" s="44">
        <v>453.0</v>
      </c>
      <c r="D364" s="39" t="s">
        <v>445</v>
      </c>
      <c r="E364" s="44">
        <v>66.0</v>
      </c>
      <c r="F364" s="1" t="s">
        <v>149</v>
      </c>
      <c r="H364" s="44">
        <v>15.0</v>
      </c>
      <c r="I364" s="1" t="s">
        <v>150</v>
      </c>
      <c r="J364" s="1" t="s">
        <v>150</v>
      </c>
      <c r="L364" s="1" t="s">
        <v>150</v>
      </c>
      <c r="M364" s="1" t="s">
        <v>150</v>
      </c>
      <c r="O364" s="1" t="s">
        <v>154</v>
      </c>
      <c r="P364" s="1" t="s">
        <v>150</v>
      </c>
      <c r="Q364" s="1" t="s">
        <v>154</v>
      </c>
      <c r="R364" s="44">
        <v>2.0</v>
      </c>
      <c r="S364" s="1" t="s">
        <v>150</v>
      </c>
      <c r="Y364" s="1" t="s">
        <v>150</v>
      </c>
      <c r="AE364" s="1" t="s">
        <v>154</v>
      </c>
      <c r="AF364" s="44">
        <v>3.0</v>
      </c>
      <c r="AH364" s="1" t="s">
        <v>154</v>
      </c>
      <c r="AI364" s="44" t="s">
        <v>153</v>
      </c>
      <c r="AJ364" s="44">
        <v>3.0</v>
      </c>
      <c r="AK364" s="1" t="s">
        <v>5</v>
      </c>
      <c r="AL364" s="1" t="s">
        <v>150</v>
      </c>
      <c r="AO364" s="1" t="s">
        <v>150</v>
      </c>
      <c r="AP364" s="46"/>
      <c r="AQ364" s="46"/>
      <c r="AR364" s="46"/>
      <c r="AT364" s="44">
        <v>160.0</v>
      </c>
      <c r="AU364" s="44">
        <v>90.0</v>
      </c>
      <c r="AW364" s="44">
        <v>92.0</v>
      </c>
      <c r="AX364" s="44">
        <v>36.9</v>
      </c>
      <c r="AY364" s="44">
        <v>22.0</v>
      </c>
      <c r="AZ364" s="44">
        <v>90.0</v>
      </c>
      <c r="BA364" s="1" t="s">
        <v>154</v>
      </c>
      <c r="BB364" s="44">
        <v>94.0</v>
      </c>
      <c r="BC364" s="9"/>
      <c r="BF364" s="44">
        <v>4.0</v>
      </c>
      <c r="BG364" s="1" t="s">
        <v>154</v>
      </c>
      <c r="BI364" s="1" t="s">
        <v>154</v>
      </c>
      <c r="BJ364" s="44" t="s">
        <v>506</v>
      </c>
      <c r="BK364" s="1" t="s">
        <v>150</v>
      </c>
      <c r="BM364" s="1" t="s">
        <v>154</v>
      </c>
      <c r="BN364" s="44" t="s">
        <v>155</v>
      </c>
      <c r="BO364" s="1" t="s">
        <v>522</v>
      </c>
      <c r="BR364" s="1" t="s">
        <v>154</v>
      </c>
      <c r="BS364" s="44" t="s">
        <v>202</v>
      </c>
      <c r="BT364" s="44" t="s">
        <v>588</v>
      </c>
      <c r="BU364" s="1" t="s">
        <v>303</v>
      </c>
      <c r="BV364" s="44">
        <v>180.0</v>
      </c>
      <c r="BW364" s="1" t="s">
        <v>154</v>
      </c>
      <c r="BX364" s="1" t="s">
        <v>150</v>
      </c>
      <c r="BZ364" s="1" t="s">
        <v>158</v>
      </c>
      <c r="CA364" s="1" t="s">
        <v>150</v>
      </c>
      <c r="CB364" s="1" t="s">
        <v>150</v>
      </c>
      <c r="CC364" s="15" t="s">
        <v>150</v>
      </c>
      <c r="CD364" s="1" t="s">
        <v>150</v>
      </c>
      <c r="CE364" s="1" t="s">
        <v>150</v>
      </c>
      <c r="CF364" s="1" t="s">
        <v>150</v>
      </c>
      <c r="CG364" s="1" t="s">
        <v>150</v>
      </c>
      <c r="CH364" s="1" t="s">
        <v>150</v>
      </c>
      <c r="CI364" s="1" t="s">
        <v>150</v>
      </c>
      <c r="CJ364" s="1" t="s">
        <v>154</v>
      </c>
      <c r="CK364" s="1" t="s">
        <v>150</v>
      </c>
      <c r="CL364" s="44" t="s">
        <v>273</v>
      </c>
      <c r="CM364" s="44">
        <v>11.1</v>
      </c>
      <c r="CN364" s="44">
        <v>91.9</v>
      </c>
      <c r="CP364" s="44">
        <v>5.3</v>
      </c>
      <c r="CR364" s="44">
        <v>2.8</v>
      </c>
      <c r="CT364" s="44">
        <v>0.0</v>
      </c>
      <c r="CW364" s="44">
        <v>4.96</v>
      </c>
      <c r="CX364" s="44">
        <v>148.0</v>
      </c>
      <c r="CZ364" s="46"/>
      <c r="DA364" s="44">
        <v>158.0</v>
      </c>
      <c r="DB364" s="46"/>
      <c r="DC364" s="44">
        <v>10.7</v>
      </c>
      <c r="DD364" s="44">
        <v>87.8</v>
      </c>
      <c r="DF364" s="44">
        <v>5.3</v>
      </c>
      <c r="DH364" s="44">
        <v>1.4</v>
      </c>
      <c r="DJ364" s="44">
        <v>5.6</v>
      </c>
      <c r="DM364" s="44">
        <v>4.03</v>
      </c>
      <c r="DN364" s="44">
        <v>123.0</v>
      </c>
      <c r="DP364" s="46"/>
      <c r="DQ364" s="44">
        <v>311.0</v>
      </c>
      <c r="DR364" s="46"/>
      <c r="DS364" s="46"/>
      <c r="DT364" s="46"/>
      <c r="DU364" s="46"/>
      <c r="DV364" s="46"/>
      <c r="DW364" s="46"/>
      <c r="DX364" s="46"/>
      <c r="DY364" s="44">
        <v>22.5</v>
      </c>
      <c r="DZ364" s="44">
        <v>21.0</v>
      </c>
      <c r="EA364" s="44">
        <v>1.65</v>
      </c>
      <c r="EC364" s="44">
        <v>7.33</v>
      </c>
      <c r="ED364" s="44">
        <v>11.37</v>
      </c>
      <c r="EE364" s="44">
        <v>81.7</v>
      </c>
      <c r="EF364" s="44">
        <v>34.49</v>
      </c>
      <c r="EG364" s="44">
        <v>63.5</v>
      </c>
      <c r="EH364" s="44">
        <v>11.31</v>
      </c>
      <c r="EI364" s="44">
        <v>2.86</v>
      </c>
      <c r="EJ364" s="44">
        <v>98.69</v>
      </c>
      <c r="EM364" s="46"/>
      <c r="EN364" s="46"/>
      <c r="EO364" s="44">
        <v>117.87</v>
      </c>
      <c r="EP364" s="44">
        <v>72.01</v>
      </c>
      <c r="EQ364" s="44">
        <v>16.77</v>
      </c>
      <c r="ER364" s="44">
        <v>16.77</v>
      </c>
      <c r="ES364" s="44">
        <v>5.13</v>
      </c>
      <c r="ET364" s="44">
        <v>85.94</v>
      </c>
      <c r="EW364" s="44">
        <v>132.3</v>
      </c>
      <c r="EX364" s="44">
        <v>3.83</v>
      </c>
      <c r="EY364" s="47">
        <f t="shared" si="39"/>
        <v>5.596893</v>
      </c>
      <c r="EZ364" s="47">
        <f t="shared" si="40"/>
        <v>0.003695662264</v>
      </c>
      <c r="FA364" s="48" t="str">
        <f t="shared" si="41"/>
        <v>Благоприятный</v>
      </c>
      <c r="FB364" s="44" t="s">
        <v>256</v>
      </c>
      <c r="FC364" s="39" t="s">
        <v>445</v>
      </c>
    </row>
    <row r="365">
      <c r="B365" s="45">
        <v>10.0</v>
      </c>
      <c r="C365" s="44">
        <v>512.0</v>
      </c>
      <c r="D365" s="39" t="s">
        <v>445</v>
      </c>
      <c r="E365" s="44">
        <v>59.0</v>
      </c>
      <c r="F365" s="1" t="s">
        <v>161</v>
      </c>
      <c r="H365" s="44">
        <v>5.0</v>
      </c>
      <c r="I365" s="1" t="s">
        <v>150</v>
      </c>
      <c r="J365" s="1" t="s">
        <v>150</v>
      </c>
      <c r="L365" s="1" t="s">
        <v>154</v>
      </c>
      <c r="M365" s="1" t="s">
        <v>154</v>
      </c>
      <c r="N365" s="44" t="s">
        <v>628</v>
      </c>
      <c r="O365" s="1" t="s">
        <v>150</v>
      </c>
      <c r="P365" s="1" t="s">
        <v>150</v>
      </c>
      <c r="Q365" s="1" t="s">
        <v>154</v>
      </c>
      <c r="R365" s="44">
        <v>3.0</v>
      </c>
      <c r="S365" s="1" t="s">
        <v>154</v>
      </c>
      <c r="T365" s="44" t="s">
        <v>165</v>
      </c>
      <c r="U365" s="44" t="s">
        <v>875</v>
      </c>
      <c r="W365" s="44">
        <v>2.0</v>
      </c>
      <c r="Y365" s="1" t="s">
        <v>150</v>
      </c>
      <c r="AD365" s="44" t="s">
        <v>876</v>
      </c>
      <c r="AE365" s="1" t="s">
        <v>154</v>
      </c>
      <c r="AF365" s="44">
        <v>1.0</v>
      </c>
      <c r="AH365" s="1" t="s">
        <v>154</v>
      </c>
      <c r="AI365" s="44" t="s">
        <v>168</v>
      </c>
      <c r="AJ365" s="46"/>
      <c r="AK365" s="1" t="s">
        <v>5</v>
      </c>
      <c r="AL365" s="1" t="s">
        <v>150</v>
      </c>
      <c r="AO365" s="1" t="s">
        <v>150</v>
      </c>
      <c r="AP365" s="44">
        <v>151.0</v>
      </c>
      <c r="AQ365" s="44">
        <v>90.0</v>
      </c>
      <c r="AR365" s="44">
        <v>39.5</v>
      </c>
      <c r="AT365" s="44">
        <v>150.0</v>
      </c>
      <c r="AU365" s="44">
        <v>90.0</v>
      </c>
      <c r="AW365" s="44">
        <v>80.0</v>
      </c>
      <c r="AX365" s="44">
        <v>38.0</v>
      </c>
      <c r="AY365" s="44">
        <v>20.0</v>
      </c>
      <c r="AZ365" s="44">
        <v>73.0</v>
      </c>
      <c r="BA365" s="1" t="s">
        <v>154</v>
      </c>
      <c r="BB365" s="44">
        <v>90.0</v>
      </c>
      <c r="BC365" s="9"/>
      <c r="BF365" s="44">
        <v>5.0</v>
      </c>
      <c r="BG365" s="1" t="s">
        <v>522</v>
      </c>
      <c r="BI365" s="1" t="s">
        <v>154</v>
      </c>
      <c r="BJ365" s="44" t="s">
        <v>237</v>
      </c>
      <c r="BK365" s="1" t="s">
        <v>150</v>
      </c>
      <c r="BM365" s="1" t="s">
        <v>154</v>
      </c>
      <c r="BO365" s="1" t="s">
        <v>522</v>
      </c>
      <c r="BR365" s="1" t="s">
        <v>154</v>
      </c>
      <c r="BS365" s="44" t="s">
        <v>174</v>
      </c>
      <c r="BT365" s="44" t="s">
        <v>877</v>
      </c>
      <c r="BU365" s="1" t="s">
        <v>878</v>
      </c>
      <c r="BW365" s="1" t="s">
        <v>154</v>
      </c>
      <c r="BX365" s="1" t="s">
        <v>150</v>
      </c>
      <c r="BZ365" s="1" t="s">
        <v>284</v>
      </c>
      <c r="CA365" s="1" t="s">
        <v>154</v>
      </c>
      <c r="CB365" s="1" t="s">
        <v>185</v>
      </c>
      <c r="CC365" s="15" t="s">
        <v>150</v>
      </c>
      <c r="CD365" s="1" t="s">
        <v>154</v>
      </c>
      <c r="CE365" s="1" t="s">
        <v>154</v>
      </c>
      <c r="CF365" s="1" t="s">
        <v>240</v>
      </c>
      <c r="CG365" s="1" t="s">
        <v>150</v>
      </c>
      <c r="CH365" s="1" t="s">
        <v>150</v>
      </c>
      <c r="CI365" s="1" t="s">
        <v>150</v>
      </c>
      <c r="CJ365" s="1" t="s">
        <v>154</v>
      </c>
      <c r="CK365" s="1" t="s">
        <v>150</v>
      </c>
      <c r="CL365" s="44" t="s">
        <v>417</v>
      </c>
      <c r="CM365" s="44">
        <v>10.6</v>
      </c>
      <c r="CN365" s="44">
        <v>94.5</v>
      </c>
      <c r="CP365" s="44">
        <v>1.6</v>
      </c>
      <c r="CR365" s="44">
        <v>3.7</v>
      </c>
      <c r="CT365" s="44">
        <v>0.2</v>
      </c>
      <c r="CW365" s="44">
        <v>4.65</v>
      </c>
      <c r="CX365" s="44">
        <v>132.0</v>
      </c>
      <c r="CZ365" s="46"/>
      <c r="DA365" s="44">
        <v>169.0</v>
      </c>
      <c r="DB365" s="46"/>
      <c r="DC365" s="44">
        <v>9.9</v>
      </c>
      <c r="DD365" s="44">
        <v>92.6</v>
      </c>
      <c r="DF365" s="44">
        <v>4.0</v>
      </c>
      <c r="DH365" s="44">
        <v>3.1</v>
      </c>
      <c r="DJ365" s="44">
        <v>0.1</v>
      </c>
      <c r="DM365" s="44">
        <v>4.47</v>
      </c>
      <c r="DN365" s="44">
        <v>124.0</v>
      </c>
      <c r="DP365" s="46"/>
      <c r="DQ365" s="44">
        <v>203.0</v>
      </c>
      <c r="DR365" s="44">
        <v>38.0</v>
      </c>
      <c r="DS365" s="44">
        <v>805.0</v>
      </c>
      <c r="DT365" s="46"/>
      <c r="DU365" s="44">
        <v>11.3</v>
      </c>
      <c r="DV365" s="44">
        <v>0.96</v>
      </c>
      <c r="DW365" s="46"/>
      <c r="DX365" s="44">
        <v>666.0</v>
      </c>
      <c r="DY365" s="46"/>
      <c r="DZ365" s="44">
        <v>11.8</v>
      </c>
      <c r="EA365" s="44">
        <v>1.01</v>
      </c>
      <c r="EC365" s="44">
        <v>4.92</v>
      </c>
      <c r="ED365" s="44">
        <v>6.27</v>
      </c>
      <c r="EE365" s="44">
        <v>30.59</v>
      </c>
      <c r="EF365" s="44">
        <v>94.71</v>
      </c>
      <c r="EG365" s="44">
        <v>56.4</v>
      </c>
      <c r="EH365" s="44">
        <v>10.36</v>
      </c>
      <c r="EI365" s="44">
        <v>3.04</v>
      </c>
      <c r="EJ365" s="44">
        <v>267.14</v>
      </c>
      <c r="EM365" s="46"/>
      <c r="EN365" s="46"/>
      <c r="EO365" s="44">
        <v>53.08</v>
      </c>
      <c r="EP365" s="44">
        <v>171.88</v>
      </c>
      <c r="EQ365" s="44">
        <v>57.2</v>
      </c>
      <c r="ER365" s="44">
        <v>8.25</v>
      </c>
      <c r="ES365" s="44">
        <v>2.0</v>
      </c>
      <c r="ET365" s="44">
        <v>328.63</v>
      </c>
      <c r="EW365" s="44">
        <v>135.4</v>
      </c>
      <c r="EX365" s="44">
        <v>4.38</v>
      </c>
      <c r="EY365" s="47">
        <f t="shared" si="39"/>
        <v>-2.410717</v>
      </c>
      <c r="EZ365" s="47">
        <f t="shared" si="40"/>
        <v>0.9176408862</v>
      </c>
      <c r="FA365" s="48" t="str">
        <f t="shared" si="41"/>
        <v>Неблагоприятный</v>
      </c>
      <c r="FB365" s="44" t="s">
        <v>150</v>
      </c>
      <c r="FC365" s="39" t="s">
        <v>445</v>
      </c>
    </row>
    <row r="366">
      <c r="B366" s="45">
        <v>11.0</v>
      </c>
      <c r="C366" s="44">
        <v>313.0</v>
      </c>
      <c r="D366" s="39" t="s">
        <v>445</v>
      </c>
      <c r="E366" s="44">
        <v>67.0</v>
      </c>
      <c r="F366" s="1" t="s">
        <v>149</v>
      </c>
      <c r="H366" s="44">
        <v>7.0</v>
      </c>
      <c r="I366" s="1" t="s">
        <v>150</v>
      </c>
      <c r="J366" s="1" t="s">
        <v>150</v>
      </c>
      <c r="L366" s="1" t="s">
        <v>150</v>
      </c>
      <c r="M366" s="1" t="s">
        <v>150</v>
      </c>
      <c r="O366" s="1" t="s">
        <v>154</v>
      </c>
      <c r="P366" s="1" t="s">
        <v>150</v>
      </c>
      <c r="Q366" s="1" t="s">
        <v>154</v>
      </c>
      <c r="R366" s="44">
        <v>3.0</v>
      </c>
      <c r="S366" s="1" t="s">
        <v>154</v>
      </c>
      <c r="T366" s="44" t="s">
        <v>879</v>
      </c>
      <c r="Y366" s="1" t="s">
        <v>150</v>
      </c>
      <c r="AD366" s="44" t="s">
        <v>880</v>
      </c>
      <c r="AE366" s="1" t="s">
        <v>154</v>
      </c>
      <c r="AF366" s="44">
        <v>1.0</v>
      </c>
      <c r="AH366" s="1" t="s">
        <v>154</v>
      </c>
      <c r="AI366" s="44" t="s">
        <v>168</v>
      </c>
      <c r="AJ366" s="50">
        <v>45718.0</v>
      </c>
      <c r="AK366" s="1" t="s">
        <v>5</v>
      </c>
      <c r="AL366" s="1" t="s">
        <v>150</v>
      </c>
      <c r="AO366" s="1" t="s">
        <v>150</v>
      </c>
      <c r="AP366" s="44">
        <v>165.0</v>
      </c>
      <c r="AQ366" s="44">
        <v>65.0</v>
      </c>
      <c r="AT366" s="44">
        <v>120.0</v>
      </c>
      <c r="AU366" s="44">
        <v>75.0</v>
      </c>
      <c r="AW366" s="44">
        <v>100.0</v>
      </c>
      <c r="AX366" s="44">
        <v>38.0</v>
      </c>
      <c r="AY366" s="44">
        <v>23.0</v>
      </c>
      <c r="AZ366" s="44">
        <v>81.0</v>
      </c>
      <c r="BA366" s="1" t="s">
        <v>154</v>
      </c>
      <c r="BB366" s="44">
        <v>92.0</v>
      </c>
      <c r="BC366" s="9"/>
      <c r="BF366" s="44">
        <v>4.0</v>
      </c>
      <c r="BG366" s="1" t="s">
        <v>522</v>
      </c>
      <c r="BI366" s="1" t="s">
        <v>154</v>
      </c>
      <c r="BJ366" s="44" t="s">
        <v>237</v>
      </c>
      <c r="BK366" s="1" t="s">
        <v>150</v>
      </c>
      <c r="BM366" s="1" t="s">
        <v>150</v>
      </c>
      <c r="BO366" s="1" t="s">
        <v>522</v>
      </c>
      <c r="BR366" s="1" t="s">
        <v>154</v>
      </c>
      <c r="BS366" s="44" t="s">
        <v>303</v>
      </c>
      <c r="BT366" s="44">
        <v>180.0</v>
      </c>
      <c r="BU366" s="1" t="s">
        <v>303</v>
      </c>
      <c r="BV366" s="44">
        <v>180.0</v>
      </c>
      <c r="BW366" s="1" t="s">
        <v>150</v>
      </c>
      <c r="BX366" s="1" t="s">
        <v>150</v>
      </c>
      <c r="BZ366" s="1" t="s">
        <v>150</v>
      </c>
      <c r="CA366" s="1" t="s">
        <v>150</v>
      </c>
      <c r="CB366" s="1" t="s">
        <v>185</v>
      </c>
      <c r="CC366" s="15" t="s">
        <v>150</v>
      </c>
      <c r="CD366" s="1" t="s">
        <v>150</v>
      </c>
      <c r="CE366" s="1" t="s">
        <v>150</v>
      </c>
      <c r="CF366" s="1" t="s">
        <v>150</v>
      </c>
      <c r="CG366" s="1" t="s">
        <v>150</v>
      </c>
      <c r="CH366" s="1" t="s">
        <v>150</v>
      </c>
      <c r="CI366" s="1" t="s">
        <v>150</v>
      </c>
      <c r="CJ366" s="1" t="s">
        <v>154</v>
      </c>
      <c r="CK366" s="1" t="s">
        <v>150</v>
      </c>
      <c r="CM366" s="44">
        <v>15.8</v>
      </c>
      <c r="CN366" s="44">
        <v>91.3</v>
      </c>
      <c r="CP366" s="44">
        <v>4.0</v>
      </c>
      <c r="CR366" s="44">
        <v>4.2</v>
      </c>
      <c r="CT366" s="44">
        <v>0.1</v>
      </c>
      <c r="CW366" s="44">
        <v>4.9</v>
      </c>
      <c r="CX366" s="44">
        <v>138.0</v>
      </c>
      <c r="CZ366" s="46"/>
      <c r="DA366" s="44">
        <v>332.0</v>
      </c>
      <c r="DB366" s="46"/>
      <c r="DC366" s="44">
        <v>13.6</v>
      </c>
      <c r="DD366" s="44">
        <v>93.6</v>
      </c>
      <c r="DF366" s="44">
        <v>3.5</v>
      </c>
      <c r="DH366" s="44">
        <v>2.5</v>
      </c>
      <c r="DJ366" s="44">
        <v>0.4</v>
      </c>
      <c r="DM366" s="44">
        <v>4.21</v>
      </c>
      <c r="DN366" s="44">
        <v>116.0</v>
      </c>
      <c r="DP366" s="46"/>
      <c r="DQ366" s="44">
        <v>210.0</v>
      </c>
      <c r="DR366" s="46"/>
      <c r="DS366" s="46"/>
      <c r="DT366" s="46"/>
      <c r="DU366" s="44">
        <v>14.3</v>
      </c>
      <c r="DV366" s="44">
        <v>1.22</v>
      </c>
      <c r="DW366" s="46"/>
      <c r="DX366" s="46"/>
      <c r="DY366" s="46"/>
      <c r="DZ366" s="46"/>
      <c r="EA366" s="46"/>
      <c r="EC366" s="44">
        <v>9.22</v>
      </c>
      <c r="ED366" s="44">
        <v>7.56</v>
      </c>
      <c r="EE366" s="44">
        <v>24.89</v>
      </c>
      <c r="EF366" s="44">
        <v>46.61</v>
      </c>
      <c r="EG366" s="44">
        <v>64.5</v>
      </c>
      <c r="EH366" s="44">
        <v>5.68</v>
      </c>
      <c r="EI366" s="44">
        <v>1.24</v>
      </c>
      <c r="EJ366" s="44">
        <v>104.72</v>
      </c>
      <c r="EM366" s="46"/>
      <c r="EN366" s="46"/>
      <c r="EO366" s="44">
        <v>22.95</v>
      </c>
      <c r="EP366" s="44">
        <v>26.78</v>
      </c>
      <c r="EQ366" s="44">
        <v>54.1</v>
      </c>
      <c r="ER366" s="44">
        <v>7.11</v>
      </c>
      <c r="ES366" s="44">
        <v>1.31</v>
      </c>
      <c r="ET366" s="44">
        <v>38.49</v>
      </c>
      <c r="EW366" s="46"/>
      <c r="EX366" s="46"/>
      <c r="EY366" s="47">
        <f t="shared" si="39"/>
        <v>3.769283</v>
      </c>
      <c r="EZ366" s="47">
        <f t="shared" si="40"/>
        <v>0.02254843673</v>
      </c>
      <c r="FA366" s="48" t="str">
        <f t="shared" si="41"/>
        <v>Благоприятный</v>
      </c>
      <c r="FB366" s="44" t="s">
        <v>256</v>
      </c>
      <c r="FC366" s="39" t="s">
        <v>445</v>
      </c>
    </row>
    <row r="367">
      <c r="B367" s="45">
        <v>12.0</v>
      </c>
      <c r="C367" s="44">
        <v>390.0</v>
      </c>
      <c r="D367" s="39" t="s">
        <v>445</v>
      </c>
      <c r="E367" s="44">
        <v>69.0</v>
      </c>
      <c r="F367" s="1" t="s">
        <v>161</v>
      </c>
      <c r="H367" s="44">
        <v>10.0</v>
      </c>
      <c r="I367" s="1" t="s">
        <v>150</v>
      </c>
      <c r="J367" s="1" t="s">
        <v>154</v>
      </c>
      <c r="K367" s="44" t="s">
        <v>881</v>
      </c>
      <c r="L367" s="1" t="s">
        <v>150</v>
      </c>
      <c r="M367" s="1" t="s">
        <v>150</v>
      </c>
      <c r="O367" s="1" t="s">
        <v>150</v>
      </c>
      <c r="P367" s="1" t="s">
        <v>150</v>
      </c>
      <c r="Q367" s="1" t="s">
        <v>154</v>
      </c>
      <c r="R367" s="44">
        <v>3.0</v>
      </c>
      <c r="S367" s="1" t="s">
        <v>154</v>
      </c>
      <c r="T367" s="44" t="s">
        <v>882</v>
      </c>
      <c r="U367" s="44" t="s">
        <v>875</v>
      </c>
      <c r="W367" s="44">
        <v>3.0</v>
      </c>
      <c r="Y367" s="1" t="s">
        <v>150</v>
      </c>
      <c r="AD367" s="44" t="s">
        <v>883</v>
      </c>
      <c r="AE367" s="1" t="s">
        <v>154</v>
      </c>
      <c r="AF367" s="44">
        <v>2.0</v>
      </c>
      <c r="AH367" s="1" t="s">
        <v>154</v>
      </c>
      <c r="AI367" s="44" t="s">
        <v>153</v>
      </c>
      <c r="AJ367" s="46"/>
      <c r="AK367" s="1" t="s">
        <v>5</v>
      </c>
      <c r="AL367" s="1" t="s">
        <v>150</v>
      </c>
      <c r="AO367" s="1" t="s">
        <v>154</v>
      </c>
      <c r="AP367" s="46"/>
      <c r="AQ367" s="46"/>
      <c r="AR367" s="46"/>
      <c r="AT367" s="44">
        <v>130.0</v>
      </c>
      <c r="AU367" s="44">
        <v>80.0</v>
      </c>
      <c r="AW367" s="44">
        <v>78.0</v>
      </c>
      <c r="AX367" s="44">
        <v>36.8</v>
      </c>
      <c r="AY367" s="44">
        <v>22.0</v>
      </c>
      <c r="AZ367" s="44">
        <v>92.0</v>
      </c>
      <c r="BA367" s="1" t="s">
        <v>154</v>
      </c>
      <c r="BB367" s="44">
        <v>94.0</v>
      </c>
      <c r="BC367" s="9"/>
      <c r="BF367" s="44">
        <v>4.0</v>
      </c>
      <c r="BG367" s="1" t="s">
        <v>154</v>
      </c>
      <c r="BI367" s="1" t="s">
        <v>154</v>
      </c>
      <c r="BJ367" s="44" t="s">
        <v>237</v>
      </c>
      <c r="BK367" s="1" t="s">
        <v>150</v>
      </c>
      <c r="BM367" s="1" t="s">
        <v>154</v>
      </c>
      <c r="BN367" s="44" t="s">
        <v>155</v>
      </c>
      <c r="BO367" s="1" t="s">
        <v>154</v>
      </c>
      <c r="BR367" s="1" t="s">
        <v>154</v>
      </c>
      <c r="BS367" s="44" t="s">
        <v>170</v>
      </c>
      <c r="BT367" s="44">
        <v>8.0</v>
      </c>
      <c r="BU367" s="1" t="s">
        <v>170</v>
      </c>
      <c r="BV367" s="44">
        <v>16.0</v>
      </c>
      <c r="BW367" s="1" t="s">
        <v>150</v>
      </c>
      <c r="BX367" s="1" t="s">
        <v>150</v>
      </c>
      <c r="BZ367" s="1" t="s">
        <v>158</v>
      </c>
      <c r="CA367" s="1" t="s">
        <v>150</v>
      </c>
      <c r="CB367" s="1" t="s">
        <v>150</v>
      </c>
      <c r="CC367" s="15" t="s">
        <v>150</v>
      </c>
      <c r="CD367" s="1" t="s">
        <v>150</v>
      </c>
      <c r="CE367" s="1" t="s">
        <v>150</v>
      </c>
      <c r="CF367" s="1" t="s">
        <v>240</v>
      </c>
      <c r="CG367" s="1" t="s">
        <v>150</v>
      </c>
      <c r="CH367" s="1" t="s">
        <v>150</v>
      </c>
      <c r="CI367" s="1" t="s">
        <v>150</v>
      </c>
      <c r="CJ367" s="1" t="s">
        <v>150</v>
      </c>
      <c r="CK367" s="1" t="s">
        <v>150</v>
      </c>
      <c r="CL367" s="44" t="s">
        <v>884</v>
      </c>
      <c r="CM367" s="44">
        <v>17.2</v>
      </c>
      <c r="CN367" s="46"/>
      <c r="CP367" s="44">
        <v>9.0</v>
      </c>
      <c r="CR367" s="44">
        <v>4.2</v>
      </c>
      <c r="CT367" s="44">
        <v>0.1</v>
      </c>
      <c r="CW367" s="44">
        <v>3.52</v>
      </c>
      <c r="CX367" s="44">
        <v>89.0</v>
      </c>
      <c r="CZ367" s="44">
        <v>36.8</v>
      </c>
      <c r="DA367" s="46"/>
      <c r="DB367" s="46"/>
      <c r="DC367" s="44">
        <v>26.4</v>
      </c>
      <c r="DD367" s="46"/>
      <c r="DF367" s="44">
        <v>4.5</v>
      </c>
      <c r="DH367" s="44">
        <v>0.7</v>
      </c>
      <c r="DJ367" s="44">
        <v>0.9</v>
      </c>
      <c r="DM367" s="44">
        <v>4.38</v>
      </c>
      <c r="DN367" s="44">
        <v>112.0</v>
      </c>
      <c r="DP367" s="44">
        <v>28.4</v>
      </c>
      <c r="DQ367" s="46"/>
      <c r="DR367" s="46"/>
      <c r="DS367" s="44">
        <v>954.0</v>
      </c>
      <c r="DT367" s="44">
        <v>23.4</v>
      </c>
      <c r="DU367" s="46"/>
      <c r="DV367" s="44">
        <v>1.1</v>
      </c>
      <c r="DW367" s="46"/>
      <c r="DX367" s="44">
        <v>830.6</v>
      </c>
      <c r="DY367" s="44">
        <v>38.5</v>
      </c>
      <c r="DZ367" s="46"/>
      <c r="EA367" s="44">
        <v>1.44</v>
      </c>
      <c r="EC367" s="44">
        <v>4.9</v>
      </c>
      <c r="ED367" s="44">
        <v>6.1</v>
      </c>
      <c r="EE367" s="44">
        <v>13.6</v>
      </c>
      <c r="EF367" s="44">
        <v>19.6</v>
      </c>
      <c r="EG367" s="44">
        <v>43.5</v>
      </c>
      <c r="EH367" s="44">
        <v>6.81</v>
      </c>
      <c r="EI367" s="44">
        <v>1.95</v>
      </c>
      <c r="EJ367" s="44">
        <v>68.5</v>
      </c>
      <c r="EM367" s="46"/>
      <c r="EN367" s="46"/>
      <c r="EO367" s="44">
        <v>10.6</v>
      </c>
      <c r="EP367" s="44">
        <v>13.6</v>
      </c>
      <c r="EQ367" s="44">
        <v>61.1</v>
      </c>
      <c r="ER367" s="44">
        <v>13.34</v>
      </c>
      <c r="ES367" s="44">
        <v>4.69</v>
      </c>
      <c r="ET367" s="44">
        <v>126.1</v>
      </c>
      <c r="EW367" s="46"/>
      <c r="EX367" s="46"/>
      <c r="EY367" s="47">
        <f t="shared" si="39"/>
        <v>4.36896</v>
      </c>
      <c r="EZ367" s="47">
        <f t="shared" si="40"/>
        <v>0.01250602336</v>
      </c>
      <c r="FA367" s="48" t="str">
        <f t="shared" si="41"/>
        <v>Благоприятный</v>
      </c>
      <c r="FB367" s="44" t="s">
        <v>256</v>
      </c>
      <c r="FC367" s="39" t="s">
        <v>445</v>
      </c>
    </row>
    <row r="368">
      <c r="B368" s="45">
        <v>13.0</v>
      </c>
      <c r="C368" s="44">
        <v>373.0</v>
      </c>
      <c r="D368" s="39" t="s">
        <v>445</v>
      </c>
      <c r="E368" s="44">
        <v>85.0</v>
      </c>
      <c r="F368" s="1" t="s">
        <v>149</v>
      </c>
      <c r="H368" s="44">
        <v>6.0</v>
      </c>
      <c r="I368" s="1" t="s">
        <v>150</v>
      </c>
      <c r="J368" s="1" t="s">
        <v>150</v>
      </c>
      <c r="L368" s="1" t="s">
        <v>150</v>
      </c>
      <c r="M368" s="1" t="s">
        <v>150</v>
      </c>
      <c r="O368" s="1" t="s">
        <v>150</v>
      </c>
      <c r="P368" s="1" t="s">
        <v>150</v>
      </c>
      <c r="Q368" s="1" t="s">
        <v>154</v>
      </c>
      <c r="R368" s="44">
        <v>3.0</v>
      </c>
      <c r="S368" s="1" t="s">
        <v>150</v>
      </c>
      <c r="U368" s="44" t="s">
        <v>875</v>
      </c>
      <c r="W368" s="44">
        <v>2.0</v>
      </c>
      <c r="Y368" s="1" t="s">
        <v>150</v>
      </c>
      <c r="AD368" s="44" t="s">
        <v>885</v>
      </c>
      <c r="AE368" s="1" t="s">
        <v>154</v>
      </c>
      <c r="AF368" s="44">
        <v>6.0</v>
      </c>
      <c r="AH368" s="1" t="s">
        <v>154</v>
      </c>
      <c r="AI368" s="44" t="s">
        <v>168</v>
      </c>
      <c r="AJ368" s="46"/>
      <c r="AK368" s="1" t="s">
        <v>5</v>
      </c>
      <c r="AL368" s="1" t="s">
        <v>150</v>
      </c>
      <c r="AO368" s="1" t="s">
        <v>150</v>
      </c>
      <c r="AR368" s="44">
        <v>24.1</v>
      </c>
      <c r="AT368" s="44">
        <v>120.0</v>
      </c>
      <c r="AU368" s="44">
        <v>70.0</v>
      </c>
      <c r="AW368" s="44">
        <v>91.0</v>
      </c>
      <c r="AX368" s="44">
        <v>36.6</v>
      </c>
      <c r="AY368" s="44">
        <v>22.0</v>
      </c>
      <c r="AZ368" s="44">
        <v>89.0</v>
      </c>
      <c r="BA368" s="1" t="s">
        <v>154</v>
      </c>
      <c r="BB368" s="44">
        <v>93.0</v>
      </c>
      <c r="BC368" s="9"/>
      <c r="BF368" s="46"/>
      <c r="BG368" s="1" t="s">
        <v>150</v>
      </c>
      <c r="BI368" s="1" t="s">
        <v>154</v>
      </c>
      <c r="BJ368" s="44" t="s">
        <v>237</v>
      </c>
      <c r="BK368" s="1" t="s">
        <v>150</v>
      </c>
      <c r="BM368" s="1" t="s">
        <v>154</v>
      </c>
      <c r="BN368" s="44" t="s">
        <v>155</v>
      </c>
      <c r="BO368" s="1" t="s">
        <v>150</v>
      </c>
      <c r="BR368" s="1" t="s">
        <v>154</v>
      </c>
      <c r="BS368" s="44" t="s">
        <v>170</v>
      </c>
      <c r="BT368" s="44">
        <v>16.0</v>
      </c>
      <c r="BU368" s="1" t="s">
        <v>170</v>
      </c>
      <c r="BV368" s="44">
        <v>16.0</v>
      </c>
      <c r="BW368" s="1" t="s">
        <v>150</v>
      </c>
      <c r="BX368" s="1" t="s">
        <v>150</v>
      </c>
      <c r="BZ368" s="1" t="s">
        <v>158</v>
      </c>
      <c r="CA368" s="1" t="s">
        <v>154</v>
      </c>
      <c r="CB368" s="1" t="s">
        <v>185</v>
      </c>
      <c r="CC368" s="15" t="s">
        <v>150</v>
      </c>
      <c r="CD368" s="1" t="s">
        <v>154</v>
      </c>
      <c r="CE368" s="1" t="s">
        <v>150</v>
      </c>
      <c r="CF368" s="1" t="s">
        <v>150</v>
      </c>
      <c r="CG368" s="1" t="s">
        <v>150</v>
      </c>
      <c r="CH368" s="1" t="s">
        <v>150</v>
      </c>
      <c r="CI368" s="1" t="s">
        <v>150</v>
      </c>
      <c r="CJ368" s="1" t="s">
        <v>154</v>
      </c>
      <c r="CK368" s="1" t="s">
        <v>150</v>
      </c>
      <c r="CL368" s="44" t="s">
        <v>886</v>
      </c>
      <c r="CM368" s="44">
        <v>7.5</v>
      </c>
      <c r="CN368" s="44">
        <v>83.2</v>
      </c>
      <c r="CP368" s="44">
        <v>13.3</v>
      </c>
      <c r="CR368" s="44">
        <v>3.1</v>
      </c>
      <c r="CT368" s="44">
        <v>0.0</v>
      </c>
      <c r="CW368" s="44">
        <v>4.85</v>
      </c>
      <c r="CX368" s="44">
        <v>143.0</v>
      </c>
      <c r="CZ368" s="46"/>
      <c r="DA368" s="44">
        <v>178.0</v>
      </c>
      <c r="DB368" s="46"/>
      <c r="DC368" s="44">
        <v>10.0</v>
      </c>
      <c r="DD368" s="44">
        <v>90.6</v>
      </c>
      <c r="DF368" s="44">
        <v>6.0</v>
      </c>
      <c r="DH368" s="44">
        <v>3.2</v>
      </c>
      <c r="DJ368" s="44">
        <v>0.0</v>
      </c>
      <c r="DM368" s="44">
        <v>4.56</v>
      </c>
      <c r="DN368" s="44">
        <v>136.0</v>
      </c>
      <c r="DP368" s="46"/>
      <c r="DQ368" s="44">
        <v>231.0</v>
      </c>
      <c r="DR368" s="44">
        <v>40.0</v>
      </c>
      <c r="DS368" s="44">
        <v>781.0</v>
      </c>
      <c r="DT368" s="46"/>
      <c r="DU368" s="44">
        <v>11.1</v>
      </c>
      <c r="DV368" s="44">
        <v>0.95</v>
      </c>
      <c r="DW368" s="46"/>
      <c r="DX368" s="46"/>
      <c r="DY368" s="46"/>
      <c r="DZ368" s="46"/>
      <c r="EA368" s="46"/>
      <c r="EC368" s="44">
        <v>4.37</v>
      </c>
      <c r="ED368" s="44">
        <v>4.57</v>
      </c>
      <c r="EE368" s="44">
        <v>27.86</v>
      </c>
      <c r="EF368" s="44">
        <v>65.31</v>
      </c>
      <c r="EG368" s="44">
        <v>59.0</v>
      </c>
      <c r="EH368" s="44">
        <v>15.74</v>
      </c>
      <c r="EI368" s="44">
        <v>5.19</v>
      </c>
      <c r="EJ368" s="44">
        <v>95.88</v>
      </c>
      <c r="EM368" s="44">
        <v>138.0</v>
      </c>
      <c r="EN368" s="44">
        <v>4.38</v>
      </c>
      <c r="EO368" s="44">
        <v>74.58</v>
      </c>
      <c r="EP368" s="44">
        <v>129.85</v>
      </c>
      <c r="EQ368" s="44">
        <v>58.0</v>
      </c>
      <c r="ER368" s="44">
        <v>13.05</v>
      </c>
      <c r="ES368" s="44">
        <v>4.8</v>
      </c>
      <c r="ET368" s="44">
        <v>113.74</v>
      </c>
      <c r="EW368" s="44">
        <v>137.8</v>
      </c>
      <c r="EX368" s="44">
        <v>3.53</v>
      </c>
      <c r="EY368" s="47">
        <f t="shared" si="39"/>
        <v>0.848821</v>
      </c>
      <c r="EZ368" s="47">
        <f t="shared" si="40"/>
        <v>0.2996802382</v>
      </c>
      <c r="FA368" s="48" t="str">
        <f t="shared" si="41"/>
        <v>Благоприятный</v>
      </c>
      <c r="FB368" s="44" t="s">
        <v>256</v>
      </c>
      <c r="FC368" s="39" t="s">
        <v>445</v>
      </c>
    </row>
    <row r="369">
      <c r="B369" s="45">
        <v>14.0</v>
      </c>
      <c r="C369" s="44">
        <v>362.0</v>
      </c>
      <c r="D369" s="39" t="s">
        <v>445</v>
      </c>
      <c r="E369" s="44">
        <v>75.0</v>
      </c>
      <c r="F369" s="1" t="s">
        <v>149</v>
      </c>
      <c r="H369" s="44">
        <v>24.0</v>
      </c>
      <c r="I369" s="1" t="s">
        <v>150</v>
      </c>
      <c r="J369" s="1" t="s">
        <v>154</v>
      </c>
      <c r="K369" s="44" t="s">
        <v>887</v>
      </c>
      <c r="L369" s="1" t="s">
        <v>154</v>
      </c>
      <c r="M369" s="1" t="s">
        <v>154</v>
      </c>
      <c r="O369" s="1" t="s">
        <v>150</v>
      </c>
      <c r="P369" s="1" t="s">
        <v>154</v>
      </c>
      <c r="Q369" s="1" t="s">
        <v>154</v>
      </c>
      <c r="R369" s="44">
        <v>3.0</v>
      </c>
      <c r="S369" s="1" t="s">
        <v>154</v>
      </c>
      <c r="T369" s="44" t="s">
        <v>165</v>
      </c>
      <c r="U369" s="44" t="s">
        <v>461</v>
      </c>
      <c r="X369" s="44" t="s">
        <v>888</v>
      </c>
      <c r="Y369" s="1" t="s">
        <v>150</v>
      </c>
      <c r="AD369" s="44" t="s">
        <v>889</v>
      </c>
      <c r="AE369" s="1" t="s">
        <v>154</v>
      </c>
      <c r="AF369" s="44">
        <v>19.0</v>
      </c>
      <c r="AH369" s="1" t="s">
        <v>154</v>
      </c>
      <c r="AI369" s="44" t="s">
        <v>168</v>
      </c>
      <c r="AJ369" s="44">
        <v>2.0</v>
      </c>
      <c r="AK369" s="1" t="s">
        <v>5</v>
      </c>
      <c r="AL369" s="1" t="s">
        <v>150</v>
      </c>
      <c r="AO369" s="1" t="s">
        <v>150</v>
      </c>
      <c r="AR369" s="44">
        <v>26.4</v>
      </c>
      <c r="AT369" s="44">
        <v>150.0</v>
      </c>
      <c r="AU369" s="44">
        <v>90.0</v>
      </c>
      <c r="AW369" s="44">
        <v>90.0</v>
      </c>
      <c r="AX369" s="44">
        <v>37.5</v>
      </c>
      <c r="AY369" s="44">
        <v>21.0</v>
      </c>
      <c r="AZ369" s="44">
        <v>81.0</v>
      </c>
      <c r="BA369" s="1" t="s">
        <v>154</v>
      </c>
      <c r="BB369" s="44">
        <v>90.0</v>
      </c>
      <c r="BC369" s="9"/>
      <c r="BF369" s="44">
        <v>4.0</v>
      </c>
      <c r="BG369" s="1" t="s">
        <v>522</v>
      </c>
      <c r="BI369" s="1" t="s">
        <v>154</v>
      </c>
      <c r="BJ369" s="44" t="s">
        <v>642</v>
      </c>
      <c r="BK369" s="1" t="s">
        <v>150</v>
      </c>
      <c r="BM369" s="1" t="s">
        <v>154</v>
      </c>
      <c r="BN369" s="44" t="s">
        <v>155</v>
      </c>
      <c r="BO369" s="1" t="s">
        <v>522</v>
      </c>
      <c r="BR369" s="1" t="s">
        <v>154</v>
      </c>
      <c r="BS369" s="44" t="s">
        <v>890</v>
      </c>
      <c r="BT369" s="44">
        <v>12.0</v>
      </c>
      <c r="BU369" s="1" t="s">
        <v>170</v>
      </c>
      <c r="BV369" s="44">
        <v>12.0</v>
      </c>
      <c r="BW369" s="1" t="s">
        <v>154</v>
      </c>
      <c r="BX369" s="1" t="s">
        <v>150</v>
      </c>
      <c r="BZ369" s="1" t="s">
        <v>158</v>
      </c>
      <c r="CA369" s="1" t="s">
        <v>154</v>
      </c>
      <c r="CB369" s="1" t="s">
        <v>185</v>
      </c>
      <c r="CC369" s="15" t="s">
        <v>197</v>
      </c>
      <c r="CD369" s="1" t="s">
        <v>150</v>
      </c>
      <c r="CE369" s="1" t="s">
        <v>150</v>
      </c>
      <c r="CF369" s="1" t="s">
        <v>150</v>
      </c>
      <c r="CG369" s="1" t="s">
        <v>150</v>
      </c>
      <c r="CH369" s="1" t="s">
        <v>150</v>
      </c>
      <c r="CI369" s="1" t="s">
        <v>150</v>
      </c>
      <c r="CJ369" s="1" t="s">
        <v>150</v>
      </c>
      <c r="CK369" s="1" t="s">
        <v>150</v>
      </c>
      <c r="CL369" s="44" t="s">
        <v>891</v>
      </c>
      <c r="CM369" s="44">
        <v>15.5</v>
      </c>
      <c r="CN369" s="44">
        <v>88.2</v>
      </c>
      <c r="CP369" s="44">
        <v>5.9</v>
      </c>
      <c r="CR369" s="44">
        <v>5.7</v>
      </c>
      <c r="CT369" s="44">
        <v>0.0</v>
      </c>
      <c r="CW369" s="44">
        <v>4.08</v>
      </c>
      <c r="CX369" s="44">
        <v>113.0</v>
      </c>
      <c r="CZ369" s="46"/>
      <c r="DA369" s="44">
        <v>368.0</v>
      </c>
      <c r="DB369" s="46"/>
      <c r="DC369" s="44">
        <v>7.6</v>
      </c>
      <c r="DD369" s="44">
        <v>95.0</v>
      </c>
      <c r="DF369" s="44">
        <v>2.4</v>
      </c>
      <c r="DH369" s="44">
        <v>2.0</v>
      </c>
      <c r="DJ369" s="44">
        <v>0.0</v>
      </c>
      <c r="DM369" s="44">
        <v>4.41</v>
      </c>
      <c r="DN369" s="44">
        <v>123.0</v>
      </c>
      <c r="DP369" s="46"/>
      <c r="DQ369" s="44">
        <v>57.0</v>
      </c>
      <c r="DR369" s="44">
        <v>95.0</v>
      </c>
      <c r="DS369" s="44">
        <v>888.0</v>
      </c>
      <c r="DT369" s="46"/>
      <c r="DU369" s="44">
        <v>15.8</v>
      </c>
      <c r="DV369" s="44">
        <v>1.35</v>
      </c>
      <c r="DW369" s="46"/>
      <c r="DX369" s="44">
        <v>325.0</v>
      </c>
      <c r="DY369" s="46"/>
      <c r="DZ369" s="44">
        <v>12.4</v>
      </c>
      <c r="EA369" s="44">
        <v>1.25</v>
      </c>
      <c r="EC369" s="44">
        <v>4.15</v>
      </c>
      <c r="ED369" s="44">
        <v>13.61</v>
      </c>
      <c r="EE369" s="44">
        <v>14.73</v>
      </c>
      <c r="EF369" s="44">
        <v>18.67</v>
      </c>
      <c r="EG369" s="44">
        <v>57.3</v>
      </c>
      <c r="EH369" s="44">
        <v>6.94</v>
      </c>
      <c r="EI369" s="44">
        <v>1.99</v>
      </c>
      <c r="EJ369" s="44">
        <v>80.45</v>
      </c>
      <c r="EM369" s="46"/>
      <c r="EN369" s="46"/>
      <c r="EO369" s="44">
        <v>27.9</v>
      </c>
      <c r="EP369" s="44">
        <v>30.6</v>
      </c>
      <c r="EQ369" s="44">
        <v>38.5</v>
      </c>
      <c r="ER369" s="44">
        <v>21.9</v>
      </c>
      <c r="ES369" s="44">
        <v>10.4</v>
      </c>
      <c r="ET369" s="44">
        <v>133.0</v>
      </c>
      <c r="EW369" s="44">
        <v>145.5</v>
      </c>
      <c r="EX369" s="44">
        <v>3.89</v>
      </c>
      <c r="EY369" s="47">
        <f t="shared" si="39"/>
        <v>0.977361</v>
      </c>
      <c r="EZ369" s="47">
        <f t="shared" si="40"/>
        <v>0.2734157327</v>
      </c>
      <c r="FA369" s="48" t="str">
        <f t="shared" si="41"/>
        <v>Благоприятный</v>
      </c>
      <c r="FB369" s="44" t="s">
        <v>256</v>
      </c>
      <c r="FC369" s="39" t="s">
        <v>445</v>
      </c>
    </row>
    <row r="370">
      <c r="B370" s="45">
        <v>15.0</v>
      </c>
      <c r="C370" s="44">
        <v>462.0</v>
      </c>
      <c r="D370" s="39" t="s">
        <v>445</v>
      </c>
      <c r="E370" s="44">
        <v>75.0</v>
      </c>
      <c r="F370" s="1" t="s">
        <v>149</v>
      </c>
      <c r="H370" s="44">
        <v>22.0</v>
      </c>
      <c r="I370" s="1" t="s">
        <v>150</v>
      </c>
      <c r="J370" s="1" t="s">
        <v>150</v>
      </c>
      <c r="L370" s="1" t="s">
        <v>154</v>
      </c>
      <c r="M370" s="1" t="s">
        <v>154</v>
      </c>
      <c r="O370" s="1" t="s">
        <v>154</v>
      </c>
      <c r="P370" s="1" t="s">
        <v>154</v>
      </c>
      <c r="Q370" s="1" t="s">
        <v>150</v>
      </c>
      <c r="S370" s="1" t="s">
        <v>154</v>
      </c>
      <c r="T370" s="44" t="s">
        <v>165</v>
      </c>
      <c r="U370" s="44" t="s">
        <v>764</v>
      </c>
      <c r="W370" s="44">
        <v>3.0</v>
      </c>
      <c r="Y370" s="1" t="s">
        <v>150</v>
      </c>
      <c r="AD370" s="44" t="s">
        <v>892</v>
      </c>
      <c r="AE370" s="1" t="s">
        <v>154</v>
      </c>
      <c r="AF370" s="44">
        <v>17.0</v>
      </c>
      <c r="AH370" s="1" t="s">
        <v>154</v>
      </c>
      <c r="AI370" s="44" t="s">
        <v>168</v>
      </c>
      <c r="AJ370" s="46"/>
      <c r="AK370" s="1" t="s">
        <v>5</v>
      </c>
      <c r="AL370" s="1" t="s">
        <v>150</v>
      </c>
      <c r="AO370" s="1" t="s">
        <v>150</v>
      </c>
      <c r="AP370" s="46"/>
      <c r="AQ370" s="46"/>
      <c r="AR370" s="46"/>
      <c r="AT370" s="44">
        <v>140.0</v>
      </c>
      <c r="AU370" s="44">
        <v>88.0</v>
      </c>
      <c r="AW370" s="44">
        <v>95.0</v>
      </c>
      <c r="AX370" s="44">
        <v>36.0</v>
      </c>
      <c r="AY370" s="44">
        <v>24.0</v>
      </c>
      <c r="AZ370" s="44">
        <v>88.0</v>
      </c>
      <c r="BA370" s="1" t="s">
        <v>154</v>
      </c>
      <c r="BB370" s="44">
        <v>95.0</v>
      </c>
      <c r="BC370" s="9"/>
      <c r="BF370" s="46"/>
      <c r="BG370" s="1" t="s">
        <v>154</v>
      </c>
      <c r="BI370" s="1" t="s">
        <v>154</v>
      </c>
      <c r="BJ370" s="44" t="s">
        <v>237</v>
      </c>
      <c r="BK370" s="1" t="s">
        <v>150</v>
      </c>
      <c r="BM370" s="1" t="s">
        <v>154</v>
      </c>
      <c r="BN370" s="44" t="s">
        <v>155</v>
      </c>
      <c r="BO370" s="1" t="s">
        <v>522</v>
      </c>
      <c r="BR370" s="1" t="s">
        <v>154</v>
      </c>
      <c r="BS370" s="44" t="s">
        <v>303</v>
      </c>
      <c r="BT370" s="44">
        <v>120.0</v>
      </c>
      <c r="BU370" s="1" t="s">
        <v>303</v>
      </c>
      <c r="BV370" s="44">
        <v>120.0</v>
      </c>
      <c r="BW370" s="1" t="s">
        <v>154</v>
      </c>
      <c r="BX370" s="1" t="s">
        <v>150</v>
      </c>
      <c r="BZ370" s="1" t="s">
        <v>158</v>
      </c>
      <c r="CA370" s="1" t="s">
        <v>150</v>
      </c>
      <c r="CB370" s="1" t="s">
        <v>150</v>
      </c>
      <c r="CC370" s="15" t="s">
        <v>150</v>
      </c>
      <c r="CD370" s="1" t="s">
        <v>150</v>
      </c>
      <c r="CE370" s="1" t="s">
        <v>150</v>
      </c>
      <c r="CF370" s="1" t="s">
        <v>240</v>
      </c>
      <c r="CG370" s="1" t="s">
        <v>150</v>
      </c>
      <c r="CH370" s="1" t="s">
        <v>150</v>
      </c>
      <c r="CI370" s="1" t="s">
        <v>150</v>
      </c>
      <c r="CJ370" s="1" t="s">
        <v>154</v>
      </c>
      <c r="CK370" s="1" t="s">
        <v>150</v>
      </c>
      <c r="CL370" s="44" t="s">
        <v>574</v>
      </c>
      <c r="CM370" s="44">
        <v>11.8</v>
      </c>
      <c r="CN370" s="44">
        <v>80.9</v>
      </c>
      <c r="CP370" s="44">
        <v>15.1</v>
      </c>
      <c r="CR370" s="44">
        <v>3.7</v>
      </c>
      <c r="CT370" s="44">
        <v>0.0</v>
      </c>
      <c r="CW370" s="44">
        <v>4.92</v>
      </c>
      <c r="CX370" s="44">
        <v>129.0</v>
      </c>
      <c r="CZ370" s="46"/>
      <c r="DA370" s="44">
        <v>277.0</v>
      </c>
      <c r="DB370" s="44">
        <v>102.0</v>
      </c>
      <c r="DC370" s="44">
        <v>9.3</v>
      </c>
      <c r="DD370" s="44">
        <v>83.5</v>
      </c>
      <c r="DF370" s="44">
        <v>13.0</v>
      </c>
      <c r="DH370" s="44">
        <v>2.1</v>
      </c>
      <c r="DJ370" s="44">
        <v>0.8</v>
      </c>
      <c r="DM370" s="44">
        <v>4.87</v>
      </c>
      <c r="DN370" s="44">
        <v>129.0</v>
      </c>
      <c r="DP370" s="46"/>
      <c r="DQ370" s="44">
        <v>80.0</v>
      </c>
      <c r="DR370" s="44">
        <v>87.0</v>
      </c>
      <c r="DS370" s="44">
        <v>400.0</v>
      </c>
      <c r="DT370" s="46"/>
      <c r="DU370" s="44">
        <v>11.5</v>
      </c>
      <c r="DV370" s="44">
        <v>0.98</v>
      </c>
      <c r="DW370" s="46"/>
      <c r="DX370" s="44">
        <v>380.0</v>
      </c>
      <c r="DY370" s="44">
        <v>23.4</v>
      </c>
      <c r="DZ370" s="44">
        <v>11.2</v>
      </c>
      <c r="EA370" s="44">
        <v>0.95</v>
      </c>
      <c r="EC370" s="44">
        <v>10.24</v>
      </c>
      <c r="ED370" s="44">
        <v>23.99</v>
      </c>
      <c r="EE370" s="44">
        <v>15.21</v>
      </c>
      <c r="EF370" s="44">
        <v>14.0</v>
      </c>
      <c r="EG370" s="44">
        <v>66.9</v>
      </c>
      <c r="EH370" s="44">
        <v>8.15</v>
      </c>
      <c r="EI370" s="44">
        <v>1.56</v>
      </c>
      <c r="EJ370" s="44">
        <v>749.62</v>
      </c>
      <c r="EM370" s="44">
        <v>135.7</v>
      </c>
      <c r="EN370" s="44">
        <v>6.52</v>
      </c>
      <c r="EO370" s="44">
        <v>4.2</v>
      </c>
      <c r="EP370" s="44">
        <v>1.3</v>
      </c>
      <c r="EQ370" s="44">
        <v>51.7</v>
      </c>
      <c r="ER370" s="44">
        <v>13.8</v>
      </c>
      <c r="ES370" s="44">
        <v>4.8</v>
      </c>
      <c r="ET370" s="44">
        <v>160.0</v>
      </c>
      <c r="EW370" s="44">
        <v>124.5</v>
      </c>
      <c r="EX370" s="44">
        <v>5.42</v>
      </c>
      <c r="EY370" s="47">
        <f t="shared" si="39"/>
        <v>5.830114</v>
      </c>
      <c r="EZ370" s="47">
        <f t="shared" si="40"/>
        <v>0.00292913701</v>
      </c>
      <c r="FA370" s="48" t="str">
        <f t="shared" si="41"/>
        <v>Благоприятный</v>
      </c>
      <c r="FB370" s="44" t="s">
        <v>256</v>
      </c>
      <c r="FC370" s="39" t="s">
        <v>445</v>
      </c>
    </row>
    <row r="371">
      <c r="B371" s="45">
        <v>16.0</v>
      </c>
      <c r="C371" s="44">
        <v>463.0</v>
      </c>
      <c r="D371" s="39" t="s">
        <v>445</v>
      </c>
      <c r="E371" s="44">
        <v>67.0</v>
      </c>
      <c r="F371" s="1" t="s">
        <v>149</v>
      </c>
      <c r="H371" s="44">
        <v>12.0</v>
      </c>
      <c r="I371" s="1" t="s">
        <v>150</v>
      </c>
      <c r="J371" s="1" t="s">
        <v>150</v>
      </c>
      <c r="L371" s="1" t="s">
        <v>154</v>
      </c>
      <c r="M371" s="1" t="s">
        <v>154</v>
      </c>
      <c r="O371" s="1" t="s">
        <v>154</v>
      </c>
      <c r="P371" s="1" t="s">
        <v>150</v>
      </c>
      <c r="Q371" s="1" t="s">
        <v>154</v>
      </c>
      <c r="R371" s="44">
        <v>3.0</v>
      </c>
      <c r="S371" s="1" t="s">
        <v>154</v>
      </c>
      <c r="T371" s="44" t="s">
        <v>165</v>
      </c>
      <c r="Y371" s="1" t="s">
        <v>150</v>
      </c>
      <c r="AD371" s="44" t="s">
        <v>893</v>
      </c>
      <c r="AE371" s="1" t="s">
        <v>154</v>
      </c>
      <c r="AF371" s="44">
        <v>12.0</v>
      </c>
      <c r="AH371" s="1" t="s">
        <v>154</v>
      </c>
      <c r="AI371" s="44" t="s">
        <v>552</v>
      </c>
      <c r="AJ371" s="44">
        <v>2.0</v>
      </c>
      <c r="AK371" s="1" t="s">
        <v>5</v>
      </c>
      <c r="AL371" s="1" t="s">
        <v>150</v>
      </c>
      <c r="AO371" s="1" t="s">
        <v>150</v>
      </c>
      <c r="AP371" s="44">
        <v>179.0</v>
      </c>
      <c r="AQ371" s="44">
        <v>85.0</v>
      </c>
      <c r="AR371" s="44">
        <v>26.36</v>
      </c>
      <c r="AT371" s="44">
        <v>176.0</v>
      </c>
      <c r="AU371" s="44">
        <v>98.0</v>
      </c>
      <c r="AW371" s="44">
        <v>91.0</v>
      </c>
      <c r="AX371" s="44">
        <v>37.0</v>
      </c>
      <c r="AY371" s="44">
        <v>24.0</v>
      </c>
      <c r="AZ371" s="44">
        <v>77.0</v>
      </c>
      <c r="BA371" s="1" t="s">
        <v>154</v>
      </c>
      <c r="BB371" s="44">
        <v>91.0</v>
      </c>
      <c r="BC371" s="9"/>
      <c r="BF371" s="46"/>
      <c r="BG371" s="1" t="s">
        <v>154</v>
      </c>
      <c r="BI371" s="1" t="s">
        <v>154</v>
      </c>
      <c r="BJ371" s="44" t="s">
        <v>237</v>
      </c>
      <c r="BK371" s="1" t="s">
        <v>150</v>
      </c>
      <c r="BM371" s="1" t="s">
        <v>154</v>
      </c>
      <c r="BN371" s="44" t="s">
        <v>155</v>
      </c>
      <c r="BO371" s="1" t="s">
        <v>522</v>
      </c>
      <c r="BR371" s="1" t="s">
        <v>154</v>
      </c>
      <c r="BS371" s="44" t="s">
        <v>894</v>
      </c>
      <c r="BT371" s="44" t="s">
        <v>895</v>
      </c>
      <c r="BU371" s="1" t="s">
        <v>894</v>
      </c>
      <c r="BV371" s="44" t="s">
        <v>895</v>
      </c>
      <c r="BW371" s="1" t="s">
        <v>150</v>
      </c>
      <c r="BX371" s="1" t="s">
        <v>150</v>
      </c>
      <c r="BZ371" s="1" t="s">
        <v>158</v>
      </c>
      <c r="CA371" s="1" t="s">
        <v>150</v>
      </c>
      <c r="CB371" s="1" t="s">
        <v>150</v>
      </c>
      <c r="CC371" s="15" t="s">
        <v>150</v>
      </c>
      <c r="CD371" s="1" t="s">
        <v>150</v>
      </c>
      <c r="CE371" s="1" t="s">
        <v>150</v>
      </c>
      <c r="CF371" s="1" t="s">
        <v>150</v>
      </c>
      <c r="CG371" s="1" t="s">
        <v>150</v>
      </c>
      <c r="CH371" s="1" t="s">
        <v>150</v>
      </c>
      <c r="CI371" s="1" t="s">
        <v>150</v>
      </c>
      <c r="CJ371" s="1" t="s">
        <v>154</v>
      </c>
      <c r="CK371" s="1" t="s">
        <v>150</v>
      </c>
      <c r="CL371" s="44" t="s">
        <v>896</v>
      </c>
      <c r="CM371" s="44">
        <v>7.2</v>
      </c>
      <c r="CN371" s="44">
        <v>91.1</v>
      </c>
      <c r="CP371" s="44">
        <v>4.5</v>
      </c>
      <c r="CR371" s="44">
        <v>4.3</v>
      </c>
      <c r="CT371" s="44">
        <v>0.0</v>
      </c>
      <c r="CW371" s="44">
        <v>4.59</v>
      </c>
      <c r="CX371" s="44">
        <v>128.0</v>
      </c>
      <c r="CZ371" s="46"/>
      <c r="DA371" s="44">
        <v>229.0</v>
      </c>
      <c r="DB371" s="44">
        <v>74.0</v>
      </c>
      <c r="DC371" s="44">
        <v>7.7</v>
      </c>
      <c r="DD371" s="44">
        <v>90.2</v>
      </c>
      <c r="DF371" s="44">
        <v>1.6</v>
      </c>
      <c r="DH371" s="44">
        <v>4.4</v>
      </c>
      <c r="DJ371" s="44">
        <v>3.6</v>
      </c>
      <c r="DM371" s="44">
        <v>4.65</v>
      </c>
      <c r="DN371" s="44">
        <v>131.0</v>
      </c>
      <c r="DP371" s="46"/>
      <c r="DQ371" s="44">
        <v>93.0</v>
      </c>
      <c r="DR371" s="44">
        <v>54.0</v>
      </c>
      <c r="DS371" s="44">
        <v>1040.0</v>
      </c>
      <c r="DT371" s="46"/>
      <c r="DU371" s="44">
        <v>57.0</v>
      </c>
      <c r="DV371" s="44">
        <v>1.33</v>
      </c>
      <c r="DW371" s="46"/>
      <c r="DX371" s="44">
        <v>533.0</v>
      </c>
      <c r="DY371" s="44">
        <v>60.0</v>
      </c>
      <c r="DZ371" s="44">
        <v>12.6</v>
      </c>
      <c r="EA371" s="44">
        <v>1.26</v>
      </c>
      <c r="EC371" s="44">
        <v>10.29</v>
      </c>
      <c r="ED371" s="44">
        <v>0.49</v>
      </c>
      <c r="EE371" s="44">
        <v>45.69</v>
      </c>
      <c r="EF371" s="44">
        <v>48.6</v>
      </c>
      <c r="EG371" s="44">
        <v>53.3</v>
      </c>
      <c r="EH371" s="44">
        <v>14.22</v>
      </c>
      <c r="EI371" s="44">
        <v>4.51</v>
      </c>
      <c r="EJ371" s="44">
        <v>56.54</v>
      </c>
      <c r="EM371" s="44">
        <v>141.6</v>
      </c>
      <c r="EN371" s="44">
        <v>3.09</v>
      </c>
      <c r="EO371" s="44">
        <v>28.51</v>
      </c>
      <c r="EP371" s="44">
        <v>97.64</v>
      </c>
      <c r="EQ371" s="44">
        <v>54.9</v>
      </c>
      <c r="ER371" s="44">
        <v>12.23</v>
      </c>
      <c r="ES371" s="44">
        <v>3.82</v>
      </c>
      <c r="ET371" s="44">
        <v>446.64</v>
      </c>
      <c r="EW371" s="44">
        <v>167.7</v>
      </c>
      <c r="EX371" s="44">
        <v>5.12</v>
      </c>
      <c r="EY371" s="47">
        <f t="shared" si="39"/>
        <v>2.656466</v>
      </c>
      <c r="EZ371" s="47">
        <f t="shared" si="40"/>
        <v>0.06559159772</v>
      </c>
      <c r="FA371" s="48" t="str">
        <f t="shared" si="41"/>
        <v>Благоприятный</v>
      </c>
      <c r="FB371" s="44" t="s">
        <v>256</v>
      </c>
      <c r="FC371" s="39" t="s">
        <v>445</v>
      </c>
    </row>
    <row r="372">
      <c r="B372" s="45">
        <v>17.0</v>
      </c>
      <c r="C372" s="44">
        <v>425.0</v>
      </c>
      <c r="D372" s="39" t="s">
        <v>445</v>
      </c>
      <c r="E372" s="44">
        <v>68.0</v>
      </c>
      <c r="F372" s="1" t="s">
        <v>161</v>
      </c>
      <c r="H372" s="44">
        <v>10.0</v>
      </c>
      <c r="I372" s="1" t="s">
        <v>150</v>
      </c>
      <c r="J372" s="1" t="s">
        <v>150</v>
      </c>
      <c r="L372" s="1" t="s">
        <v>150</v>
      </c>
      <c r="M372" s="1" t="s">
        <v>150</v>
      </c>
      <c r="O372" s="1" t="s">
        <v>154</v>
      </c>
      <c r="P372" s="1" t="s">
        <v>150</v>
      </c>
      <c r="Q372" s="1" t="s">
        <v>154</v>
      </c>
      <c r="R372" s="44">
        <v>3.0</v>
      </c>
      <c r="S372" s="1" t="s">
        <v>154</v>
      </c>
      <c r="T372" s="44" t="s">
        <v>897</v>
      </c>
      <c r="Y372" s="1" t="s">
        <v>150</v>
      </c>
      <c r="AE372" s="1" t="s">
        <v>154</v>
      </c>
      <c r="AF372" s="44">
        <v>4.0</v>
      </c>
      <c r="AH372" s="1" t="s">
        <v>154</v>
      </c>
      <c r="AI372" s="44" t="s">
        <v>168</v>
      </c>
      <c r="AJ372" s="44">
        <v>1.0</v>
      </c>
      <c r="AK372" s="1" t="s">
        <v>5</v>
      </c>
      <c r="AL372" s="1" t="s">
        <v>150</v>
      </c>
      <c r="AO372" s="1" t="s">
        <v>150</v>
      </c>
      <c r="AP372" s="44">
        <v>163.0</v>
      </c>
      <c r="AQ372" s="44">
        <v>80.0</v>
      </c>
      <c r="AR372" s="44">
        <v>29.0</v>
      </c>
      <c r="AT372" s="44">
        <v>140.0</v>
      </c>
      <c r="AU372" s="44">
        <v>90.0</v>
      </c>
      <c r="AW372" s="44">
        <v>87.0</v>
      </c>
      <c r="AX372" s="44">
        <v>38.0</v>
      </c>
      <c r="AY372" s="44">
        <v>21.0</v>
      </c>
      <c r="AZ372" s="44">
        <v>80.0</v>
      </c>
      <c r="BA372" s="1" t="s">
        <v>154</v>
      </c>
      <c r="BB372" s="44">
        <v>90.0</v>
      </c>
      <c r="BC372" s="9"/>
      <c r="BF372" s="44">
        <v>5.0</v>
      </c>
      <c r="BG372" s="1" t="s">
        <v>154</v>
      </c>
      <c r="BI372" s="1" t="s">
        <v>154</v>
      </c>
      <c r="BJ372" s="44" t="s">
        <v>237</v>
      </c>
      <c r="BK372" s="1" t="s">
        <v>150</v>
      </c>
      <c r="BM372" s="1" t="s">
        <v>154</v>
      </c>
      <c r="BN372" s="44" t="s">
        <v>155</v>
      </c>
      <c r="BO372" s="1" t="s">
        <v>154</v>
      </c>
      <c r="BR372" s="1" t="s">
        <v>154</v>
      </c>
      <c r="BS372" s="44" t="s">
        <v>303</v>
      </c>
      <c r="BT372" s="44">
        <v>180.0</v>
      </c>
      <c r="BU372" s="1" t="s">
        <v>303</v>
      </c>
      <c r="BV372" s="44">
        <v>180.0</v>
      </c>
      <c r="BW372" s="1" t="s">
        <v>150</v>
      </c>
      <c r="BX372" s="1" t="s">
        <v>150</v>
      </c>
      <c r="BZ372" s="1" t="s">
        <v>150</v>
      </c>
      <c r="CA372" s="1" t="s">
        <v>154</v>
      </c>
      <c r="CB372" s="1" t="s">
        <v>185</v>
      </c>
      <c r="CC372" s="15" t="s">
        <v>150</v>
      </c>
      <c r="CD372" s="1" t="s">
        <v>154</v>
      </c>
      <c r="CE372" s="1" t="s">
        <v>150</v>
      </c>
      <c r="CF372" s="1" t="s">
        <v>150</v>
      </c>
      <c r="CG372" s="1" t="s">
        <v>150</v>
      </c>
      <c r="CH372" s="1" t="s">
        <v>150</v>
      </c>
      <c r="CI372" s="1" t="s">
        <v>150</v>
      </c>
      <c r="CJ372" s="1" t="s">
        <v>150</v>
      </c>
      <c r="CK372" s="1" t="s">
        <v>150</v>
      </c>
      <c r="CL372" s="44" t="s">
        <v>898</v>
      </c>
      <c r="CM372" s="44">
        <v>6.8</v>
      </c>
      <c r="CN372" s="44">
        <v>80.4</v>
      </c>
      <c r="CP372" s="44">
        <v>10.7</v>
      </c>
      <c r="CR372" s="44">
        <v>8.5</v>
      </c>
      <c r="CT372" s="44">
        <v>0.1</v>
      </c>
      <c r="CW372" s="44">
        <v>4.54</v>
      </c>
      <c r="CX372" s="44">
        <v>135.0</v>
      </c>
      <c r="CZ372" s="46"/>
      <c r="DA372" s="44">
        <v>193.0</v>
      </c>
      <c r="DB372" s="46"/>
      <c r="DC372" s="44">
        <v>15.9</v>
      </c>
      <c r="DD372" s="44">
        <v>95.9</v>
      </c>
      <c r="DF372" s="44">
        <v>1.6</v>
      </c>
      <c r="DH372" s="44">
        <v>2.2</v>
      </c>
      <c r="DJ372" s="44">
        <v>0.1</v>
      </c>
      <c r="DM372" s="44">
        <v>4.41</v>
      </c>
      <c r="DN372" s="44">
        <v>126.0</v>
      </c>
      <c r="DP372" s="46"/>
      <c r="DQ372" s="44">
        <v>122.0</v>
      </c>
      <c r="DR372" s="46"/>
      <c r="DS372" s="44">
        <v>271.0</v>
      </c>
      <c r="DT372" s="44">
        <v>19.6</v>
      </c>
      <c r="DU372" s="44">
        <v>13.3</v>
      </c>
      <c r="DV372" s="44">
        <v>1.13</v>
      </c>
      <c r="DW372" s="46"/>
      <c r="DX372" s="44">
        <v>477.0</v>
      </c>
      <c r="DY372" s="44">
        <v>26.6</v>
      </c>
      <c r="DZ372" s="44">
        <v>14.0</v>
      </c>
      <c r="EA372" s="44">
        <v>1.19</v>
      </c>
      <c r="EC372" s="44">
        <v>5.42</v>
      </c>
      <c r="ED372" s="44">
        <v>8.86</v>
      </c>
      <c r="EE372" s="44">
        <v>47.26</v>
      </c>
      <c r="EF372" s="44">
        <v>47.1</v>
      </c>
      <c r="EG372" s="44">
        <v>60.3</v>
      </c>
      <c r="EH372" s="44">
        <v>10.97</v>
      </c>
      <c r="EI372" s="44">
        <v>2.2</v>
      </c>
      <c r="EJ372" s="44">
        <v>65.52</v>
      </c>
      <c r="EM372" s="44">
        <v>133.6</v>
      </c>
      <c r="EN372" s="44">
        <v>3.78</v>
      </c>
      <c r="EO372" s="44">
        <v>38.4</v>
      </c>
      <c r="EP372" s="44">
        <v>47.7</v>
      </c>
      <c r="EQ372" s="44">
        <v>55.2</v>
      </c>
      <c r="ER372" s="44">
        <v>29.0</v>
      </c>
      <c r="ES372" s="44">
        <v>8.2</v>
      </c>
      <c r="ET372" s="44">
        <v>100.0</v>
      </c>
      <c r="EW372" s="46"/>
      <c r="EX372" s="46"/>
      <c r="EY372" s="47">
        <f t="shared" si="39"/>
        <v>0.416654</v>
      </c>
      <c r="EZ372" s="47">
        <f t="shared" si="40"/>
        <v>0.3973176951</v>
      </c>
      <c r="FA372" s="48" t="str">
        <f t="shared" si="41"/>
        <v>Благоприятный</v>
      </c>
      <c r="FB372" s="44" t="s">
        <v>256</v>
      </c>
      <c r="FC372" s="39" t="s">
        <v>445</v>
      </c>
    </row>
    <row r="373">
      <c r="B373" s="45">
        <v>18.0</v>
      </c>
      <c r="C373" s="44">
        <v>323.0</v>
      </c>
      <c r="D373" s="39" t="s">
        <v>445</v>
      </c>
      <c r="E373" s="44">
        <v>78.0</v>
      </c>
      <c r="F373" s="1" t="s">
        <v>161</v>
      </c>
      <c r="H373" s="44">
        <v>8.0</v>
      </c>
      <c r="I373" s="1" t="s">
        <v>150</v>
      </c>
      <c r="J373" s="1" t="s">
        <v>150</v>
      </c>
      <c r="L373" s="1" t="s">
        <v>150</v>
      </c>
      <c r="M373" s="1" t="s">
        <v>150</v>
      </c>
      <c r="O373" s="1" t="s">
        <v>150</v>
      </c>
      <c r="P373" s="1" t="s">
        <v>150</v>
      </c>
      <c r="Q373" s="1" t="s">
        <v>154</v>
      </c>
      <c r="R373" s="44">
        <v>3.0</v>
      </c>
      <c r="S373" s="1" t="s">
        <v>150</v>
      </c>
      <c r="Y373" s="1" t="s">
        <v>150</v>
      </c>
      <c r="AE373" s="1" t="s">
        <v>154</v>
      </c>
      <c r="AF373" s="44">
        <v>3.0</v>
      </c>
      <c r="AH373" s="1" t="s">
        <v>154</v>
      </c>
      <c r="AI373" s="44" t="s">
        <v>168</v>
      </c>
      <c r="AJ373" s="46"/>
      <c r="AK373" s="1" t="s">
        <v>5</v>
      </c>
      <c r="AL373" s="1" t="s">
        <v>150</v>
      </c>
      <c r="AO373" s="1" t="s">
        <v>150</v>
      </c>
      <c r="AP373" s="46"/>
      <c r="AQ373" s="46"/>
      <c r="AR373" s="46"/>
      <c r="AT373" s="44">
        <v>126.0</v>
      </c>
      <c r="AU373" s="44">
        <v>80.0</v>
      </c>
      <c r="AW373" s="44">
        <v>93.0</v>
      </c>
      <c r="AX373" s="44">
        <v>38.5</v>
      </c>
      <c r="AY373" s="44">
        <v>22.0</v>
      </c>
      <c r="AZ373" s="44">
        <v>83.0</v>
      </c>
      <c r="BA373" s="1" t="s">
        <v>154</v>
      </c>
      <c r="BB373" s="44">
        <v>97.0</v>
      </c>
      <c r="BC373" s="9"/>
      <c r="BF373" s="44">
        <v>4.0</v>
      </c>
      <c r="BG373" s="1" t="s">
        <v>154</v>
      </c>
      <c r="BH373" s="44" t="s">
        <v>899</v>
      </c>
      <c r="BI373" s="1" t="s">
        <v>154</v>
      </c>
      <c r="BJ373" s="44" t="s">
        <v>237</v>
      </c>
      <c r="BK373" s="1" t="s">
        <v>150</v>
      </c>
      <c r="BM373" s="1" t="s">
        <v>154</v>
      </c>
      <c r="BN373" s="44" t="s">
        <v>155</v>
      </c>
      <c r="BO373" s="1" t="s">
        <v>150</v>
      </c>
      <c r="BR373" s="1" t="s">
        <v>154</v>
      </c>
      <c r="BS373" s="44" t="s">
        <v>303</v>
      </c>
      <c r="BT373" s="44">
        <v>180.0</v>
      </c>
      <c r="BU373" s="1" t="s">
        <v>303</v>
      </c>
      <c r="BV373" s="44">
        <v>180.0</v>
      </c>
      <c r="BW373" s="1" t="s">
        <v>150</v>
      </c>
      <c r="BX373" s="1" t="s">
        <v>150</v>
      </c>
      <c r="BZ373" s="1" t="s">
        <v>158</v>
      </c>
      <c r="CA373" s="1" t="s">
        <v>150</v>
      </c>
      <c r="CB373" s="1" t="s">
        <v>150</v>
      </c>
      <c r="CC373" s="15" t="s">
        <v>150</v>
      </c>
      <c r="CD373" s="1" t="s">
        <v>150</v>
      </c>
      <c r="CE373" s="1" t="s">
        <v>150</v>
      </c>
      <c r="CF373" s="1" t="s">
        <v>150</v>
      </c>
      <c r="CG373" s="1" t="s">
        <v>150</v>
      </c>
      <c r="CH373" s="1" t="s">
        <v>150</v>
      </c>
      <c r="CI373" s="1" t="s">
        <v>150</v>
      </c>
      <c r="CJ373" s="1" t="s">
        <v>150</v>
      </c>
      <c r="CK373" s="1" t="s">
        <v>150</v>
      </c>
      <c r="CL373" s="44" t="s">
        <v>900</v>
      </c>
      <c r="CM373" s="44">
        <v>4.3</v>
      </c>
      <c r="CN373" s="44">
        <v>72.3</v>
      </c>
      <c r="CP373" s="44">
        <v>19.9</v>
      </c>
      <c r="CR373" s="46"/>
      <c r="CT373" s="44">
        <v>0.0</v>
      </c>
      <c r="CW373" s="44">
        <v>4.96</v>
      </c>
      <c r="CX373" s="44">
        <v>133.0</v>
      </c>
      <c r="CZ373" s="46"/>
      <c r="DA373" s="44">
        <v>125.0</v>
      </c>
      <c r="DB373" s="44">
        <v>116.0</v>
      </c>
      <c r="DC373" s="44">
        <v>11.8</v>
      </c>
      <c r="DD373" s="44">
        <v>91.2</v>
      </c>
      <c r="DF373" s="44">
        <v>2.5</v>
      </c>
      <c r="DH373" s="46"/>
      <c r="DJ373" s="44">
        <v>0.1</v>
      </c>
      <c r="DM373" s="44">
        <v>4.66</v>
      </c>
      <c r="DN373" s="44">
        <v>123.0</v>
      </c>
      <c r="DP373" s="46"/>
      <c r="DQ373" s="44">
        <v>164.0</v>
      </c>
      <c r="DR373" s="46"/>
      <c r="DS373" s="44">
        <v>538.0</v>
      </c>
      <c r="DT373" s="46"/>
      <c r="DU373" s="44">
        <v>12.1</v>
      </c>
      <c r="DV373" s="44">
        <v>1.01</v>
      </c>
      <c r="DW373" s="46"/>
      <c r="DX373" s="44">
        <v>470.0</v>
      </c>
      <c r="DY373" s="44">
        <v>18.5</v>
      </c>
      <c r="DZ373" s="44">
        <v>13.1</v>
      </c>
      <c r="EA373" s="44">
        <v>1.12</v>
      </c>
      <c r="EC373" s="44">
        <v>6.2</v>
      </c>
      <c r="ED373" s="44">
        <v>12.75</v>
      </c>
      <c r="EE373" s="44">
        <v>16.74</v>
      </c>
      <c r="EF373" s="44">
        <v>41.06</v>
      </c>
      <c r="EG373" s="46"/>
      <c r="EH373" s="44">
        <v>9.37</v>
      </c>
      <c r="EI373" s="44">
        <v>2.77</v>
      </c>
      <c r="EJ373" s="46"/>
      <c r="EM373" s="44">
        <v>137.3</v>
      </c>
      <c r="EN373" s="44">
        <v>3.39</v>
      </c>
      <c r="EO373" s="44">
        <v>22.29</v>
      </c>
      <c r="EP373" s="44">
        <v>34.14</v>
      </c>
      <c r="EQ373" s="46"/>
      <c r="ER373" s="44">
        <v>12.93</v>
      </c>
      <c r="ES373" s="44">
        <v>3.72</v>
      </c>
      <c r="ET373" s="46"/>
      <c r="EW373" s="46"/>
      <c r="EX373" s="46"/>
      <c r="EY373" s="47">
        <f t="shared" si="39"/>
        <v>3.138738</v>
      </c>
      <c r="EZ373" s="47">
        <f t="shared" si="40"/>
        <v>0.04153733296</v>
      </c>
      <c r="FA373" s="48" t="str">
        <f t="shared" si="41"/>
        <v>Благоприятный</v>
      </c>
      <c r="FB373" s="44" t="s">
        <v>256</v>
      </c>
      <c r="FC373" s="39" t="s">
        <v>445</v>
      </c>
    </row>
    <row r="374">
      <c r="B374" s="45">
        <v>19.0</v>
      </c>
      <c r="C374" s="44">
        <v>8504.0</v>
      </c>
      <c r="D374" s="39" t="s">
        <v>445</v>
      </c>
      <c r="E374" s="44">
        <v>81.0</v>
      </c>
      <c r="F374" s="1" t="s">
        <v>161</v>
      </c>
      <c r="H374" s="44">
        <v>7.0</v>
      </c>
      <c r="I374" s="1" t="s">
        <v>150</v>
      </c>
      <c r="J374" s="1" t="s">
        <v>150</v>
      </c>
      <c r="L374" s="1" t="s">
        <v>150</v>
      </c>
      <c r="M374" s="1" t="s">
        <v>154</v>
      </c>
      <c r="O374" s="1" t="s">
        <v>154</v>
      </c>
      <c r="P374" s="1" t="s">
        <v>150</v>
      </c>
      <c r="Q374" s="1" t="s">
        <v>154</v>
      </c>
      <c r="R374" s="44">
        <v>3.0</v>
      </c>
      <c r="S374" s="1" t="s">
        <v>150</v>
      </c>
      <c r="Y374" s="1" t="s">
        <v>150</v>
      </c>
      <c r="AE374" s="1" t="s">
        <v>154</v>
      </c>
      <c r="AF374" s="44">
        <v>1.0</v>
      </c>
      <c r="AH374" s="1" t="s">
        <v>154</v>
      </c>
      <c r="AI374" s="44" t="s">
        <v>168</v>
      </c>
      <c r="AJ374" s="44">
        <v>3.0</v>
      </c>
      <c r="AK374" s="1" t="s">
        <v>5</v>
      </c>
      <c r="AL374" s="1" t="s">
        <v>150</v>
      </c>
      <c r="AO374" s="1" t="s">
        <v>150</v>
      </c>
      <c r="AP374" s="44">
        <v>169.0</v>
      </c>
      <c r="AQ374" s="44">
        <v>75.0</v>
      </c>
      <c r="AR374" s="44">
        <v>27.07</v>
      </c>
      <c r="AT374" s="44">
        <v>176.0</v>
      </c>
      <c r="AU374" s="44">
        <v>105.0</v>
      </c>
      <c r="AW374" s="44">
        <v>87.0</v>
      </c>
      <c r="AX374" s="44">
        <v>37.0</v>
      </c>
      <c r="AY374" s="44">
        <v>21.0</v>
      </c>
      <c r="AZ374" s="44">
        <v>82.0</v>
      </c>
      <c r="BA374" s="1" t="s">
        <v>154</v>
      </c>
      <c r="BB374" s="44">
        <v>91.0</v>
      </c>
      <c r="BC374" s="9"/>
      <c r="BF374" s="44">
        <v>4.0</v>
      </c>
      <c r="BG374" s="1" t="s">
        <v>154</v>
      </c>
      <c r="BH374" s="44" t="s">
        <v>901</v>
      </c>
      <c r="BI374" s="1" t="s">
        <v>154</v>
      </c>
      <c r="BJ374" s="44" t="s">
        <v>237</v>
      </c>
      <c r="BK374" s="1" t="s">
        <v>150</v>
      </c>
      <c r="BM374" s="1" t="s">
        <v>154</v>
      </c>
      <c r="BN374" s="44" t="s">
        <v>155</v>
      </c>
      <c r="BO374" s="1" t="s">
        <v>150</v>
      </c>
      <c r="BR374" s="1" t="s">
        <v>154</v>
      </c>
      <c r="BS374" s="44" t="s">
        <v>303</v>
      </c>
      <c r="BT374" s="44" t="s">
        <v>902</v>
      </c>
      <c r="BU374" s="1" t="s">
        <v>303</v>
      </c>
      <c r="BV374" s="44">
        <v>180.0</v>
      </c>
      <c r="BW374" s="1" t="s">
        <v>150</v>
      </c>
      <c r="BX374" s="1" t="s">
        <v>150</v>
      </c>
      <c r="BZ374" s="1" t="s">
        <v>158</v>
      </c>
      <c r="CA374" s="1" t="s">
        <v>150</v>
      </c>
      <c r="CB374" s="1" t="s">
        <v>150</v>
      </c>
      <c r="CC374" s="15" t="s">
        <v>150</v>
      </c>
      <c r="CD374" s="1" t="s">
        <v>150</v>
      </c>
      <c r="CE374" s="1" t="s">
        <v>150</v>
      </c>
      <c r="CF374" s="1" t="s">
        <v>150</v>
      </c>
      <c r="CG374" s="1" t="s">
        <v>150</v>
      </c>
      <c r="CH374" s="1" t="s">
        <v>150</v>
      </c>
      <c r="CI374" s="1" t="s">
        <v>150</v>
      </c>
      <c r="CJ374" s="1" t="s">
        <v>154</v>
      </c>
      <c r="CK374" s="1" t="s">
        <v>150</v>
      </c>
      <c r="CL374" s="44" t="s">
        <v>903</v>
      </c>
      <c r="CM374" s="44">
        <v>10.5</v>
      </c>
      <c r="CN374" s="44">
        <v>92.4</v>
      </c>
      <c r="CP374" s="44">
        <v>4.4</v>
      </c>
      <c r="CR374" s="44">
        <v>3.1</v>
      </c>
      <c r="CT374" s="44">
        <v>0.0</v>
      </c>
      <c r="CW374" s="44">
        <v>3.74</v>
      </c>
      <c r="CX374" s="44">
        <v>113.0</v>
      </c>
      <c r="CZ374" s="46"/>
      <c r="DA374" s="46"/>
      <c r="DB374" s="44">
        <v>5.0</v>
      </c>
      <c r="DC374" s="44">
        <v>8.9</v>
      </c>
      <c r="DD374" s="44">
        <v>84.8</v>
      </c>
      <c r="DF374" s="44">
        <v>7.2</v>
      </c>
      <c r="DH374" s="44">
        <v>7.3</v>
      </c>
      <c r="DJ374" s="44">
        <v>0.0</v>
      </c>
      <c r="DM374" s="44">
        <v>3.47</v>
      </c>
      <c r="DN374" s="44">
        <v>106.0</v>
      </c>
      <c r="DP374" s="46"/>
      <c r="DQ374" s="46"/>
      <c r="DR374" s="46"/>
      <c r="DS374" s="44">
        <v>1004.0</v>
      </c>
      <c r="DT374" s="44">
        <v>73.5</v>
      </c>
      <c r="DU374" s="44">
        <v>13.4</v>
      </c>
      <c r="DV374" s="44">
        <v>1.145</v>
      </c>
      <c r="DW374" s="44">
        <v>460.0</v>
      </c>
      <c r="DX374" s="44">
        <v>492.0</v>
      </c>
      <c r="DY374" s="46"/>
      <c r="DZ374" s="44">
        <v>14.5</v>
      </c>
      <c r="EA374" s="44">
        <v>1.24</v>
      </c>
      <c r="EC374" s="44">
        <v>8.66</v>
      </c>
      <c r="ED374" s="44">
        <v>8.01</v>
      </c>
      <c r="EE374" s="46"/>
      <c r="EF374" s="44">
        <v>36.29</v>
      </c>
      <c r="EG374" s="44">
        <v>60.8</v>
      </c>
      <c r="EH374" s="44">
        <v>11.0</v>
      </c>
      <c r="EI374" s="44">
        <v>4.0</v>
      </c>
      <c r="EJ374" s="44">
        <v>97.44</v>
      </c>
      <c r="EM374" s="46"/>
      <c r="EN374" s="46"/>
      <c r="EO374" s="46"/>
      <c r="EP374" s="44">
        <v>49.8</v>
      </c>
      <c r="EQ374" s="44">
        <v>51.91</v>
      </c>
      <c r="ER374" s="44">
        <v>7.5</v>
      </c>
      <c r="ES374" s="44">
        <v>2.03</v>
      </c>
      <c r="ET374" s="44">
        <v>70.2</v>
      </c>
      <c r="EW374" s="44">
        <v>139.7</v>
      </c>
      <c r="EX374" s="44">
        <v>3.91</v>
      </c>
      <c r="EY374" s="47">
        <f t="shared" si="39"/>
        <v>-0.435452</v>
      </c>
      <c r="EZ374" s="47">
        <f t="shared" si="40"/>
        <v>0.6071748014</v>
      </c>
      <c r="FA374" s="48" t="str">
        <f t="shared" si="41"/>
        <v>Неблагоприятный</v>
      </c>
      <c r="FB374" s="44" t="s">
        <v>150</v>
      </c>
      <c r="FC374" s="39" t="s">
        <v>445</v>
      </c>
    </row>
    <row r="375">
      <c r="B375" s="53"/>
      <c r="D375" s="39" t="s">
        <v>445</v>
      </c>
      <c r="F375" s="1" t="s">
        <v>149</v>
      </c>
      <c r="I375" s="1" t="s">
        <v>150</v>
      </c>
      <c r="J375" s="1" t="s">
        <v>150</v>
      </c>
      <c r="L375" s="1" t="s">
        <v>150</v>
      </c>
      <c r="M375" s="1" t="s">
        <v>154</v>
      </c>
      <c r="O375" s="1" t="s">
        <v>154</v>
      </c>
      <c r="P375" s="9"/>
      <c r="Q375" s="1" t="s">
        <v>154</v>
      </c>
      <c r="S375" s="1" t="s">
        <v>150</v>
      </c>
      <c r="Y375" s="1" t="s">
        <v>150</v>
      </c>
      <c r="AE375" s="1" t="s">
        <v>154</v>
      </c>
      <c r="AH375" s="1" t="s">
        <v>154</v>
      </c>
      <c r="AK375" s="1" t="s">
        <v>5</v>
      </c>
      <c r="AL375" s="1" t="s">
        <v>150</v>
      </c>
      <c r="AO375" s="1" t="s">
        <v>150</v>
      </c>
      <c r="BA375" s="1" t="s">
        <v>154</v>
      </c>
      <c r="BC375" s="9"/>
      <c r="BG375" s="1" t="s">
        <v>154</v>
      </c>
      <c r="BI375" s="1" t="s">
        <v>154</v>
      </c>
      <c r="BK375" s="1" t="s">
        <v>150</v>
      </c>
      <c r="BM375" s="1" t="s">
        <v>154</v>
      </c>
      <c r="BO375" s="1" t="s">
        <v>150</v>
      </c>
      <c r="BR375" s="1" t="s">
        <v>154</v>
      </c>
      <c r="BU375" s="1" t="s">
        <v>157</v>
      </c>
      <c r="BW375" s="1" t="s">
        <v>154</v>
      </c>
      <c r="BX375" s="1" t="s">
        <v>150</v>
      </c>
      <c r="BZ375" s="1" t="s">
        <v>158</v>
      </c>
      <c r="CA375" s="1" t="s">
        <v>154</v>
      </c>
      <c r="CB375" s="1" t="s">
        <v>150</v>
      </c>
      <c r="CC375" s="15" t="s">
        <v>150</v>
      </c>
      <c r="CD375" s="1" t="s">
        <v>150</v>
      </c>
      <c r="CE375" s="1" t="s">
        <v>150</v>
      </c>
      <c r="CF375" s="1" t="s">
        <v>150</v>
      </c>
      <c r="CG375" s="1" t="s">
        <v>150</v>
      </c>
      <c r="CH375" s="1" t="s">
        <v>150</v>
      </c>
      <c r="CI375" s="1" t="s">
        <v>150</v>
      </c>
      <c r="CJ375" s="1" t="s">
        <v>150</v>
      </c>
      <c r="CK375" s="1" t="s">
        <v>150</v>
      </c>
      <c r="FC375" s="39" t="s">
        <v>445</v>
      </c>
    </row>
    <row r="376">
      <c r="B376" s="53"/>
      <c r="D376" s="39" t="s">
        <v>445</v>
      </c>
      <c r="F376" s="1" t="s">
        <v>149</v>
      </c>
      <c r="I376" s="1" t="s">
        <v>150</v>
      </c>
      <c r="J376" s="1" t="s">
        <v>150</v>
      </c>
      <c r="L376" s="1" t="s">
        <v>150</v>
      </c>
      <c r="M376" s="1" t="s">
        <v>154</v>
      </c>
      <c r="O376" s="1" t="s">
        <v>154</v>
      </c>
      <c r="P376" s="9"/>
      <c r="Q376" s="1" t="s">
        <v>154</v>
      </c>
      <c r="S376" s="1" t="s">
        <v>150</v>
      </c>
      <c r="Y376" s="1" t="s">
        <v>150</v>
      </c>
      <c r="AE376" s="1" t="s">
        <v>154</v>
      </c>
      <c r="AH376" s="1" t="s">
        <v>154</v>
      </c>
      <c r="AK376" s="1" t="s">
        <v>5</v>
      </c>
      <c r="AL376" s="1" t="s">
        <v>150</v>
      </c>
      <c r="AO376" s="1" t="s">
        <v>150</v>
      </c>
      <c r="BA376" s="1" t="s">
        <v>154</v>
      </c>
      <c r="BC376" s="9"/>
      <c r="BG376" s="1" t="s">
        <v>154</v>
      </c>
      <c r="BI376" s="1" t="s">
        <v>154</v>
      </c>
      <c r="BK376" s="1" t="s">
        <v>150</v>
      </c>
      <c r="BM376" s="1" t="s">
        <v>154</v>
      </c>
      <c r="BO376" s="1" t="s">
        <v>150</v>
      </c>
      <c r="BR376" s="1" t="s">
        <v>154</v>
      </c>
      <c r="BU376" s="1" t="s">
        <v>157</v>
      </c>
      <c r="BW376" s="1" t="s">
        <v>154</v>
      </c>
      <c r="BX376" s="1" t="s">
        <v>150</v>
      </c>
      <c r="BZ376" s="1" t="s">
        <v>158</v>
      </c>
      <c r="CA376" s="1" t="s">
        <v>154</v>
      </c>
      <c r="CB376" s="1" t="s">
        <v>150</v>
      </c>
      <c r="CC376" s="15" t="s">
        <v>150</v>
      </c>
      <c r="CD376" s="1" t="s">
        <v>150</v>
      </c>
      <c r="CE376" s="1" t="s">
        <v>150</v>
      </c>
      <c r="CF376" s="1" t="s">
        <v>150</v>
      </c>
      <c r="CG376" s="1" t="s">
        <v>150</v>
      </c>
      <c r="CH376" s="1" t="s">
        <v>150</v>
      </c>
      <c r="CI376" s="1" t="s">
        <v>150</v>
      </c>
      <c r="CJ376" s="1" t="s">
        <v>150</v>
      </c>
      <c r="CK376" s="1" t="s">
        <v>150</v>
      </c>
      <c r="FC376" s="39" t="s">
        <v>445</v>
      </c>
    </row>
    <row r="377">
      <c r="B377" s="53"/>
      <c r="D377" s="39" t="s">
        <v>445</v>
      </c>
      <c r="F377" s="1" t="s">
        <v>149</v>
      </c>
      <c r="I377" s="1" t="s">
        <v>150</v>
      </c>
      <c r="J377" s="1" t="s">
        <v>150</v>
      </c>
      <c r="L377" s="1" t="s">
        <v>150</v>
      </c>
      <c r="M377" s="1" t="s">
        <v>154</v>
      </c>
      <c r="O377" s="1" t="s">
        <v>154</v>
      </c>
      <c r="P377" s="9"/>
      <c r="Q377" s="1" t="s">
        <v>154</v>
      </c>
      <c r="S377" s="1" t="s">
        <v>150</v>
      </c>
      <c r="Y377" s="1" t="s">
        <v>150</v>
      </c>
      <c r="AE377" s="1" t="s">
        <v>154</v>
      </c>
      <c r="AH377" s="1" t="s">
        <v>154</v>
      </c>
      <c r="AK377" s="1" t="s">
        <v>5</v>
      </c>
      <c r="AL377" s="1" t="s">
        <v>150</v>
      </c>
      <c r="AO377" s="1" t="s">
        <v>150</v>
      </c>
      <c r="BA377" s="1" t="s">
        <v>154</v>
      </c>
      <c r="BC377" s="9"/>
      <c r="BG377" s="1" t="s">
        <v>154</v>
      </c>
      <c r="BI377" s="1" t="s">
        <v>154</v>
      </c>
      <c r="BK377" s="1" t="s">
        <v>150</v>
      </c>
      <c r="BM377" s="1" t="s">
        <v>154</v>
      </c>
      <c r="BO377" s="1" t="s">
        <v>150</v>
      </c>
      <c r="BR377" s="1" t="s">
        <v>154</v>
      </c>
      <c r="BU377" s="1" t="s">
        <v>157</v>
      </c>
      <c r="BW377" s="1" t="s">
        <v>154</v>
      </c>
      <c r="BX377" s="1" t="s">
        <v>150</v>
      </c>
      <c r="BZ377" s="1" t="s">
        <v>158</v>
      </c>
      <c r="CA377" s="1" t="s">
        <v>154</v>
      </c>
      <c r="CB377" s="1" t="s">
        <v>150</v>
      </c>
      <c r="CC377" s="15" t="s">
        <v>150</v>
      </c>
      <c r="CD377" s="1" t="s">
        <v>150</v>
      </c>
      <c r="CE377" s="1" t="s">
        <v>150</v>
      </c>
      <c r="CF377" s="1" t="s">
        <v>150</v>
      </c>
      <c r="CG377" s="1" t="s">
        <v>150</v>
      </c>
      <c r="CH377" s="1" t="s">
        <v>150</v>
      </c>
      <c r="CI377" s="1" t="s">
        <v>150</v>
      </c>
      <c r="CJ377" s="1" t="s">
        <v>150</v>
      </c>
      <c r="CK377" s="1" t="s">
        <v>150</v>
      </c>
      <c r="FC377" s="39" t="s">
        <v>445</v>
      </c>
    </row>
    <row r="378">
      <c r="B378" s="53"/>
      <c r="D378" s="39" t="s">
        <v>445</v>
      </c>
      <c r="F378" s="1" t="s">
        <v>149</v>
      </c>
      <c r="I378" s="1" t="s">
        <v>150</v>
      </c>
      <c r="J378" s="1" t="s">
        <v>150</v>
      </c>
      <c r="L378" s="1" t="s">
        <v>150</v>
      </c>
      <c r="M378" s="1" t="s">
        <v>154</v>
      </c>
      <c r="O378" s="1" t="s">
        <v>154</v>
      </c>
      <c r="P378" s="9"/>
      <c r="Q378" s="1" t="s">
        <v>154</v>
      </c>
      <c r="S378" s="1" t="s">
        <v>150</v>
      </c>
      <c r="Y378" s="1" t="s">
        <v>150</v>
      </c>
      <c r="AE378" s="1" t="s">
        <v>154</v>
      </c>
      <c r="AH378" s="1" t="s">
        <v>154</v>
      </c>
      <c r="AK378" s="1" t="s">
        <v>5</v>
      </c>
      <c r="AL378" s="1" t="s">
        <v>150</v>
      </c>
      <c r="AO378" s="1" t="s">
        <v>150</v>
      </c>
      <c r="BA378" s="1" t="s">
        <v>154</v>
      </c>
      <c r="BC378" s="9"/>
      <c r="BG378" s="1" t="s">
        <v>154</v>
      </c>
      <c r="BI378" s="1" t="s">
        <v>154</v>
      </c>
      <c r="BK378" s="1" t="s">
        <v>150</v>
      </c>
      <c r="BM378" s="1" t="s">
        <v>154</v>
      </c>
      <c r="BO378" s="1" t="s">
        <v>150</v>
      </c>
      <c r="BR378" s="1" t="s">
        <v>154</v>
      </c>
      <c r="BU378" s="1" t="s">
        <v>157</v>
      </c>
      <c r="BW378" s="1" t="s">
        <v>154</v>
      </c>
      <c r="BX378" s="1" t="s">
        <v>150</v>
      </c>
      <c r="BZ378" s="1" t="s">
        <v>158</v>
      </c>
      <c r="CA378" s="1" t="s">
        <v>154</v>
      </c>
      <c r="CB378" s="1" t="s">
        <v>150</v>
      </c>
      <c r="CC378" s="15" t="s">
        <v>150</v>
      </c>
      <c r="CD378" s="1" t="s">
        <v>150</v>
      </c>
      <c r="CE378" s="1" t="s">
        <v>150</v>
      </c>
      <c r="CF378" s="1" t="s">
        <v>150</v>
      </c>
      <c r="CG378" s="1" t="s">
        <v>150</v>
      </c>
      <c r="CH378" s="1" t="s">
        <v>150</v>
      </c>
      <c r="CI378" s="1" t="s">
        <v>150</v>
      </c>
      <c r="CJ378" s="1" t="s">
        <v>150</v>
      </c>
      <c r="CK378" s="1" t="s">
        <v>150</v>
      </c>
      <c r="FC378" s="39" t="s">
        <v>445</v>
      </c>
    </row>
    <row r="379">
      <c r="B379" s="53"/>
      <c r="D379" s="39" t="s">
        <v>445</v>
      </c>
      <c r="F379" s="1" t="s">
        <v>149</v>
      </c>
      <c r="I379" s="1" t="s">
        <v>150</v>
      </c>
      <c r="J379" s="1" t="s">
        <v>150</v>
      </c>
      <c r="L379" s="1" t="s">
        <v>150</v>
      </c>
      <c r="M379" s="1" t="s">
        <v>154</v>
      </c>
      <c r="O379" s="1" t="s">
        <v>154</v>
      </c>
      <c r="P379" s="9"/>
      <c r="Q379" s="1" t="s">
        <v>154</v>
      </c>
      <c r="S379" s="1" t="s">
        <v>150</v>
      </c>
      <c r="Y379" s="1" t="s">
        <v>150</v>
      </c>
      <c r="AE379" s="1" t="s">
        <v>154</v>
      </c>
      <c r="AH379" s="1" t="s">
        <v>154</v>
      </c>
      <c r="AK379" s="1" t="s">
        <v>5</v>
      </c>
      <c r="AL379" s="1" t="s">
        <v>150</v>
      </c>
      <c r="AO379" s="1" t="s">
        <v>150</v>
      </c>
      <c r="BA379" s="1" t="s">
        <v>154</v>
      </c>
      <c r="BC379" s="9"/>
      <c r="BG379" s="1" t="s">
        <v>154</v>
      </c>
      <c r="BI379" s="1" t="s">
        <v>154</v>
      </c>
      <c r="BK379" s="1" t="s">
        <v>150</v>
      </c>
      <c r="BM379" s="1" t="s">
        <v>154</v>
      </c>
      <c r="BO379" s="1" t="s">
        <v>150</v>
      </c>
      <c r="BR379" s="1" t="s">
        <v>154</v>
      </c>
      <c r="BU379" s="1" t="s">
        <v>157</v>
      </c>
      <c r="BW379" s="1" t="s">
        <v>154</v>
      </c>
      <c r="BX379" s="1" t="s">
        <v>150</v>
      </c>
      <c r="BZ379" s="1" t="s">
        <v>158</v>
      </c>
      <c r="CA379" s="1" t="s">
        <v>154</v>
      </c>
      <c r="CB379" s="1" t="s">
        <v>150</v>
      </c>
      <c r="CC379" s="15" t="s">
        <v>150</v>
      </c>
      <c r="CD379" s="1" t="s">
        <v>150</v>
      </c>
      <c r="CE379" s="1" t="s">
        <v>150</v>
      </c>
      <c r="CF379" s="1" t="s">
        <v>150</v>
      </c>
      <c r="CG379" s="1" t="s">
        <v>150</v>
      </c>
      <c r="CH379" s="1" t="s">
        <v>150</v>
      </c>
      <c r="CI379" s="1" t="s">
        <v>150</v>
      </c>
      <c r="CJ379" s="1" t="s">
        <v>150</v>
      </c>
      <c r="CK379" s="1" t="s">
        <v>150</v>
      </c>
      <c r="FC379" s="39" t="s">
        <v>445</v>
      </c>
    </row>
    <row r="380">
      <c r="B380" s="53"/>
      <c r="D380" s="39" t="s">
        <v>445</v>
      </c>
      <c r="F380" s="1" t="s">
        <v>149</v>
      </c>
      <c r="I380" s="1" t="s">
        <v>150</v>
      </c>
      <c r="J380" s="1" t="s">
        <v>150</v>
      </c>
      <c r="L380" s="1" t="s">
        <v>150</v>
      </c>
      <c r="M380" s="1" t="s">
        <v>154</v>
      </c>
      <c r="O380" s="1" t="s">
        <v>154</v>
      </c>
      <c r="P380" s="9"/>
      <c r="Q380" s="1" t="s">
        <v>154</v>
      </c>
      <c r="S380" s="1" t="s">
        <v>150</v>
      </c>
      <c r="Y380" s="1" t="s">
        <v>150</v>
      </c>
      <c r="AE380" s="1" t="s">
        <v>154</v>
      </c>
      <c r="AH380" s="1" t="s">
        <v>154</v>
      </c>
      <c r="AK380" s="1" t="s">
        <v>5</v>
      </c>
      <c r="AL380" s="1" t="s">
        <v>150</v>
      </c>
      <c r="AO380" s="1" t="s">
        <v>150</v>
      </c>
      <c r="BA380" s="1" t="s">
        <v>154</v>
      </c>
      <c r="BC380" s="9"/>
      <c r="BG380" s="1" t="s">
        <v>154</v>
      </c>
      <c r="BI380" s="1" t="s">
        <v>154</v>
      </c>
      <c r="BK380" s="1" t="s">
        <v>150</v>
      </c>
      <c r="BM380" s="1" t="s">
        <v>154</v>
      </c>
      <c r="BO380" s="1" t="s">
        <v>150</v>
      </c>
      <c r="BR380" s="1" t="s">
        <v>154</v>
      </c>
      <c r="BU380" s="1" t="s">
        <v>157</v>
      </c>
      <c r="BW380" s="1" t="s">
        <v>154</v>
      </c>
      <c r="BX380" s="1" t="s">
        <v>150</v>
      </c>
      <c r="BZ380" s="1" t="s">
        <v>158</v>
      </c>
      <c r="CA380" s="1" t="s">
        <v>154</v>
      </c>
      <c r="CB380" s="1" t="s">
        <v>150</v>
      </c>
      <c r="CC380" s="15" t="s">
        <v>150</v>
      </c>
      <c r="CD380" s="1" t="s">
        <v>150</v>
      </c>
      <c r="CE380" s="1" t="s">
        <v>150</v>
      </c>
      <c r="CF380" s="1" t="s">
        <v>150</v>
      </c>
      <c r="CG380" s="1" t="s">
        <v>150</v>
      </c>
      <c r="CH380" s="1" t="s">
        <v>150</v>
      </c>
      <c r="CI380" s="1" t="s">
        <v>150</v>
      </c>
      <c r="CJ380" s="1" t="s">
        <v>150</v>
      </c>
      <c r="CK380" s="1" t="s">
        <v>150</v>
      </c>
      <c r="FC380" s="39" t="s">
        <v>445</v>
      </c>
    </row>
    <row r="381">
      <c r="B381" s="53"/>
      <c r="D381" s="39" t="s">
        <v>445</v>
      </c>
      <c r="F381" s="1" t="s">
        <v>149</v>
      </c>
      <c r="I381" s="1" t="s">
        <v>150</v>
      </c>
      <c r="J381" s="1" t="s">
        <v>150</v>
      </c>
      <c r="L381" s="1" t="s">
        <v>150</v>
      </c>
      <c r="M381" s="1" t="s">
        <v>154</v>
      </c>
      <c r="O381" s="1" t="s">
        <v>154</v>
      </c>
      <c r="P381" s="9"/>
      <c r="Q381" s="1" t="s">
        <v>154</v>
      </c>
      <c r="S381" s="1" t="s">
        <v>150</v>
      </c>
      <c r="Y381" s="1" t="s">
        <v>150</v>
      </c>
      <c r="AE381" s="1" t="s">
        <v>154</v>
      </c>
      <c r="AH381" s="1" t="s">
        <v>154</v>
      </c>
      <c r="AK381" s="1" t="s">
        <v>5</v>
      </c>
      <c r="AL381" s="1" t="s">
        <v>150</v>
      </c>
      <c r="AO381" s="1" t="s">
        <v>150</v>
      </c>
      <c r="BA381" s="1" t="s">
        <v>154</v>
      </c>
      <c r="BC381" s="9"/>
      <c r="BG381" s="1" t="s">
        <v>154</v>
      </c>
      <c r="BI381" s="1" t="s">
        <v>154</v>
      </c>
      <c r="BK381" s="1" t="s">
        <v>150</v>
      </c>
      <c r="BM381" s="1" t="s">
        <v>154</v>
      </c>
      <c r="BO381" s="1" t="s">
        <v>150</v>
      </c>
      <c r="BR381" s="1" t="s">
        <v>154</v>
      </c>
      <c r="BU381" s="1" t="s">
        <v>157</v>
      </c>
      <c r="BW381" s="1" t="s">
        <v>154</v>
      </c>
      <c r="BX381" s="1" t="s">
        <v>150</v>
      </c>
      <c r="BZ381" s="1" t="s">
        <v>158</v>
      </c>
      <c r="CA381" s="1" t="s">
        <v>154</v>
      </c>
      <c r="CB381" s="1" t="s">
        <v>150</v>
      </c>
      <c r="CC381" s="15" t="s">
        <v>150</v>
      </c>
      <c r="CD381" s="1" t="s">
        <v>150</v>
      </c>
      <c r="CE381" s="1" t="s">
        <v>150</v>
      </c>
      <c r="CF381" s="1" t="s">
        <v>150</v>
      </c>
      <c r="CG381" s="1" t="s">
        <v>150</v>
      </c>
      <c r="CH381" s="1" t="s">
        <v>150</v>
      </c>
      <c r="CI381" s="1" t="s">
        <v>150</v>
      </c>
      <c r="CJ381" s="1" t="s">
        <v>150</v>
      </c>
      <c r="CK381" s="1" t="s">
        <v>150</v>
      </c>
      <c r="FC381" s="39" t="s">
        <v>445</v>
      </c>
    </row>
    <row r="382">
      <c r="B382" s="53"/>
      <c r="D382" s="39" t="s">
        <v>445</v>
      </c>
      <c r="F382" s="1" t="s">
        <v>149</v>
      </c>
      <c r="I382" s="1" t="s">
        <v>150</v>
      </c>
      <c r="J382" s="1" t="s">
        <v>150</v>
      </c>
      <c r="L382" s="1" t="s">
        <v>150</v>
      </c>
      <c r="M382" s="1" t="s">
        <v>154</v>
      </c>
      <c r="O382" s="1" t="s">
        <v>154</v>
      </c>
      <c r="P382" s="9"/>
      <c r="Q382" s="1" t="s">
        <v>154</v>
      </c>
      <c r="S382" s="1" t="s">
        <v>150</v>
      </c>
      <c r="Y382" s="1" t="s">
        <v>150</v>
      </c>
      <c r="AE382" s="1" t="s">
        <v>154</v>
      </c>
      <c r="AH382" s="1" t="s">
        <v>154</v>
      </c>
      <c r="AK382" s="1" t="s">
        <v>5</v>
      </c>
      <c r="AL382" s="1" t="s">
        <v>150</v>
      </c>
      <c r="AO382" s="1" t="s">
        <v>150</v>
      </c>
      <c r="BA382" s="1" t="s">
        <v>154</v>
      </c>
      <c r="BC382" s="9"/>
      <c r="BG382" s="1" t="s">
        <v>154</v>
      </c>
      <c r="BI382" s="1" t="s">
        <v>154</v>
      </c>
      <c r="BK382" s="1" t="s">
        <v>150</v>
      </c>
      <c r="BM382" s="1" t="s">
        <v>154</v>
      </c>
      <c r="BO382" s="1" t="s">
        <v>150</v>
      </c>
      <c r="BR382" s="1" t="s">
        <v>154</v>
      </c>
      <c r="BU382" s="1" t="s">
        <v>157</v>
      </c>
      <c r="BW382" s="1" t="s">
        <v>154</v>
      </c>
      <c r="BX382" s="1" t="s">
        <v>150</v>
      </c>
      <c r="BZ382" s="1" t="s">
        <v>158</v>
      </c>
      <c r="CA382" s="1" t="s">
        <v>154</v>
      </c>
      <c r="CB382" s="1" t="s">
        <v>150</v>
      </c>
      <c r="CC382" s="15" t="s">
        <v>150</v>
      </c>
      <c r="CD382" s="1" t="s">
        <v>150</v>
      </c>
      <c r="CE382" s="1" t="s">
        <v>150</v>
      </c>
      <c r="CF382" s="1" t="s">
        <v>150</v>
      </c>
      <c r="CG382" s="1" t="s">
        <v>150</v>
      </c>
      <c r="CH382" s="1" t="s">
        <v>150</v>
      </c>
      <c r="CI382" s="1" t="s">
        <v>150</v>
      </c>
      <c r="CJ382" s="1" t="s">
        <v>150</v>
      </c>
      <c r="CK382" s="1" t="s">
        <v>150</v>
      </c>
      <c r="FC382" s="39" t="s">
        <v>445</v>
      </c>
    </row>
    <row r="383">
      <c r="B383" s="53"/>
      <c r="D383" s="39" t="s">
        <v>445</v>
      </c>
      <c r="F383" s="1" t="s">
        <v>149</v>
      </c>
      <c r="I383" s="1" t="s">
        <v>150</v>
      </c>
      <c r="J383" s="1" t="s">
        <v>150</v>
      </c>
      <c r="L383" s="1" t="s">
        <v>150</v>
      </c>
      <c r="M383" s="1" t="s">
        <v>154</v>
      </c>
      <c r="O383" s="1" t="s">
        <v>154</v>
      </c>
      <c r="P383" s="9"/>
      <c r="Q383" s="1" t="s">
        <v>154</v>
      </c>
      <c r="S383" s="1" t="s">
        <v>150</v>
      </c>
      <c r="Y383" s="1" t="s">
        <v>150</v>
      </c>
      <c r="AE383" s="1" t="s">
        <v>154</v>
      </c>
      <c r="AH383" s="1" t="s">
        <v>154</v>
      </c>
      <c r="AK383" s="1" t="s">
        <v>5</v>
      </c>
      <c r="AL383" s="1" t="s">
        <v>150</v>
      </c>
      <c r="AO383" s="1" t="s">
        <v>150</v>
      </c>
      <c r="BA383" s="1" t="s">
        <v>154</v>
      </c>
      <c r="BC383" s="9"/>
      <c r="BG383" s="1" t="s">
        <v>154</v>
      </c>
      <c r="BI383" s="1" t="s">
        <v>154</v>
      </c>
      <c r="BK383" s="1" t="s">
        <v>150</v>
      </c>
      <c r="BM383" s="1" t="s">
        <v>154</v>
      </c>
      <c r="BO383" s="1" t="s">
        <v>150</v>
      </c>
      <c r="BR383" s="1" t="s">
        <v>154</v>
      </c>
      <c r="BU383" s="1" t="s">
        <v>157</v>
      </c>
      <c r="BW383" s="1" t="s">
        <v>154</v>
      </c>
      <c r="BX383" s="1" t="s">
        <v>150</v>
      </c>
      <c r="BZ383" s="1" t="s">
        <v>158</v>
      </c>
      <c r="CA383" s="1" t="s">
        <v>154</v>
      </c>
      <c r="CB383" s="1" t="s">
        <v>150</v>
      </c>
      <c r="CC383" s="15" t="s">
        <v>150</v>
      </c>
      <c r="CD383" s="1" t="s">
        <v>150</v>
      </c>
      <c r="CE383" s="1" t="s">
        <v>150</v>
      </c>
      <c r="CF383" s="1" t="s">
        <v>150</v>
      </c>
      <c r="CG383" s="1" t="s">
        <v>150</v>
      </c>
      <c r="CH383" s="1" t="s">
        <v>150</v>
      </c>
      <c r="CI383" s="1" t="s">
        <v>150</v>
      </c>
      <c r="CJ383" s="1" t="s">
        <v>150</v>
      </c>
      <c r="CK383" s="1" t="s">
        <v>150</v>
      </c>
      <c r="FC383" s="39" t="s">
        <v>445</v>
      </c>
    </row>
    <row r="384">
      <c r="B384" s="53"/>
      <c r="D384" s="39" t="s">
        <v>445</v>
      </c>
      <c r="F384" s="1" t="s">
        <v>149</v>
      </c>
      <c r="I384" s="1" t="s">
        <v>150</v>
      </c>
      <c r="J384" s="1" t="s">
        <v>150</v>
      </c>
      <c r="L384" s="1" t="s">
        <v>150</v>
      </c>
      <c r="M384" s="1" t="s">
        <v>154</v>
      </c>
      <c r="O384" s="1" t="s">
        <v>154</v>
      </c>
      <c r="P384" s="9"/>
      <c r="Q384" s="1" t="s">
        <v>154</v>
      </c>
      <c r="S384" s="1" t="s">
        <v>150</v>
      </c>
      <c r="Y384" s="1" t="s">
        <v>150</v>
      </c>
      <c r="AE384" s="1" t="s">
        <v>154</v>
      </c>
      <c r="AH384" s="1" t="s">
        <v>154</v>
      </c>
      <c r="AK384" s="1" t="s">
        <v>5</v>
      </c>
      <c r="AL384" s="1" t="s">
        <v>150</v>
      </c>
      <c r="AO384" s="1" t="s">
        <v>150</v>
      </c>
      <c r="BA384" s="1" t="s">
        <v>154</v>
      </c>
      <c r="BC384" s="9"/>
      <c r="BG384" s="1" t="s">
        <v>154</v>
      </c>
      <c r="BI384" s="1" t="s">
        <v>154</v>
      </c>
      <c r="BK384" s="1" t="s">
        <v>150</v>
      </c>
      <c r="BM384" s="1" t="s">
        <v>154</v>
      </c>
      <c r="BO384" s="1" t="s">
        <v>150</v>
      </c>
      <c r="BR384" s="1" t="s">
        <v>154</v>
      </c>
      <c r="BU384" s="1" t="s">
        <v>157</v>
      </c>
      <c r="BW384" s="1" t="s">
        <v>154</v>
      </c>
      <c r="BX384" s="1" t="s">
        <v>150</v>
      </c>
      <c r="BZ384" s="1" t="s">
        <v>158</v>
      </c>
      <c r="CA384" s="1" t="s">
        <v>154</v>
      </c>
      <c r="CB384" s="1" t="s">
        <v>150</v>
      </c>
      <c r="CC384" s="15" t="s">
        <v>150</v>
      </c>
      <c r="CD384" s="1" t="s">
        <v>150</v>
      </c>
      <c r="CE384" s="1" t="s">
        <v>150</v>
      </c>
      <c r="CF384" s="1" t="s">
        <v>150</v>
      </c>
      <c r="CG384" s="1" t="s">
        <v>150</v>
      </c>
      <c r="CH384" s="1" t="s">
        <v>150</v>
      </c>
      <c r="CI384" s="1" t="s">
        <v>150</v>
      </c>
      <c r="CJ384" s="1" t="s">
        <v>150</v>
      </c>
      <c r="CK384" s="1" t="s">
        <v>150</v>
      </c>
      <c r="FC384" s="39" t="s">
        <v>445</v>
      </c>
    </row>
    <row r="385">
      <c r="B385" s="53"/>
      <c r="D385" s="39" t="s">
        <v>445</v>
      </c>
      <c r="F385" s="1" t="s">
        <v>149</v>
      </c>
      <c r="I385" s="1" t="s">
        <v>150</v>
      </c>
      <c r="J385" s="1" t="s">
        <v>150</v>
      </c>
      <c r="L385" s="1" t="s">
        <v>150</v>
      </c>
      <c r="M385" s="1" t="s">
        <v>154</v>
      </c>
      <c r="O385" s="1" t="s">
        <v>154</v>
      </c>
      <c r="P385" s="9"/>
      <c r="Q385" s="1" t="s">
        <v>154</v>
      </c>
      <c r="S385" s="1" t="s">
        <v>150</v>
      </c>
      <c r="Y385" s="1" t="s">
        <v>150</v>
      </c>
      <c r="AE385" s="1" t="s">
        <v>154</v>
      </c>
      <c r="AH385" s="1" t="s">
        <v>154</v>
      </c>
      <c r="AK385" s="1" t="s">
        <v>5</v>
      </c>
      <c r="AL385" s="1" t="s">
        <v>150</v>
      </c>
      <c r="AO385" s="1" t="s">
        <v>150</v>
      </c>
      <c r="BA385" s="1" t="s">
        <v>154</v>
      </c>
      <c r="BC385" s="9"/>
      <c r="BG385" s="1" t="s">
        <v>154</v>
      </c>
      <c r="BI385" s="1" t="s">
        <v>154</v>
      </c>
      <c r="BK385" s="1" t="s">
        <v>150</v>
      </c>
      <c r="BM385" s="1" t="s">
        <v>154</v>
      </c>
      <c r="BO385" s="1" t="s">
        <v>150</v>
      </c>
      <c r="BR385" s="1" t="s">
        <v>154</v>
      </c>
      <c r="BU385" s="1" t="s">
        <v>157</v>
      </c>
      <c r="BW385" s="1" t="s">
        <v>154</v>
      </c>
      <c r="BX385" s="1" t="s">
        <v>150</v>
      </c>
      <c r="BZ385" s="1" t="s">
        <v>158</v>
      </c>
      <c r="CA385" s="1" t="s">
        <v>154</v>
      </c>
      <c r="CB385" s="1" t="s">
        <v>150</v>
      </c>
      <c r="CC385" s="15" t="s">
        <v>150</v>
      </c>
      <c r="CD385" s="1" t="s">
        <v>150</v>
      </c>
      <c r="CE385" s="1" t="s">
        <v>150</v>
      </c>
      <c r="CF385" s="1" t="s">
        <v>150</v>
      </c>
      <c r="CG385" s="1" t="s">
        <v>150</v>
      </c>
      <c r="CH385" s="1" t="s">
        <v>150</v>
      </c>
      <c r="CI385" s="1" t="s">
        <v>150</v>
      </c>
      <c r="CJ385" s="1" t="s">
        <v>150</v>
      </c>
      <c r="CK385" s="1" t="s">
        <v>150</v>
      </c>
      <c r="FC385" s="39" t="s">
        <v>445</v>
      </c>
    </row>
    <row r="386">
      <c r="B386" s="53"/>
      <c r="D386" s="39" t="s">
        <v>445</v>
      </c>
      <c r="F386" s="1" t="s">
        <v>149</v>
      </c>
      <c r="I386" s="1" t="s">
        <v>150</v>
      </c>
      <c r="J386" s="1" t="s">
        <v>150</v>
      </c>
      <c r="L386" s="1" t="s">
        <v>150</v>
      </c>
      <c r="M386" s="1" t="s">
        <v>154</v>
      </c>
      <c r="O386" s="1" t="s">
        <v>154</v>
      </c>
      <c r="P386" s="9"/>
      <c r="Q386" s="1" t="s">
        <v>154</v>
      </c>
      <c r="S386" s="1" t="s">
        <v>150</v>
      </c>
      <c r="Y386" s="1" t="s">
        <v>150</v>
      </c>
      <c r="AE386" s="1" t="s">
        <v>154</v>
      </c>
      <c r="AH386" s="1" t="s">
        <v>154</v>
      </c>
      <c r="AK386" s="1" t="s">
        <v>5</v>
      </c>
      <c r="AL386" s="1" t="s">
        <v>150</v>
      </c>
      <c r="AO386" s="1" t="s">
        <v>150</v>
      </c>
      <c r="BA386" s="1" t="s">
        <v>154</v>
      </c>
      <c r="BC386" s="9"/>
      <c r="BG386" s="1" t="s">
        <v>154</v>
      </c>
      <c r="BI386" s="1" t="s">
        <v>154</v>
      </c>
      <c r="BK386" s="1" t="s">
        <v>150</v>
      </c>
      <c r="BM386" s="1" t="s">
        <v>154</v>
      </c>
      <c r="BO386" s="1" t="s">
        <v>150</v>
      </c>
      <c r="BR386" s="1" t="s">
        <v>154</v>
      </c>
      <c r="BU386" s="1" t="s">
        <v>157</v>
      </c>
      <c r="BW386" s="1" t="s">
        <v>154</v>
      </c>
      <c r="BX386" s="1" t="s">
        <v>150</v>
      </c>
      <c r="BZ386" s="1" t="s">
        <v>158</v>
      </c>
      <c r="CA386" s="1" t="s">
        <v>154</v>
      </c>
      <c r="CB386" s="1" t="s">
        <v>150</v>
      </c>
      <c r="CC386" s="15" t="s">
        <v>150</v>
      </c>
      <c r="CD386" s="1" t="s">
        <v>150</v>
      </c>
      <c r="CE386" s="1" t="s">
        <v>150</v>
      </c>
      <c r="CF386" s="1" t="s">
        <v>150</v>
      </c>
      <c r="CG386" s="1" t="s">
        <v>150</v>
      </c>
      <c r="CH386" s="1" t="s">
        <v>150</v>
      </c>
      <c r="CI386" s="1" t="s">
        <v>150</v>
      </c>
      <c r="CJ386" s="1" t="s">
        <v>150</v>
      </c>
      <c r="CK386" s="1" t="s">
        <v>150</v>
      </c>
      <c r="FC386" s="39" t="s">
        <v>445</v>
      </c>
    </row>
    <row r="387">
      <c r="B387" s="53"/>
      <c r="D387" s="39" t="s">
        <v>445</v>
      </c>
      <c r="F387" s="1" t="s">
        <v>149</v>
      </c>
      <c r="I387" s="1" t="s">
        <v>150</v>
      </c>
      <c r="J387" s="1" t="s">
        <v>150</v>
      </c>
      <c r="L387" s="1" t="s">
        <v>150</v>
      </c>
      <c r="M387" s="1" t="s">
        <v>154</v>
      </c>
      <c r="O387" s="1" t="s">
        <v>154</v>
      </c>
      <c r="P387" s="9"/>
      <c r="Q387" s="1" t="s">
        <v>154</v>
      </c>
      <c r="S387" s="1" t="s">
        <v>150</v>
      </c>
      <c r="Y387" s="1" t="s">
        <v>150</v>
      </c>
      <c r="AE387" s="1" t="s">
        <v>154</v>
      </c>
      <c r="AH387" s="1" t="s">
        <v>154</v>
      </c>
      <c r="AK387" s="1" t="s">
        <v>5</v>
      </c>
      <c r="AL387" s="1" t="s">
        <v>150</v>
      </c>
      <c r="AO387" s="1" t="s">
        <v>150</v>
      </c>
      <c r="BA387" s="1" t="s">
        <v>154</v>
      </c>
      <c r="BC387" s="9"/>
      <c r="BG387" s="1" t="s">
        <v>154</v>
      </c>
      <c r="BI387" s="1" t="s">
        <v>154</v>
      </c>
      <c r="BK387" s="1" t="s">
        <v>150</v>
      </c>
      <c r="BM387" s="1" t="s">
        <v>154</v>
      </c>
      <c r="BO387" s="1" t="s">
        <v>150</v>
      </c>
      <c r="BR387" s="1" t="s">
        <v>154</v>
      </c>
      <c r="BU387" s="1" t="s">
        <v>157</v>
      </c>
      <c r="BW387" s="1" t="s">
        <v>154</v>
      </c>
      <c r="BX387" s="1" t="s">
        <v>150</v>
      </c>
      <c r="BZ387" s="1" t="s">
        <v>158</v>
      </c>
      <c r="CA387" s="1" t="s">
        <v>154</v>
      </c>
      <c r="CB387" s="1" t="s">
        <v>150</v>
      </c>
      <c r="CC387" s="15" t="s">
        <v>150</v>
      </c>
      <c r="CD387" s="1" t="s">
        <v>150</v>
      </c>
      <c r="CE387" s="1" t="s">
        <v>150</v>
      </c>
      <c r="CF387" s="1" t="s">
        <v>150</v>
      </c>
      <c r="CG387" s="1" t="s">
        <v>150</v>
      </c>
      <c r="CH387" s="1" t="s">
        <v>150</v>
      </c>
      <c r="CI387" s="1" t="s">
        <v>150</v>
      </c>
      <c r="CJ387" s="1" t="s">
        <v>150</v>
      </c>
      <c r="CK387" s="1" t="s">
        <v>150</v>
      </c>
      <c r="FC387" s="39" t="s">
        <v>445</v>
      </c>
    </row>
    <row r="388">
      <c r="B388" s="53"/>
      <c r="D388" s="39" t="s">
        <v>445</v>
      </c>
      <c r="F388" s="1" t="s">
        <v>149</v>
      </c>
      <c r="I388" s="1" t="s">
        <v>150</v>
      </c>
      <c r="J388" s="1" t="s">
        <v>150</v>
      </c>
      <c r="L388" s="1" t="s">
        <v>150</v>
      </c>
      <c r="M388" s="1" t="s">
        <v>154</v>
      </c>
      <c r="O388" s="1" t="s">
        <v>154</v>
      </c>
      <c r="P388" s="9"/>
      <c r="Q388" s="1" t="s">
        <v>154</v>
      </c>
      <c r="S388" s="1" t="s">
        <v>150</v>
      </c>
      <c r="Y388" s="1" t="s">
        <v>150</v>
      </c>
      <c r="AE388" s="1" t="s">
        <v>154</v>
      </c>
      <c r="AH388" s="1" t="s">
        <v>154</v>
      </c>
      <c r="AK388" s="1" t="s">
        <v>5</v>
      </c>
      <c r="AL388" s="1" t="s">
        <v>150</v>
      </c>
      <c r="AO388" s="1" t="s">
        <v>150</v>
      </c>
      <c r="BA388" s="1" t="s">
        <v>154</v>
      </c>
      <c r="BC388" s="9"/>
      <c r="BG388" s="1" t="s">
        <v>154</v>
      </c>
      <c r="BI388" s="1" t="s">
        <v>154</v>
      </c>
      <c r="BK388" s="1" t="s">
        <v>150</v>
      </c>
      <c r="BM388" s="1" t="s">
        <v>154</v>
      </c>
      <c r="BO388" s="1" t="s">
        <v>150</v>
      </c>
      <c r="BR388" s="1" t="s">
        <v>154</v>
      </c>
      <c r="BU388" s="1" t="s">
        <v>157</v>
      </c>
      <c r="BW388" s="1" t="s">
        <v>154</v>
      </c>
      <c r="BX388" s="1" t="s">
        <v>150</v>
      </c>
      <c r="BZ388" s="1" t="s">
        <v>158</v>
      </c>
      <c r="CA388" s="1" t="s">
        <v>154</v>
      </c>
      <c r="CB388" s="1" t="s">
        <v>150</v>
      </c>
      <c r="CC388" s="15" t="s">
        <v>150</v>
      </c>
      <c r="CD388" s="1" t="s">
        <v>150</v>
      </c>
      <c r="CE388" s="1" t="s">
        <v>150</v>
      </c>
      <c r="CF388" s="1" t="s">
        <v>150</v>
      </c>
      <c r="CG388" s="1" t="s">
        <v>150</v>
      </c>
      <c r="CH388" s="1" t="s">
        <v>150</v>
      </c>
      <c r="CI388" s="1" t="s">
        <v>150</v>
      </c>
      <c r="CJ388" s="1" t="s">
        <v>150</v>
      </c>
      <c r="CK388" s="1" t="s">
        <v>150</v>
      </c>
      <c r="FC388" s="39" t="s">
        <v>445</v>
      </c>
    </row>
    <row r="389">
      <c r="B389" s="53"/>
      <c r="D389" s="39" t="s">
        <v>445</v>
      </c>
      <c r="F389" s="1" t="s">
        <v>149</v>
      </c>
      <c r="I389" s="1" t="s">
        <v>150</v>
      </c>
      <c r="J389" s="1" t="s">
        <v>150</v>
      </c>
      <c r="L389" s="1" t="s">
        <v>150</v>
      </c>
      <c r="M389" s="1" t="s">
        <v>154</v>
      </c>
      <c r="O389" s="1" t="s">
        <v>154</v>
      </c>
      <c r="P389" s="9"/>
      <c r="Q389" s="1" t="s">
        <v>154</v>
      </c>
      <c r="S389" s="1" t="s">
        <v>150</v>
      </c>
      <c r="Y389" s="1" t="s">
        <v>150</v>
      </c>
      <c r="AE389" s="1" t="s">
        <v>154</v>
      </c>
      <c r="AH389" s="1" t="s">
        <v>154</v>
      </c>
      <c r="AK389" s="1" t="s">
        <v>5</v>
      </c>
      <c r="AL389" s="1" t="s">
        <v>150</v>
      </c>
      <c r="AO389" s="1" t="s">
        <v>150</v>
      </c>
      <c r="BA389" s="1" t="s">
        <v>154</v>
      </c>
      <c r="BC389" s="9"/>
      <c r="BG389" s="1" t="s">
        <v>154</v>
      </c>
      <c r="BI389" s="1" t="s">
        <v>154</v>
      </c>
      <c r="BK389" s="1" t="s">
        <v>150</v>
      </c>
      <c r="BM389" s="1" t="s">
        <v>154</v>
      </c>
      <c r="BO389" s="1" t="s">
        <v>150</v>
      </c>
      <c r="BR389" s="1" t="s">
        <v>154</v>
      </c>
      <c r="BU389" s="1" t="s">
        <v>157</v>
      </c>
      <c r="BW389" s="1" t="s">
        <v>154</v>
      </c>
      <c r="BX389" s="1" t="s">
        <v>150</v>
      </c>
      <c r="BZ389" s="1" t="s">
        <v>158</v>
      </c>
      <c r="CA389" s="1" t="s">
        <v>154</v>
      </c>
      <c r="CB389" s="1" t="s">
        <v>150</v>
      </c>
      <c r="CC389" s="15" t="s">
        <v>150</v>
      </c>
      <c r="CD389" s="1" t="s">
        <v>150</v>
      </c>
      <c r="CE389" s="1" t="s">
        <v>150</v>
      </c>
      <c r="CF389" s="1" t="s">
        <v>150</v>
      </c>
      <c r="CG389" s="1" t="s">
        <v>150</v>
      </c>
      <c r="CH389" s="1" t="s">
        <v>150</v>
      </c>
      <c r="CI389" s="1" t="s">
        <v>150</v>
      </c>
      <c r="CJ389" s="1" t="s">
        <v>150</v>
      </c>
      <c r="CK389" s="1" t="s">
        <v>150</v>
      </c>
      <c r="FC389" s="39" t="s">
        <v>445</v>
      </c>
    </row>
    <row r="390">
      <c r="B390" s="53"/>
      <c r="D390" s="39" t="s">
        <v>445</v>
      </c>
      <c r="F390" s="1" t="s">
        <v>149</v>
      </c>
      <c r="I390" s="1" t="s">
        <v>150</v>
      </c>
      <c r="J390" s="1" t="s">
        <v>150</v>
      </c>
      <c r="L390" s="1" t="s">
        <v>150</v>
      </c>
      <c r="M390" s="1" t="s">
        <v>154</v>
      </c>
      <c r="O390" s="1" t="s">
        <v>154</v>
      </c>
      <c r="P390" s="9"/>
      <c r="Q390" s="1" t="s">
        <v>154</v>
      </c>
      <c r="S390" s="1" t="s">
        <v>150</v>
      </c>
      <c r="Y390" s="1" t="s">
        <v>150</v>
      </c>
      <c r="AE390" s="1" t="s">
        <v>154</v>
      </c>
      <c r="AH390" s="1" t="s">
        <v>154</v>
      </c>
      <c r="AK390" s="1" t="s">
        <v>5</v>
      </c>
      <c r="AL390" s="1" t="s">
        <v>150</v>
      </c>
      <c r="AO390" s="1" t="s">
        <v>150</v>
      </c>
      <c r="BA390" s="1" t="s">
        <v>154</v>
      </c>
      <c r="BC390" s="9"/>
      <c r="BG390" s="1" t="s">
        <v>154</v>
      </c>
      <c r="BI390" s="1" t="s">
        <v>154</v>
      </c>
      <c r="BK390" s="1" t="s">
        <v>150</v>
      </c>
      <c r="BM390" s="1" t="s">
        <v>154</v>
      </c>
      <c r="BO390" s="1" t="s">
        <v>150</v>
      </c>
      <c r="BR390" s="1" t="s">
        <v>154</v>
      </c>
      <c r="BU390" s="1" t="s">
        <v>157</v>
      </c>
      <c r="BW390" s="1" t="s">
        <v>154</v>
      </c>
      <c r="BX390" s="1" t="s">
        <v>150</v>
      </c>
      <c r="BZ390" s="1" t="s">
        <v>158</v>
      </c>
      <c r="CA390" s="1" t="s">
        <v>154</v>
      </c>
      <c r="CB390" s="1" t="s">
        <v>150</v>
      </c>
      <c r="CC390" s="15" t="s">
        <v>150</v>
      </c>
      <c r="CD390" s="1" t="s">
        <v>150</v>
      </c>
      <c r="CE390" s="1" t="s">
        <v>150</v>
      </c>
      <c r="CF390" s="1" t="s">
        <v>150</v>
      </c>
      <c r="CG390" s="1" t="s">
        <v>150</v>
      </c>
      <c r="CH390" s="1" t="s">
        <v>150</v>
      </c>
      <c r="CI390" s="1" t="s">
        <v>150</v>
      </c>
      <c r="CJ390" s="1" t="s">
        <v>150</v>
      </c>
      <c r="CK390" s="1" t="s">
        <v>150</v>
      </c>
      <c r="FC390" s="39" t="s">
        <v>445</v>
      </c>
    </row>
    <row r="391">
      <c r="B391" s="53"/>
      <c r="D391" s="39" t="s">
        <v>445</v>
      </c>
      <c r="F391" s="1" t="s">
        <v>149</v>
      </c>
      <c r="I391" s="1" t="s">
        <v>150</v>
      </c>
      <c r="J391" s="1" t="s">
        <v>150</v>
      </c>
      <c r="L391" s="1" t="s">
        <v>150</v>
      </c>
      <c r="M391" s="1" t="s">
        <v>154</v>
      </c>
      <c r="O391" s="1" t="s">
        <v>154</v>
      </c>
      <c r="P391" s="9"/>
      <c r="Q391" s="1" t="s">
        <v>154</v>
      </c>
      <c r="S391" s="1" t="s">
        <v>150</v>
      </c>
      <c r="Y391" s="1" t="s">
        <v>150</v>
      </c>
      <c r="AE391" s="1" t="s">
        <v>154</v>
      </c>
      <c r="AH391" s="1" t="s">
        <v>154</v>
      </c>
      <c r="AK391" s="1" t="s">
        <v>5</v>
      </c>
      <c r="AL391" s="1" t="s">
        <v>150</v>
      </c>
      <c r="AO391" s="1" t="s">
        <v>150</v>
      </c>
      <c r="BA391" s="1" t="s">
        <v>154</v>
      </c>
      <c r="BC391" s="9"/>
      <c r="BG391" s="1" t="s">
        <v>154</v>
      </c>
      <c r="BI391" s="1" t="s">
        <v>154</v>
      </c>
      <c r="BK391" s="1" t="s">
        <v>150</v>
      </c>
      <c r="BM391" s="1" t="s">
        <v>154</v>
      </c>
      <c r="BO391" s="1" t="s">
        <v>150</v>
      </c>
      <c r="BR391" s="1" t="s">
        <v>154</v>
      </c>
      <c r="BU391" s="1" t="s">
        <v>157</v>
      </c>
      <c r="BW391" s="1" t="s">
        <v>154</v>
      </c>
      <c r="BX391" s="1" t="s">
        <v>150</v>
      </c>
      <c r="BZ391" s="1" t="s">
        <v>158</v>
      </c>
      <c r="CA391" s="1" t="s">
        <v>154</v>
      </c>
      <c r="CB391" s="1" t="s">
        <v>150</v>
      </c>
      <c r="CC391" s="15" t="s">
        <v>150</v>
      </c>
      <c r="CD391" s="1" t="s">
        <v>150</v>
      </c>
      <c r="CE391" s="1" t="s">
        <v>150</v>
      </c>
      <c r="CF391" s="1" t="s">
        <v>150</v>
      </c>
      <c r="CG391" s="1" t="s">
        <v>150</v>
      </c>
      <c r="CH391" s="1" t="s">
        <v>150</v>
      </c>
      <c r="CI391" s="1" t="s">
        <v>150</v>
      </c>
      <c r="CJ391" s="1" t="s">
        <v>150</v>
      </c>
      <c r="CK391" s="1" t="s">
        <v>150</v>
      </c>
      <c r="FC391" s="39" t="s">
        <v>445</v>
      </c>
    </row>
    <row r="392">
      <c r="B392" s="53"/>
      <c r="D392" s="39" t="s">
        <v>445</v>
      </c>
      <c r="F392" s="1" t="s">
        <v>149</v>
      </c>
      <c r="I392" s="1" t="s">
        <v>150</v>
      </c>
      <c r="J392" s="1" t="s">
        <v>150</v>
      </c>
      <c r="L392" s="1" t="s">
        <v>150</v>
      </c>
      <c r="M392" s="1" t="s">
        <v>154</v>
      </c>
      <c r="O392" s="1" t="s">
        <v>154</v>
      </c>
      <c r="P392" s="9"/>
      <c r="Q392" s="1" t="s">
        <v>154</v>
      </c>
      <c r="S392" s="1" t="s">
        <v>150</v>
      </c>
      <c r="Y392" s="1" t="s">
        <v>150</v>
      </c>
      <c r="AE392" s="1" t="s">
        <v>154</v>
      </c>
      <c r="AH392" s="1" t="s">
        <v>154</v>
      </c>
      <c r="AK392" s="1" t="s">
        <v>5</v>
      </c>
      <c r="AL392" s="1" t="s">
        <v>150</v>
      </c>
      <c r="AO392" s="1" t="s">
        <v>150</v>
      </c>
      <c r="BA392" s="1" t="s">
        <v>154</v>
      </c>
      <c r="BC392" s="9"/>
      <c r="BG392" s="1" t="s">
        <v>154</v>
      </c>
      <c r="BI392" s="1" t="s">
        <v>154</v>
      </c>
      <c r="BK392" s="1" t="s">
        <v>150</v>
      </c>
      <c r="BM392" s="1" t="s">
        <v>154</v>
      </c>
      <c r="BO392" s="1" t="s">
        <v>150</v>
      </c>
      <c r="BR392" s="1" t="s">
        <v>154</v>
      </c>
      <c r="BU392" s="1" t="s">
        <v>157</v>
      </c>
      <c r="BW392" s="1" t="s">
        <v>154</v>
      </c>
      <c r="BX392" s="1" t="s">
        <v>150</v>
      </c>
      <c r="BZ392" s="1" t="s">
        <v>158</v>
      </c>
      <c r="CA392" s="1" t="s">
        <v>154</v>
      </c>
      <c r="CB392" s="1" t="s">
        <v>150</v>
      </c>
      <c r="CC392" s="15" t="s">
        <v>150</v>
      </c>
      <c r="CD392" s="1" t="s">
        <v>150</v>
      </c>
      <c r="CE392" s="1" t="s">
        <v>150</v>
      </c>
      <c r="CF392" s="1" t="s">
        <v>150</v>
      </c>
      <c r="CG392" s="1" t="s">
        <v>150</v>
      </c>
      <c r="CH392" s="1" t="s">
        <v>150</v>
      </c>
      <c r="CI392" s="1" t="s">
        <v>150</v>
      </c>
      <c r="CJ392" s="1" t="s">
        <v>150</v>
      </c>
      <c r="CK392" s="1" t="s">
        <v>150</v>
      </c>
      <c r="FC392" s="39" t="s">
        <v>445</v>
      </c>
    </row>
    <row r="393">
      <c r="B393" s="53"/>
      <c r="D393" s="39" t="s">
        <v>445</v>
      </c>
      <c r="F393" s="1" t="s">
        <v>149</v>
      </c>
      <c r="I393" s="1" t="s">
        <v>150</v>
      </c>
      <c r="J393" s="1" t="s">
        <v>150</v>
      </c>
      <c r="L393" s="1" t="s">
        <v>150</v>
      </c>
      <c r="M393" s="1" t="s">
        <v>154</v>
      </c>
      <c r="O393" s="1" t="s">
        <v>154</v>
      </c>
      <c r="P393" s="9"/>
      <c r="Q393" s="1" t="s">
        <v>154</v>
      </c>
      <c r="S393" s="1" t="s">
        <v>150</v>
      </c>
      <c r="Y393" s="1" t="s">
        <v>150</v>
      </c>
      <c r="AE393" s="1" t="s">
        <v>154</v>
      </c>
      <c r="AH393" s="1" t="s">
        <v>154</v>
      </c>
      <c r="AK393" s="1" t="s">
        <v>5</v>
      </c>
      <c r="AL393" s="1" t="s">
        <v>150</v>
      </c>
      <c r="AO393" s="1" t="s">
        <v>150</v>
      </c>
      <c r="BA393" s="1" t="s">
        <v>154</v>
      </c>
      <c r="BC393" s="9"/>
      <c r="BG393" s="1" t="s">
        <v>154</v>
      </c>
      <c r="BI393" s="1" t="s">
        <v>154</v>
      </c>
      <c r="BK393" s="1" t="s">
        <v>150</v>
      </c>
      <c r="BM393" s="1" t="s">
        <v>154</v>
      </c>
      <c r="BO393" s="1" t="s">
        <v>150</v>
      </c>
      <c r="BR393" s="1" t="s">
        <v>154</v>
      </c>
      <c r="BU393" s="1" t="s">
        <v>157</v>
      </c>
      <c r="BW393" s="1" t="s">
        <v>154</v>
      </c>
      <c r="BX393" s="1" t="s">
        <v>150</v>
      </c>
      <c r="BZ393" s="1" t="s">
        <v>158</v>
      </c>
      <c r="CA393" s="1" t="s">
        <v>154</v>
      </c>
      <c r="CB393" s="1" t="s">
        <v>150</v>
      </c>
      <c r="CC393" s="15" t="s">
        <v>150</v>
      </c>
      <c r="CD393" s="1" t="s">
        <v>150</v>
      </c>
      <c r="CE393" s="1" t="s">
        <v>150</v>
      </c>
      <c r="CF393" s="1" t="s">
        <v>150</v>
      </c>
      <c r="CG393" s="1" t="s">
        <v>150</v>
      </c>
      <c r="CH393" s="1" t="s">
        <v>150</v>
      </c>
      <c r="CI393" s="1" t="s">
        <v>150</v>
      </c>
      <c r="CJ393" s="1" t="s">
        <v>150</v>
      </c>
      <c r="CK393" s="1" t="s">
        <v>150</v>
      </c>
      <c r="FC393" s="39" t="s">
        <v>445</v>
      </c>
    </row>
    <row r="394">
      <c r="B394" s="53"/>
      <c r="D394" s="39" t="s">
        <v>445</v>
      </c>
      <c r="F394" s="1" t="s">
        <v>149</v>
      </c>
      <c r="I394" s="1" t="s">
        <v>150</v>
      </c>
      <c r="J394" s="1" t="s">
        <v>150</v>
      </c>
      <c r="L394" s="1" t="s">
        <v>150</v>
      </c>
      <c r="M394" s="1" t="s">
        <v>154</v>
      </c>
      <c r="O394" s="1" t="s">
        <v>154</v>
      </c>
      <c r="P394" s="9"/>
      <c r="Q394" s="1" t="s">
        <v>154</v>
      </c>
      <c r="S394" s="1" t="s">
        <v>150</v>
      </c>
      <c r="Y394" s="1" t="s">
        <v>150</v>
      </c>
      <c r="AE394" s="1" t="s">
        <v>154</v>
      </c>
      <c r="AH394" s="1" t="s">
        <v>154</v>
      </c>
      <c r="AK394" s="1" t="s">
        <v>5</v>
      </c>
      <c r="AL394" s="1" t="s">
        <v>150</v>
      </c>
      <c r="AO394" s="1" t="s">
        <v>150</v>
      </c>
      <c r="BA394" s="1" t="s">
        <v>154</v>
      </c>
      <c r="BC394" s="9"/>
      <c r="BG394" s="1" t="s">
        <v>154</v>
      </c>
      <c r="BI394" s="1" t="s">
        <v>154</v>
      </c>
      <c r="BK394" s="1" t="s">
        <v>150</v>
      </c>
      <c r="BM394" s="1" t="s">
        <v>154</v>
      </c>
      <c r="BO394" s="1" t="s">
        <v>150</v>
      </c>
      <c r="BR394" s="1" t="s">
        <v>154</v>
      </c>
      <c r="BU394" s="1" t="s">
        <v>157</v>
      </c>
      <c r="BW394" s="1" t="s">
        <v>154</v>
      </c>
      <c r="BX394" s="1" t="s">
        <v>150</v>
      </c>
      <c r="BZ394" s="1" t="s">
        <v>158</v>
      </c>
      <c r="CA394" s="1" t="s">
        <v>154</v>
      </c>
      <c r="CB394" s="1" t="s">
        <v>150</v>
      </c>
      <c r="CC394" s="15" t="s">
        <v>150</v>
      </c>
      <c r="CD394" s="1" t="s">
        <v>150</v>
      </c>
      <c r="CE394" s="1" t="s">
        <v>150</v>
      </c>
      <c r="CF394" s="1" t="s">
        <v>150</v>
      </c>
      <c r="CG394" s="1" t="s">
        <v>150</v>
      </c>
      <c r="CH394" s="1" t="s">
        <v>150</v>
      </c>
      <c r="CI394" s="1" t="s">
        <v>150</v>
      </c>
      <c r="CJ394" s="1" t="s">
        <v>150</v>
      </c>
      <c r="CK394" s="1" t="s">
        <v>150</v>
      </c>
      <c r="FC394" s="39" t="s">
        <v>445</v>
      </c>
    </row>
    <row r="395">
      <c r="B395" s="53"/>
      <c r="D395" s="39" t="s">
        <v>445</v>
      </c>
      <c r="F395" s="1" t="s">
        <v>149</v>
      </c>
      <c r="I395" s="1" t="s">
        <v>150</v>
      </c>
      <c r="J395" s="1" t="s">
        <v>150</v>
      </c>
      <c r="L395" s="1" t="s">
        <v>150</v>
      </c>
      <c r="M395" s="1" t="s">
        <v>154</v>
      </c>
      <c r="O395" s="1" t="s">
        <v>154</v>
      </c>
      <c r="P395" s="9"/>
      <c r="Q395" s="1" t="s">
        <v>154</v>
      </c>
      <c r="S395" s="1" t="s">
        <v>150</v>
      </c>
      <c r="Y395" s="1" t="s">
        <v>150</v>
      </c>
      <c r="AE395" s="1" t="s">
        <v>154</v>
      </c>
      <c r="AH395" s="1" t="s">
        <v>154</v>
      </c>
      <c r="AK395" s="1" t="s">
        <v>5</v>
      </c>
      <c r="AL395" s="1" t="s">
        <v>150</v>
      </c>
      <c r="AO395" s="1" t="s">
        <v>150</v>
      </c>
      <c r="BA395" s="1" t="s">
        <v>154</v>
      </c>
      <c r="BC395" s="9"/>
      <c r="BG395" s="1" t="s">
        <v>154</v>
      </c>
      <c r="BI395" s="1" t="s">
        <v>154</v>
      </c>
      <c r="BK395" s="1" t="s">
        <v>150</v>
      </c>
      <c r="BM395" s="1" t="s">
        <v>154</v>
      </c>
      <c r="BO395" s="1" t="s">
        <v>150</v>
      </c>
      <c r="BR395" s="1" t="s">
        <v>154</v>
      </c>
      <c r="BU395" s="1" t="s">
        <v>157</v>
      </c>
      <c r="BW395" s="1" t="s">
        <v>154</v>
      </c>
      <c r="BX395" s="1" t="s">
        <v>150</v>
      </c>
      <c r="BZ395" s="1" t="s">
        <v>158</v>
      </c>
      <c r="CA395" s="1" t="s">
        <v>154</v>
      </c>
      <c r="CB395" s="1" t="s">
        <v>150</v>
      </c>
      <c r="CC395" s="15" t="s">
        <v>150</v>
      </c>
      <c r="CD395" s="1" t="s">
        <v>150</v>
      </c>
      <c r="CE395" s="1" t="s">
        <v>150</v>
      </c>
      <c r="CF395" s="1" t="s">
        <v>150</v>
      </c>
      <c r="CG395" s="1" t="s">
        <v>150</v>
      </c>
      <c r="CH395" s="1" t="s">
        <v>150</v>
      </c>
      <c r="CI395" s="1" t="s">
        <v>150</v>
      </c>
      <c r="CJ395" s="1" t="s">
        <v>150</v>
      </c>
      <c r="CK395" s="1" t="s">
        <v>150</v>
      </c>
      <c r="FC395" s="39" t="s">
        <v>445</v>
      </c>
    </row>
    <row r="396">
      <c r="B396" s="53"/>
      <c r="D396" s="39" t="s">
        <v>445</v>
      </c>
      <c r="F396" s="1" t="s">
        <v>149</v>
      </c>
      <c r="I396" s="1" t="s">
        <v>150</v>
      </c>
      <c r="J396" s="1" t="s">
        <v>150</v>
      </c>
      <c r="L396" s="1" t="s">
        <v>150</v>
      </c>
      <c r="M396" s="1" t="s">
        <v>154</v>
      </c>
      <c r="O396" s="1" t="s">
        <v>154</v>
      </c>
      <c r="P396" s="9"/>
      <c r="Q396" s="1" t="s">
        <v>154</v>
      </c>
      <c r="S396" s="1" t="s">
        <v>150</v>
      </c>
      <c r="Y396" s="1" t="s">
        <v>150</v>
      </c>
      <c r="AE396" s="1" t="s">
        <v>154</v>
      </c>
      <c r="AH396" s="1" t="s">
        <v>154</v>
      </c>
      <c r="AK396" s="1" t="s">
        <v>5</v>
      </c>
      <c r="AL396" s="1" t="s">
        <v>150</v>
      </c>
      <c r="AO396" s="1" t="s">
        <v>150</v>
      </c>
      <c r="BA396" s="1" t="s">
        <v>154</v>
      </c>
      <c r="BC396" s="9"/>
      <c r="BG396" s="1" t="s">
        <v>154</v>
      </c>
      <c r="BI396" s="1" t="s">
        <v>154</v>
      </c>
      <c r="BK396" s="1" t="s">
        <v>150</v>
      </c>
      <c r="BM396" s="1" t="s">
        <v>154</v>
      </c>
      <c r="BO396" s="1" t="s">
        <v>150</v>
      </c>
      <c r="BR396" s="1" t="s">
        <v>154</v>
      </c>
      <c r="BU396" s="1" t="s">
        <v>157</v>
      </c>
      <c r="BW396" s="1" t="s">
        <v>154</v>
      </c>
      <c r="BX396" s="1" t="s">
        <v>150</v>
      </c>
      <c r="BZ396" s="1" t="s">
        <v>158</v>
      </c>
      <c r="CA396" s="1" t="s">
        <v>154</v>
      </c>
      <c r="CB396" s="1" t="s">
        <v>150</v>
      </c>
      <c r="CC396" s="15" t="s">
        <v>150</v>
      </c>
      <c r="CD396" s="1" t="s">
        <v>150</v>
      </c>
      <c r="CE396" s="1" t="s">
        <v>150</v>
      </c>
      <c r="CF396" s="1" t="s">
        <v>150</v>
      </c>
      <c r="CG396" s="1" t="s">
        <v>150</v>
      </c>
      <c r="CH396" s="1" t="s">
        <v>150</v>
      </c>
      <c r="CI396" s="1" t="s">
        <v>150</v>
      </c>
      <c r="CJ396" s="1" t="s">
        <v>150</v>
      </c>
      <c r="CK396" s="1" t="s">
        <v>150</v>
      </c>
      <c r="FC396" s="39" t="s">
        <v>445</v>
      </c>
    </row>
    <row r="397">
      <c r="B397" s="53"/>
      <c r="D397" s="39" t="s">
        <v>445</v>
      </c>
      <c r="F397" s="1" t="s">
        <v>149</v>
      </c>
      <c r="I397" s="1" t="s">
        <v>150</v>
      </c>
      <c r="J397" s="1" t="s">
        <v>150</v>
      </c>
      <c r="L397" s="1" t="s">
        <v>150</v>
      </c>
      <c r="M397" s="1" t="s">
        <v>154</v>
      </c>
      <c r="O397" s="1" t="s">
        <v>154</v>
      </c>
      <c r="P397" s="9"/>
      <c r="Q397" s="1" t="s">
        <v>154</v>
      </c>
      <c r="S397" s="1" t="s">
        <v>150</v>
      </c>
      <c r="Y397" s="1" t="s">
        <v>150</v>
      </c>
      <c r="AE397" s="1" t="s">
        <v>154</v>
      </c>
      <c r="AH397" s="1" t="s">
        <v>154</v>
      </c>
      <c r="AK397" s="1" t="s">
        <v>5</v>
      </c>
      <c r="AL397" s="1" t="s">
        <v>150</v>
      </c>
      <c r="AO397" s="1" t="s">
        <v>150</v>
      </c>
      <c r="BA397" s="1" t="s">
        <v>154</v>
      </c>
      <c r="BC397" s="9"/>
      <c r="BG397" s="1" t="s">
        <v>154</v>
      </c>
      <c r="BI397" s="1" t="s">
        <v>154</v>
      </c>
      <c r="BK397" s="1" t="s">
        <v>150</v>
      </c>
      <c r="BM397" s="1" t="s">
        <v>154</v>
      </c>
      <c r="BO397" s="1" t="s">
        <v>150</v>
      </c>
      <c r="BR397" s="1" t="s">
        <v>154</v>
      </c>
      <c r="BU397" s="1" t="s">
        <v>157</v>
      </c>
      <c r="BW397" s="1" t="s">
        <v>154</v>
      </c>
      <c r="BX397" s="1" t="s">
        <v>150</v>
      </c>
      <c r="BZ397" s="1" t="s">
        <v>158</v>
      </c>
      <c r="CA397" s="1" t="s">
        <v>154</v>
      </c>
      <c r="CB397" s="1" t="s">
        <v>150</v>
      </c>
      <c r="CC397" s="15" t="s">
        <v>150</v>
      </c>
      <c r="CD397" s="1" t="s">
        <v>150</v>
      </c>
      <c r="CE397" s="1" t="s">
        <v>150</v>
      </c>
      <c r="CF397" s="1" t="s">
        <v>150</v>
      </c>
      <c r="CG397" s="1" t="s">
        <v>150</v>
      </c>
      <c r="CH397" s="1" t="s">
        <v>150</v>
      </c>
      <c r="CI397" s="1" t="s">
        <v>150</v>
      </c>
      <c r="CJ397" s="1" t="s">
        <v>150</v>
      </c>
      <c r="CK397" s="1" t="s">
        <v>150</v>
      </c>
      <c r="FC397" s="39" t="s">
        <v>445</v>
      </c>
    </row>
    <row r="398">
      <c r="B398" s="53"/>
      <c r="D398" s="39" t="s">
        <v>445</v>
      </c>
      <c r="F398" s="1" t="s">
        <v>149</v>
      </c>
      <c r="I398" s="1" t="s">
        <v>150</v>
      </c>
      <c r="J398" s="1" t="s">
        <v>150</v>
      </c>
      <c r="L398" s="1" t="s">
        <v>150</v>
      </c>
      <c r="M398" s="1" t="s">
        <v>154</v>
      </c>
      <c r="O398" s="1" t="s">
        <v>154</v>
      </c>
      <c r="P398" s="9"/>
      <c r="Q398" s="1" t="s">
        <v>154</v>
      </c>
      <c r="S398" s="1" t="s">
        <v>150</v>
      </c>
      <c r="Y398" s="1" t="s">
        <v>150</v>
      </c>
      <c r="AE398" s="1" t="s">
        <v>154</v>
      </c>
      <c r="AH398" s="1" t="s">
        <v>154</v>
      </c>
      <c r="AK398" s="1" t="s">
        <v>5</v>
      </c>
      <c r="AL398" s="1" t="s">
        <v>150</v>
      </c>
      <c r="AO398" s="1" t="s">
        <v>150</v>
      </c>
      <c r="BA398" s="1" t="s">
        <v>154</v>
      </c>
      <c r="BC398" s="9"/>
      <c r="BG398" s="1" t="s">
        <v>154</v>
      </c>
      <c r="BI398" s="1" t="s">
        <v>154</v>
      </c>
      <c r="BK398" s="1" t="s">
        <v>150</v>
      </c>
      <c r="BM398" s="1" t="s">
        <v>154</v>
      </c>
      <c r="BO398" s="1" t="s">
        <v>150</v>
      </c>
      <c r="BR398" s="1" t="s">
        <v>154</v>
      </c>
      <c r="BU398" s="1" t="s">
        <v>157</v>
      </c>
      <c r="BW398" s="1" t="s">
        <v>154</v>
      </c>
      <c r="BX398" s="1" t="s">
        <v>150</v>
      </c>
      <c r="BZ398" s="1" t="s">
        <v>158</v>
      </c>
      <c r="CA398" s="1" t="s">
        <v>154</v>
      </c>
      <c r="CB398" s="1" t="s">
        <v>150</v>
      </c>
      <c r="CC398" s="15" t="s">
        <v>150</v>
      </c>
      <c r="CD398" s="1" t="s">
        <v>150</v>
      </c>
      <c r="CE398" s="1" t="s">
        <v>150</v>
      </c>
      <c r="CF398" s="1" t="s">
        <v>150</v>
      </c>
      <c r="CG398" s="1" t="s">
        <v>150</v>
      </c>
      <c r="CH398" s="1" t="s">
        <v>150</v>
      </c>
      <c r="CI398" s="1" t="s">
        <v>150</v>
      </c>
      <c r="CJ398" s="1" t="s">
        <v>150</v>
      </c>
      <c r="CK398" s="1" t="s">
        <v>150</v>
      </c>
      <c r="FC398" s="39" t="s">
        <v>445</v>
      </c>
    </row>
    <row r="399">
      <c r="B399" s="53"/>
      <c r="D399" s="39" t="s">
        <v>445</v>
      </c>
      <c r="F399" s="1" t="s">
        <v>149</v>
      </c>
      <c r="I399" s="1" t="s">
        <v>150</v>
      </c>
      <c r="J399" s="1" t="s">
        <v>150</v>
      </c>
      <c r="L399" s="1" t="s">
        <v>150</v>
      </c>
      <c r="M399" s="1" t="s">
        <v>154</v>
      </c>
      <c r="O399" s="1" t="s">
        <v>154</v>
      </c>
      <c r="P399" s="9"/>
      <c r="Q399" s="1" t="s">
        <v>154</v>
      </c>
      <c r="S399" s="1" t="s">
        <v>150</v>
      </c>
      <c r="Y399" s="1" t="s">
        <v>150</v>
      </c>
      <c r="AE399" s="1" t="s">
        <v>154</v>
      </c>
      <c r="AH399" s="1" t="s">
        <v>154</v>
      </c>
      <c r="AK399" s="1" t="s">
        <v>5</v>
      </c>
      <c r="AL399" s="1" t="s">
        <v>150</v>
      </c>
      <c r="AO399" s="1" t="s">
        <v>150</v>
      </c>
      <c r="BA399" s="1" t="s">
        <v>154</v>
      </c>
      <c r="BC399" s="9"/>
      <c r="BG399" s="1" t="s">
        <v>154</v>
      </c>
      <c r="BI399" s="1" t="s">
        <v>154</v>
      </c>
      <c r="BK399" s="1" t="s">
        <v>150</v>
      </c>
      <c r="BM399" s="1" t="s">
        <v>154</v>
      </c>
      <c r="BO399" s="1" t="s">
        <v>150</v>
      </c>
      <c r="BR399" s="1" t="s">
        <v>154</v>
      </c>
      <c r="BU399" s="1" t="s">
        <v>157</v>
      </c>
      <c r="BW399" s="1" t="s">
        <v>154</v>
      </c>
      <c r="BX399" s="1" t="s">
        <v>150</v>
      </c>
      <c r="BZ399" s="1" t="s">
        <v>158</v>
      </c>
      <c r="CA399" s="1" t="s">
        <v>154</v>
      </c>
      <c r="CB399" s="1" t="s">
        <v>150</v>
      </c>
      <c r="CC399" s="15" t="s">
        <v>150</v>
      </c>
      <c r="CD399" s="1" t="s">
        <v>150</v>
      </c>
      <c r="CE399" s="1" t="s">
        <v>150</v>
      </c>
      <c r="CF399" s="1" t="s">
        <v>150</v>
      </c>
      <c r="CG399" s="1" t="s">
        <v>150</v>
      </c>
      <c r="CH399" s="1" t="s">
        <v>150</v>
      </c>
      <c r="CI399" s="1" t="s">
        <v>150</v>
      </c>
      <c r="CJ399" s="1" t="s">
        <v>150</v>
      </c>
      <c r="CK399" s="1" t="s">
        <v>150</v>
      </c>
      <c r="FC399" s="39" t="s">
        <v>445</v>
      </c>
    </row>
    <row r="400">
      <c r="B400" s="53"/>
      <c r="D400" s="39" t="s">
        <v>445</v>
      </c>
      <c r="F400" s="1" t="s">
        <v>149</v>
      </c>
      <c r="I400" s="1" t="s">
        <v>150</v>
      </c>
      <c r="J400" s="1" t="s">
        <v>150</v>
      </c>
      <c r="L400" s="1" t="s">
        <v>150</v>
      </c>
      <c r="M400" s="1" t="s">
        <v>154</v>
      </c>
      <c r="O400" s="1" t="s">
        <v>154</v>
      </c>
      <c r="P400" s="9"/>
      <c r="Q400" s="1" t="s">
        <v>154</v>
      </c>
      <c r="S400" s="1" t="s">
        <v>150</v>
      </c>
      <c r="Y400" s="1" t="s">
        <v>150</v>
      </c>
      <c r="AE400" s="1" t="s">
        <v>154</v>
      </c>
      <c r="AH400" s="1" t="s">
        <v>154</v>
      </c>
      <c r="AK400" s="1" t="s">
        <v>5</v>
      </c>
      <c r="AL400" s="1" t="s">
        <v>150</v>
      </c>
      <c r="AO400" s="1" t="s">
        <v>150</v>
      </c>
      <c r="BA400" s="1" t="s">
        <v>154</v>
      </c>
      <c r="BC400" s="9"/>
      <c r="BG400" s="1" t="s">
        <v>154</v>
      </c>
      <c r="BI400" s="1" t="s">
        <v>154</v>
      </c>
      <c r="BK400" s="1" t="s">
        <v>150</v>
      </c>
      <c r="BM400" s="1" t="s">
        <v>154</v>
      </c>
      <c r="BO400" s="1" t="s">
        <v>150</v>
      </c>
      <c r="BR400" s="1" t="s">
        <v>154</v>
      </c>
      <c r="BU400" s="1" t="s">
        <v>157</v>
      </c>
      <c r="BW400" s="1" t="s">
        <v>154</v>
      </c>
      <c r="BX400" s="1" t="s">
        <v>150</v>
      </c>
      <c r="BZ400" s="1" t="s">
        <v>158</v>
      </c>
      <c r="CA400" s="1" t="s">
        <v>154</v>
      </c>
      <c r="CB400" s="1" t="s">
        <v>150</v>
      </c>
      <c r="CC400" s="15" t="s">
        <v>150</v>
      </c>
      <c r="CD400" s="1" t="s">
        <v>150</v>
      </c>
      <c r="CE400" s="1" t="s">
        <v>150</v>
      </c>
      <c r="CF400" s="1" t="s">
        <v>150</v>
      </c>
      <c r="CG400" s="1" t="s">
        <v>150</v>
      </c>
      <c r="CH400" s="1" t="s">
        <v>150</v>
      </c>
      <c r="CI400" s="1" t="s">
        <v>150</v>
      </c>
      <c r="CJ400" s="1" t="s">
        <v>150</v>
      </c>
      <c r="CK400" s="1" t="s">
        <v>150</v>
      </c>
      <c r="FC400" s="39" t="s">
        <v>445</v>
      </c>
    </row>
    <row r="401">
      <c r="B401" s="53"/>
      <c r="D401" s="39" t="s">
        <v>445</v>
      </c>
      <c r="F401" s="1" t="s">
        <v>149</v>
      </c>
      <c r="I401" s="1" t="s">
        <v>150</v>
      </c>
      <c r="J401" s="1" t="s">
        <v>150</v>
      </c>
      <c r="L401" s="1" t="s">
        <v>150</v>
      </c>
      <c r="M401" s="1" t="s">
        <v>154</v>
      </c>
      <c r="O401" s="1" t="s">
        <v>154</v>
      </c>
      <c r="P401" s="9"/>
      <c r="Q401" s="1" t="s">
        <v>154</v>
      </c>
      <c r="S401" s="1" t="s">
        <v>150</v>
      </c>
      <c r="Y401" s="1" t="s">
        <v>150</v>
      </c>
      <c r="AE401" s="1" t="s">
        <v>154</v>
      </c>
      <c r="AH401" s="1" t="s">
        <v>154</v>
      </c>
      <c r="AK401" s="1" t="s">
        <v>5</v>
      </c>
      <c r="AL401" s="1" t="s">
        <v>150</v>
      </c>
      <c r="AO401" s="1" t="s">
        <v>150</v>
      </c>
      <c r="BA401" s="1" t="s">
        <v>154</v>
      </c>
      <c r="BC401" s="9"/>
      <c r="BG401" s="1" t="s">
        <v>154</v>
      </c>
      <c r="BI401" s="1" t="s">
        <v>154</v>
      </c>
      <c r="BK401" s="1" t="s">
        <v>150</v>
      </c>
      <c r="BM401" s="1" t="s">
        <v>154</v>
      </c>
      <c r="BO401" s="1" t="s">
        <v>150</v>
      </c>
      <c r="BR401" s="1" t="s">
        <v>154</v>
      </c>
      <c r="BU401" s="1" t="s">
        <v>157</v>
      </c>
      <c r="BW401" s="1" t="s">
        <v>154</v>
      </c>
      <c r="BX401" s="1" t="s">
        <v>150</v>
      </c>
      <c r="BZ401" s="1" t="s">
        <v>158</v>
      </c>
      <c r="CA401" s="1" t="s">
        <v>154</v>
      </c>
      <c r="CB401" s="1" t="s">
        <v>150</v>
      </c>
      <c r="CC401" s="15" t="s">
        <v>150</v>
      </c>
      <c r="CD401" s="1" t="s">
        <v>150</v>
      </c>
      <c r="CE401" s="1" t="s">
        <v>150</v>
      </c>
      <c r="CF401" s="1" t="s">
        <v>150</v>
      </c>
      <c r="CG401" s="1" t="s">
        <v>150</v>
      </c>
      <c r="CH401" s="1" t="s">
        <v>150</v>
      </c>
      <c r="CI401" s="1" t="s">
        <v>150</v>
      </c>
      <c r="CJ401" s="1" t="s">
        <v>150</v>
      </c>
      <c r="CK401" s="1" t="s">
        <v>150</v>
      </c>
      <c r="FC401" s="39" t="s">
        <v>445</v>
      </c>
    </row>
    <row r="402">
      <c r="B402" s="53"/>
      <c r="D402" s="39" t="s">
        <v>445</v>
      </c>
      <c r="F402" s="1" t="s">
        <v>149</v>
      </c>
      <c r="I402" s="1" t="s">
        <v>150</v>
      </c>
      <c r="J402" s="1" t="s">
        <v>150</v>
      </c>
      <c r="L402" s="1" t="s">
        <v>150</v>
      </c>
      <c r="M402" s="1" t="s">
        <v>154</v>
      </c>
      <c r="O402" s="1" t="s">
        <v>154</v>
      </c>
      <c r="P402" s="9"/>
      <c r="Q402" s="1" t="s">
        <v>154</v>
      </c>
      <c r="S402" s="1" t="s">
        <v>150</v>
      </c>
      <c r="Y402" s="1" t="s">
        <v>150</v>
      </c>
      <c r="AE402" s="1" t="s">
        <v>154</v>
      </c>
      <c r="AH402" s="1" t="s">
        <v>154</v>
      </c>
      <c r="AK402" s="1" t="s">
        <v>5</v>
      </c>
      <c r="AL402" s="1" t="s">
        <v>150</v>
      </c>
      <c r="AO402" s="1" t="s">
        <v>150</v>
      </c>
      <c r="BA402" s="1" t="s">
        <v>154</v>
      </c>
      <c r="BC402" s="9"/>
      <c r="BG402" s="1" t="s">
        <v>154</v>
      </c>
      <c r="BI402" s="1" t="s">
        <v>154</v>
      </c>
      <c r="BK402" s="1" t="s">
        <v>150</v>
      </c>
      <c r="BM402" s="1" t="s">
        <v>154</v>
      </c>
      <c r="BO402" s="1" t="s">
        <v>150</v>
      </c>
      <c r="BR402" s="1" t="s">
        <v>154</v>
      </c>
      <c r="BU402" s="1" t="s">
        <v>157</v>
      </c>
      <c r="BW402" s="1" t="s">
        <v>154</v>
      </c>
      <c r="BX402" s="1" t="s">
        <v>150</v>
      </c>
      <c r="BZ402" s="1" t="s">
        <v>158</v>
      </c>
      <c r="CA402" s="1" t="s">
        <v>154</v>
      </c>
      <c r="CB402" s="1" t="s">
        <v>150</v>
      </c>
      <c r="CC402" s="15" t="s">
        <v>150</v>
      </c>
      <c r="CD402" s="1" t="s">
        <v>150</v>
      </c>
      <c r="CE402" s="1" t="s">
        <v>150</v>
      </c>
      <c r="CF402" s="1" t="s">
        <v>150</v>
      </c>
      <c r="CG402" s="1" t="s">
        <v>150</v>
      </c>
      <c r="CH402" s="1" t="s">
        <v>150</v>
      </c>
      <c r="CI402" s="1" t="s">
        <v>150</v>
      </c>
      <c r="CJ402" s="1" t="s">
        <v>150</v>
      </c>
      <c r="CK402" s="1" t="s">
        <v>150</v>
      </c>
      <c r="FC402" s="39" t="s">
        <v>445</v>
      </c>
    </row>
    <row r="403">
      <c r="B403" s="53"/>
      <c r="D403" s="39" t="s">
        <v>445</v>
      </c>
      <c r="F403" s="1" t="s">
        <v>149</v>
      </c>
      <c r="I403" s="1" t="s">
        <v>150</v>
      </c>
      <c r="J403" s="1" t="s">
        <v>150</v>
      </c>
      <c r="L403" s="1" t="s">
        <v>150</v>
      </c>
      <c r="M403" s="1" t="s">
        <v>154</v>
      </c>
      <c r="O403" s="1" t="s">
        <v>154</v>
      </c>
      <c r="P403" s="9"/>
      <c r="Q403" s="1" t="s">
        <v>154</v>
      </c>
      <c r="S403" s="1" t="s">
        <v>150</v>
      </c>
      <c r="Y403" s="1" t="s">
        <v>150</v>
      </c>
      <c r="AE403" s="1" t="s">
        <v>154</v>
      </c>
      <c r="AH403" s="1" t="s">
        <v>154</v>
      </c>
      <c r="AK403" s="1" t="s">
        <v>5</v>
      </c>
      <c r="AL403" s="1" t="s">
        <v>150</v>
      </c>
      <c r="AO403" s="1" t="s">
        <v>150</v>
      </c>
      <c r="BA403" s="1" t="s">
        <v>154</v>
      </c>
      <c r="BC403" s="9"/>
      <c r="BG403" s="1" t="s">
        <v>154</v>
      </c>
      <c r="BI403" s="1" t="s">
        <v>154</v>
      </c>
      <c r="BK403" s="1" t="s">
        <v>150</v>
      </c>
      <c r="BM403" s="1" t="s">
        <v>154</v>
      </c>
      <c r="BO403" s="1" t="s">
        <v>150</v>
      </c>
      <c r="BR403" s="1" t="s">
        <v>154</v>
      </c>
      <c r="BU403" s="1" t="s">
        <v>157</v>
      </c>
      <c r="BW403" s="1" t="s">
        <v>154</v>
      </c>
      <c r="BX403" s="1" t="s">
        <v>150</v>
      </c>
      <c r="BZ403" s="1" t="s">
        <v>158</v>
      </c>
      <c r="CA403" s="1" t="s">
        <v>154</v>
      </c>
      <c r="CB403" s="1" t="s">
        <v>150</v>
      </c>
      <c r="CC403" s="15" t="s">
        <v>150</v>
      </c>
      <c r="CD403" s="1" t="s">
        <v>150</v>
      </c>
      <c r="CE403" s="1" t="s">
        <v>150</v>
      </c>
      <c r="CF403" s="1" t="s">
        <v>150</v>
      </c>
      <c r="CG403" s="1" t="s">
        <v>150</v>
      </c>
      <c r="CH403" s="1" t="s">
        <v>150</v>
      </c>
      <c r="CI403" s="1" t="s">
        <v>150</v>
      </c>
      <c r="CJ403" s="1" t="s">
        <v>150</v>
      </c>
      <c r="CK403" s="1" t="s">
        <v>150</v>
      </c>
      <c r="FC403" s="39" t="s">
        <v>445</v>
      </c>
    </row>
    <row r="404">
      <c r="B404" s="53"/>
      <c r="D404" s="39" t="s">
        <v>445</v>
      </c>
      <c r="F404" s="1" t="s">
        <v>149</v>
      </c>
      <c r="I404" s="1" t="s">
        <v>150</v>
      </c>
      <c r="J404" s="1" t="s">
        <v>150</v>
      </c>
      <c r="L404" s="1" t="s">
        <v>150</v>
      </c>
      <c r="M404" s="1" t="s">
        <v>154</v>
      </c>
      <c r="O404" s="1" t="s">
        <v>154</v>
      </c>
      <c r="P404" s="9"/>
      <c r="Q404" s="1" t="s">
        <v>154</v>
      </c>
      <c r="S404" s="1" t="s">
        <v>150</v>
      </c>
      <c r="Y404" s="1" t="s">
        <v>150</v>
      </c>
      <c r="AE404" s="1" t="s">
        <v>154</v>
      </c>
      <c r="AH404" s="1" t="s">
        <v>154</v>
      </c>
      <c r="AK404" s="1" t="s">
        <v>5</v>
      </c>
      <c r="AL404" s="1" t="s">
        <v>150</v>
      </c>
      <c r="AO404" s="1" t="s">
        <v>150</v>
      </c>
      <c r="BA404" s="1" t="s">
        <v>154</v>
      </c>
      <c r="BC404" s="9"/>
      <c r="BG404" s="1" t="s">
        <v>154</v>
      </c>
      <c r="BI404" s="1" t="s">
        <v>154</v>
      </c>
      <c r="BK404" s="1" t="s">
        <v>150</v>
      </c>
      <c r="BM404" s="1" t="s">
        <v>154</v>
      </c>
      <c r="BO404" s="1" t="s">
        <v>150</v>
      </c>
      <c r="BR404" s="1" t="s">
        <v>154</v>
      </c>
      <c r="BU404" s="1" t="s">
        <v>157</v>
      </c>
      <c r="BW404" s="1" t="s">
        <v>154</v>
      </c>
      <c r="BX404" s="1" t="s">
        <v>150</v>
      </c>
      <c r="BZ404" s="1" t="s">
        <v>158</v>
      </c>
      <c r="CA404" s="1" t="s">
        <v>154</v>
      </c>
      <c r="CB404" s="1" t="s">
        <v>150</v>
      </c>
      <c r="CC404" s="15" t="s">
        <v>150</v>
      </c>
      <c r="CD404" s="1" t="s">
        <v>150</v>
      </c>
      <c r="CE404" s="1" t="s">
        <v>150</v>
      </c>
      <c r="CF404" s="1" t="s">
        <v>150</v>
      </c>
      <c r="CG404" s="1" t="s">
        <v>150</v>
      </c>
      <c r="CH404" s="1" t="s">
        <v>150</v>
      </c>
      <c r="CI404" s="1" t="s">
        <v>150</v>
      </c>
      <c r="CJ404" s="1" t="s">
        <v>150</v>
      </c>
      <c r="CK404" s="1" t="s">
        <v>150</v>
      </c>
      <c r="FC404" s="39" t="s">
        <v>445</v>
      </c>
    </row>
    <row r="405">
      <c r="B405" s="53"/>
      <c r="D405" s="39" t="s">
        <v>445</v>
      </c>
      <c r="F405" s="1" t="s">
        <v>149</v>
      </c>
      <c r="I405" s="1" t="s">
        <v>150</v>
      </c>
      <c r="J405" s="1" t="s">
        <v>150</v>
      </c>
      <c r="L405" s="1" t="s">
        <v>150</v>
      </c>
      <c r="M405" s="1" t="s">
        <v>154</v>
      </c>
      <c r="O405" s="1" t="s">
        <v>154</v>
      </c>
      <c r="P405" s="9"/>
      <c r="Q405" s="1" t="s">
        <v>154</v>
      </c>
      <c r="S405" s="1" t="s">
        <v>150</v>
      </c>
      <c r="Y405" s="1" t="s">
        <v>150</v>
      </c>
      <c r="AE405" s="1" t="s">
        <v>154</v>
      </c>
      <c r="AH405" s="1" t="s">
        <v>154</v>
      </c>
      <c r="AK405" s="1" t="s">
        <v>5</v>
      </c>
      <c r="AL405" s="1" t="s">
        <v>150</v>
      </c>
      <c r="AO405" s="1" t="s">
        <v>150</v>
      </c>
      <c r="BA405" s="1" t="s">
        <v>154</v>
      </c>
      <c r="BC405" s="9"/>
      <c r="BG405" s="1" t="s">
        <v>154</v>
      </c>
      <c r="BI405" s="1" t="s">
        <v>154</v>
      </c>
      <c r="BK405" s="1" t="s">
        <v>150</v>
      </c>
      <c r="BM405" s="1" t="s">
        <v>154</v>
      </c>
      <c r="BO405" s="1" t="s">
        <v>150</v>
      </c>
      <c r="BR405" s="1" t="s">
        <v>154</v>
      </c>
      <c r="BU405" s="1" t="s">
        <v>157</v>
      </c>
      <c r="BW405" s="1" t="s">
        <v>154</v>
      </c>
      <c r="BX405" s="1" t="s">
        <v>150</v>
      </c>
      <c r="BZ405" s="1" t="s">
        <v>158</v>
      </c>
      <c r="CA405" s="1" t="s">
        <v>154</v>
      </c>
      <c r="CB405" s="1" t="s">
        <v>150</v>
      </c>
      <c r="CC405" s="15" t="s">
        <v>150</v>
      </c>
      <c r="CD405" s="1" t="s">
        <v>150</v>
      </c>
      <c r="CE405" s="1" t="s">
        <v>150</v>
      </c>
      <c r="CF405" s="1" t="s">
        <v>150</v>
      </c>
      <c r="CG405" s="1" t="s">
        <v>150</v>
      </c>
      <c r="CH405" s="1" t="s">
        <v>150</v>
      </c>
      <c r="CI405" s="1" t="s">
        <v>150</v>
      </c>
      <c r="CJ405" s="1" t="s">
        <v>150</v>
      </c>
      <c r="CK405" s="1" t="s">
        <v>150</v>
      </c>
      <c r="FC405" s="39" t="s">
        <v>445</v>
      </c>
    </row>
    <row r="406">
      <c r="B406" s="53"/>
      <c r="D406" s="39" t="s">
        <v>445</v>
      </c>
      <c r="F406" s="1" t="s">
        <v>149</v>
      </c>
      <c r="I406" s="1" t="s">
        <v>150</v>
      </c>
      <c r="J406" s="1" t="s">
        <v>150</v>
      </c>
      <c r="L406" s="1" t="s">
        <v>150</v>
      </c>
      <c r="M406" s="1" t="s">
        <v>154</v>
      </c>
      <c r="O406" s="1" t="s">
        <v>154</v>
      </c>
      <c r="P406" s="9"/>
      <c r="Q406" s="1" t="s">
        <v>154</v>
      </c>
      <c r="S406" s="1" t="s">
        <v>150</v>
      </c>
      <c r="Y406" s="1" t="s">
        <v>150</v>
      </c>
      <c r="AE406" s="1" t="s">
        <v>154</v>
      </c>
      <c r="AH406" s="1" t="s">
        <v>154</v>
      </c>
      <c r="AK406" s="1" t="s">
        <v>5</v>
      </c>
      <c r="AL406" s="1" t="s">
        <v>150</v>
      </c>
      <c r="AO406" s="1" t="s">
        <v>150</v>
      </c>
      <c r="BA406" s="1" t="s">
        <v>154</v>
      </c>
      <c r="BC406" s="9"/>
      <c r="BG406" s="1" t="s">
        <v>154</v>
      </c>
      <c r="BI406" s="1" t="s">
        <v>154</v>
      </c>
      <c r="BK406" s="1" t="s">
        <v>150</v>
      </c>
      <c r="BM406" s="1" t="s">
        <v>154</v>
      </c>
      <c r="BO406" s="1" t="s">
        <v>150</v>
      </c>
      <c r="BR406" s="1" t="s">
        <v>154</v>
      </c>
      <c r="BU406" s="1" t="s">
        <v>157</v>
      </c>
      <c r="BW406" s="1" t="s">
        <v>154</v>
      </c>
      <c r="BX406" s="1" t="s">
        <v>150</v>
      </c>
      <c r="BZ406" s="1" t="s">
        <v>158</v>
      </c>
      <c r="CA406" s="1" t="s">
        <v>154</v>
      </c>
      <c r="CB406" s="1" t="s">
        <v>150</v>
      </c>
      <c r="CC406" s="15" t="s">
        <v>150</v>
      </c>
      <c r="CD406" s="1" t="s">
        <v>150</v>
      </c>
      <c r="CE406" s="1" t="s">
        <v>150</v>
      </c>
      <c r="CF406" s="1" t="s">
        <v>150</v>
      </c>
      <c r="CG406" s="1" t="s">
        <v>150</v>
      </c>
      <c r="CH406" s="1" t="s">
        <v>150</v>
      </c>
      <c r="CI406" s="1" t="s">
        <v>150</v>
      </c>
      <c r="CJ406" s="1" t="s">
        <v>150</v>
      </c>
      <c r="CK406" s="1" t="s">
        <v>150</v>
      </c>
      <c r="FC406" s="39" t="s">
        <v>445</v>
      </c>
    </row>
    <row r="407">
      <c r="B407" s="53"/>
      <c r="D407" s="39" t="s">
        <v>445</v>
      </c>
      <c r="F407" s="1" t="s">
        <v>149</v>
      </c>
      <c r="I407" s="1" t="s">
        <v>150</v>
      </c>
      <c r="J407" s="1" t="s">
        <v>150</v>
      </c>
      <c r="L407" s="1" t="s">
        <v>150</v>
      </c>
      <c r="M407" s="1" t="s">
        <v>154</v>
      </c>
      <c r="O407" s="1" t="s">
        <v>154</v>
      </c>
      <c r="P407" s="9"/>
      <c r="Q407" s="1" t="s">
        <v>154</v>
      </c>
      <c r="S407" s="1" t="s">
        <v>150</v>
      </c>
      <c r="Y407" s="1" t="s">
        <v>150</v>
      </c>
      <c r="AE407" s="1" t="s">
        <v>154</v>
      </c>
      <c r="AH407" s="1" t="s">
        <v>154</v>
      </c>
      <c r="AK407" s="1" t="s">
        <v>5</v>
      </c>
      <c r="AL407" s="1" t="s">
        <v>150</v>
      </c>
      <c r="AO407" s="1" t="s">
        <v>150</v>
      </c>
      <c r="BA407" s="1" t="s">
        <v>154</v>
      </c>
      <c r="BC407" s="9"/>
      <c r="BG407" s="1" t="s">
        <v>154</v>
      </c>
      <c r="BI407" s="1" t="s">
        <v>154</v>
      </c>
      <c r="BK407" s="1" t="s">
        <v>150</v>
      </c>
      <c r="BM407" s="1" t="s">
        <v>154</v>
      </c>
      <c r="BO407" s="1" t="s">
        <v>150</v>
      </c>
      <c r="BR407" s="1" t="s">
        <v>154</v>
      </c>
      <c r="BU407" s="1" t="s">
        <v>157</v>
      </c>
      <c r="BW407" s="1" t="s">
        <v>154</v>
      </c>
      <c r="BX407" s="1" t="s">
        <v>150</v>
      </c>
      <c r="BZ407" s="1" t="s">
        <v>158</v>
      </c>
      <c r="CA407" s="1" t="s">
        <v>154</v>
      </c>
      <c r="CB407" s="1" t="s">
        <v>150</v>
      </c>
      <c r="CC407" s="15" t="s">
        <v>150</v>
      </c>
      <c r="CD407" s="1" t="s">
        <v>150</v>
      </c>
      <c r="CE407" s="1" t="s">
        <v>150</v>
      </c>
      <c r="CF407" s="1" t="s">
        <v>150</v>
      </c>
      <c r="CG407" s="1" t="s">
        <v>150</v>
      </c>
      <c r="CH407" s="1" t="s">
        <v>150</v>
      </c>
      <c r="CI407" s="1" t="s">
        <v>150</v>
      </c>
      <c r="CJ407" s="1" t="s">
        <v>150</v>
      </c>
      <c r="CK407" s="1" t="s">
        <v>150</v>
      </c>
      <c r="FC407" s="39" t="s">
        <v>445</v>
      </c>
    </row>
    <row r="408">
      <c r="B408" s="53"/>
      <c r="D408" s="39" t="s">
        <v>445</v>
      </c>
      <c r="F408" s="1" t="s">
        <v>149</v>
      </c>
      <c r="I408" s="1" t="s">
        <v>150</v>
      </c>
      <c r="J408" s="1" t="s">
        <v>150</v>
      </c>
      <c r="L408" s="1" t="s">
        <v>150</v>
      </c>
      <c r="M408" s="1" t="s">
        <v>154</v>
      </c>
      <c r="O408" s="1" t="s">
        <v>154</v>
      </c>
      <c r="P408" s="9"/>
      <c r="Q408" s="1" t="s">
        <v>154</v>
      </c>
      <c r="S408" s="1" t="s">
        <v>150</v>
      </c>
      <c r="Y408" s="1" t="s">
        <v>150</v>
      </c>
      <c r="AE408" s="1" t="s">
        <v>154</v>
      </c>
      <c r="AH408" s="1" t="s">
        <v>154</v>
      </c>
      <c r="AK408" s="1" t="s">
        <v>5</v>
      </c>
      <c r="AL408" s="1" t="s">
        <v>150</v>
      </c>
      <c r="AO408" s="1" t="s">
        <v>150</v>
      </c>
      <c r="BA408" s="1" t="s">
        <v>154</v>
      </c>
      <c r="BC408" s="9"/>
      <c r="BG408" s="1" t="s">
        <v>154</v>
      </c>
      <c r="BI408" s="1" t="s">
        <v>154</v>
      </c>
      <c r="BK408" s="1" t="s">
        <v>150</v>
      </c>
      <c r="BM408" s="1" t="s">
        <v>154</v>
      </c>
      <c r="BO408" s="1" t="s">
        <v>150</v>
      </c>
      <c r="BR408" s="1" t="s">
        <v>154</v>
      </c>
      <c r="BU408" s="1" t="s">
        <v>157</v>
      </c>
      <c r="BW408" s="1" t="s">
        <v>154</v>
      </c>
      <c r="BX408" s="1" t="s">
        <v>150</v>
      </c>
      <c r="BZ408" s="1" t="s">
        <v>158</v>
      </c>
      <c r="CA408" s="1" t="s">
        <v>154</v>
      </c>
      <c r="CB408" s="1" t="s">
        <v>150</v>
      </c>
      <c r="CC408" s="15" t="s">
        <v>150</v>
      </c>
      <c r="CD408" s="1" t="s">
        <v>150</v>
      </c>
      <c r="CE408" s="1" t="s">
        <v>150</v>
      </c>
      <c r="CF408" s="1" t="s">
        <v>150</v>
      </c>
      <c r="CG408" s="1" t="s">
        <v>150</v>
      </c>
      <c r="CH408" s="1" t="s">
        <v>150</v>
      </c>
      <c r="CI408" s="1" t="s">
        <v>150</v>
      </c>
      <c r="CJ408" s="1" t="s">
        <v>150</v>
      </c>
      <c r="CK408" s="1" t="s">
        <v>150</v>
      </c>
      <c r="FC408" s="39" t="s">
        <v>445</v>
      </c>
    </row>
    <row r="409">
      <c r="B409" s="53"/>
      <c r="D409" s="39" t="s">
        <v>445</v>
      </c>
      <c r="F409" s="1" t="s">
        <v>149</v>
      </c>
      <c r="I409" s="1" t="s">
        <v>150</v>
      </c>
      <c r="J409" s="1" t="s">
        <v>150</v>
      </c>
      <c r="L409" s="1" t="s">
        <v>150</v>
      </c>
      <c r="M409" s="1" t="s">
        <v>154</v>
      </c>
      <c r="O409" s="1" t="s">
        <v>154</v>
      </c>
      <c r="P409" s="9"/>
      <c r="Q409" s="1" t="s">
        <v>154</v>
      </c>
      <c r="S409" s="1" t="s">
        <v>150</v>
      </c>
      <c r="Y409" s="1" t="s">
        <v>150</v>
      </c>
      <c r="AE409" s="1" t="s">
        <v>154</v>
      </c>
      <c r="AH409" s="1" t="s">
        <v>154</v>
      </c>
      <c r="AK409" s="1" t="s">
        <v>5</v>
      </c>
      <c r="AL409" s="1" t="s">
        <v>150</v>
      </c>
      <c r="AO409" s="1" t="s">
        <v>150</v>
      </c>
      <c r="BA409" s="1" t="s">
        <v>154</v>
      </c>
      <c r="BC409" s="9"/>
      <c r="BG409" s="1" t="s">
        <v>154</v>
      </c>
      <c r="BI409" s="1" t="s">
        <v>154</v>
      </c>
      <c r="BK409" s="1" t="s">
        <v>150</v>
      </c>
      <c r="BM409" s="1" t="s">
        <v>154</v>
      </c>
      <c r="BO409" s="1" t="s">
        <v>150</v>
      </c>
      <c r="BR409" s="1" t="s">
        <v>154</v>
      </c>
      <c r="BU409" s="1" t="s">
        <v>157</v>
      </c>
      <c r="BW409" s="1" t="s">
        <v>154</v>
      </c>
      <c r="BX409" s="1" t="s">
        <v>150</v>
      </c>
      <c r="BZ409" s="1" t="s">
        <v>158</v>
      </c>
      <c r="CA409" s="1" t="s">
        <v>154</v>
      </c>
      <c r="CB409" s="1" t="s">
        <v>150</v>
      </c>
      <c r="CC409" s="15" t="s">
        <v>150</v>
      </c>
      <c r="CD409" s="1" t="s">
        <v>150</v>
      </c>
      <c r="CE409" s="1" t="s">
        <v>150</v>
      </c>
      <c r="CF409" s="1" t="s">
        <v>150</v>
      </c>
      <c r="CG409" s="1" t="s">
        <v>150</v>
      </c>
      <c r="CH409" s="1" t="s">
        <v>150</v>
      </c>
      <c r="CI409" s="1" t="s">
        <v>150</v>
      </c>
      <c r="CJ409" s="1" t="s">
        <v>150</v>
      </c>
      <c r="CK409" s="1" t="s">
        <v>150</v>
      </c>
      <c r="FC409" s="39" t="s">
        <v>445</v>
      </c>
    </row>
    <row r="410">
      <c r="B410" s="53"/>
      <c r="D410" s="39" t="s">
        <v>445</v>
      </c>
      <c r="F410" s="1" t="s">
        <v>149</v>
      </c>
      <c r="I410" s="1" t="s">
        <v>150</v>
      </c>
      <c r="J410" s="1" t="s">
        <v>150</v>
      </c>
      <c r="L410" s="1" t="s">
        <v>150</v>
      </c>
      <c r="M410" s="1" t="s">
        <v>154</v>
      </c>
      <c r="O410" s="1" t="s">
        <v>154</v>
      </c>
      <c r="P410" s="9"/>
      <c r="Q410" s="1" t="s">
        <v>154</v>
      </c>
      <c r="S410" s="1" t="s">
        <v>150</v>
      </c>
      <c r="Y410" s="1" t="s">
        <v>150</v>
      </c>
      <c r="AE410" s="1" t="s">
        <v>154</v>
      </c>
      <c r="AH410" s="1" t="s">
        <v>154</v>
      </c>
      <c r="AK410" s="1" t="s">
        <v>5</v>
      </c>
      <c r="AL410" s="1" t="s">
        <v>150</v>
      </c>
      <c r="AO410" s="1" t="s">
        <v>150</v>
      </c>
      <c r="BA410" s="1" t="s">
        <v>154</v>
      </c>
      <c r="BC410" s="9"/>
      <c r="BG410" s="1" t="s">
        <v>154</v>
      </c>
      <c r="BI410" s="1" t="s">
        <v>154</v>
      </c>
      <c r="BK410" s="1" t="s">
        <v>150</v>
      </c>
      <c r="BM410" s="1" t="s">
        <v>154</v>
      </c>
      <c r="BO410" s="1" t="s">
        <v>150</v>
      </c>
      <c r="BR410" s="1" t="s">
        <v>154</v>
      </c>
      <c r="BU410" s="1" t="s">
        <v>157</v>
      </c>
      <c r="BW410" s="1" t="s">
        <v>154</v>
      </c>
      <c r="BX410" s="1" t="s">
        <v>150</v>
      </c>
      <c r="BZ410" s="1" t="s">
        <v>158</v>
      </c>
      <c r="CA410" s="1" t="s">
        <v>154</v>
      </c>
      <c r="CB410" s="1" t="s">
        <v>150</v>
      </c>
      <c r="CC410" s="15" t="s">
        <v>150</v>
      </c>
      <c r="CD410" s="1" t="s">
        <v>150</v>
      </c>
      <c r="CE410" s="1" t="s">
        <v>150</v>
      </c>
      <c r="CF410" s="1" t="s">
        <v>150</v>
      </c>
      <c r="CG410" s="1" t="s">
        <v>150</v>
      </c>
      <c r="CH410" s="1" t="s">
        <v>150</v>
      </c>
      <c r="CI410" s="1" t="s">
        <v>150</v>
      </c>
      <c r="CJ410" s="1" t="s">
        <v>150</v>
      </c>
      <c r="CK410" s="1" t="s">
        <v>150</v>
      </c>
      <c r="FC410" s="39" t="s">
        <v>445</v>
      </c>
    </row>
    <row r="411">
      <c r="B411" s="53"/>
      <c r="D411" s="39" t="s">
        <v>445</v>
      </c>
      <c r="F411" s="1" t="s">
        <v>149</v>
      </c>
      <c r="I411" s="1" t="s">
        <v>150</v>
      </c>
      <c r="J411" s="1" t="s">
        <v>150</v>
      </c>
      <c r="L411" s="1" t="s">
        <v>150</v>
      </c>
      <c r="M411" s="1" t="s">
        <v>154</v>
      </c>
      <c r="O411" s="1" t="s">
        <v>154</v>
      </c>
      <c r="P411" s="9"/>
      <c r="Q411" s="1" t="s">
        <v>154</v>
      </c>
      <c r="S411" s="1" t="s">
        <v>150</v>
      </c>
      <c r="Y411" s="1" t="s">
        <v>150</v>
      </c>
      <c r="AE411" s="1" t="s">
        <v>154</v>
      </c>
      <c r="AH411" s="1" t="s">
        <v>154</v>
      </c>
      <c r="AK411" s="1" t="s">
        <v>5</v>
      </c>
      <c r="AL411" s="1" t="s">
        <v>150</v>
      </c>
      <c r="AO411" s="1" t="s">
        <v>150</v>
      </c>
      <c r="BA411" s="1" t="s">
        <v>154</v>
      </c>
      <c r="BC411" s="9"/>
      <c r="BG411" s="1" t="s">
        <v>154</v>
      </c>
      <c r="BI411" s="1" t="s">
        <v>154</v>
      </c>
      <c r="BK411" s="1" t="s">
        <v>150</v>
      </c>
      <c r="BM411" s="1" t="s">
        <v>154</v>
      </c>
      <c r="BO411" s="1" t="s">
        <v>150</v>
      </c>
      <c r="BR411" s="1" t="s">
        <v>154</v>
      </c>
      <c r="BU411" s="1" t="s">
        <v>157</v>
      </c>
      <c r="BW411" s="1" t="s">
        <v>154</v>
      </c>
      <c r="BX411" s="1" t="s">
        <v>150</v>
      </c>
      <c r="BZ411" s="1" t="s">
        <v>158</v>
      </c>
      <c r="CA411" s="1" t="s">
        <v>154</v>
      </c>
      <c r="CB411" s="1" t="s">
        <v>150</v>
      </c>
      <c r="CC411" s="15" t="s">
        <v>150</v>
      </c>
      <c r="CD411" s="1" t="s">
        <v>150</v>
      </c>
      <c r="CE411" s="1" t="s">
        <v>150</v>
      </c>
      <c r="CF411" s="1" t="s">
        <v>150</v>
      </c>
      <c r="CG411" s="1" t="s">
        <v>150</v>
      </c>
      <c r="CH411" s="1" t="s">
        <v>150</v>
      </c>
      <c r="CI411" s="1" t="s">
        <v>150</v>
      </c>
      <c r="CJ411" s="1" t="s">
        <v>150</v>
      </c>
      <c r="CK411" s="1" t="s">
        <v>150</v>
      </c>
      <c r="FC411" s="39" t="s">
        <v>445</v>
      </c>
    </row>
    <row r="412">
      <c r="B412" s="53"/>
      <c r="D412" s="39" t="s">
        <v>445</v>
      </c>
      <c r="F412" s="1" t="s">
        <v>149</v>
      </c>
      <c r="I412" s="1" t="s">
        <v>150</v>
      </c>
      <c r="J412" s="1" t="s">
        <v>150</v>
      </c>
      <c r="L412" s="1" t="s">
        <v>150</v>
      </c>
      <c r="M412" s="1" t="s">
        <v>154</v>
      </c>
      <c r="O412" s="1" t="s">
        <v>154</v>
      </c>
      <c r="P412" s="9"/>
      <c r="Q412" s="1" t="s">
        <v>154</v>
      </c>
      <c r="S412" s="1" t="s">
        <v>150</v>
      </c>
      <c r="Y412" s="1" t="s">
        <v>150</v>
      </c>
      <c r="AE412" s="1" t="s">
        <v>154</v>
      </c>
      <c r="AH412" s="1" t="s">
        <v>154</v>
      </c>
      <c r="AK412" s="1" t="s">
        <v>5</v>
      </c>
      <c r="AL412" s="1" t="s">
        <v>150</v>
      </c>
      <c r="AO412" s="1" t="s">
        <v>150</v>
      </c>
      <c r="BA412" s="1" t="s">
        <v>154</v>
      </c>
      <c r="BC412" s="9"/>
      <c r="BG412" s="1" t="s">
        <v>154</v>
      </c>
      <c r="BI412" s="1" t="s">
        <v>154</v>
      </c>
      <c r="BK412" s="1" t="s">
        <v>150</v>
      </c>
      <c r="BM412" s="1" t="s">
        <v>154</v>
      </c>
      <c r="BO412" s="1" t="s">
        <v>150</v>
      </c>
      <c r="BR412" s="1" t="s">
        <v>154</v>
      </c>
      <c r="BU412" s="1" t="s">
        <v>157</v>
      </c>
      <c r="BW412" s="1" t="s">
        <v>154</v>
      </c>
      <c r="BX412" s="1" t="s">
        <v>150</v>
      </c>
      <c r="BZ412" s="1" t="s">
        <v>158</v>
      </c>
      <c r="CA412" s="1" t="s">
        <v>154</v>
      </c>
      <c r="CB412" s="1" t="s">
        <v>150</v>
      </c>
      <c r="CC412" s="15" t="s">
        <v>150</v>
      </c>
      <c r="CD412" s="1" t="s">
        <v>150</v>
      </c>
      <c r="CE412" s="1" t="s">
        <v>150</v>
      </c>
      <c r="CF412" s="1" t="s">
        <v>150</v>
      </c>
      <c r="CG412" s="1" t="s">
        <v>150</v>
      </c>
      <c r="CH412" s="1" t="s">
        <v>150</v>
      </c>
      <c r="CI412" s="1" t="s">
        <v>150</v>
      </c>
      <c r="CJ412" s="1" t="s">
        <v>150</v>
      </c>
      <c r="CK412" s="1" t="s">
        <v>150</v>
      </c>
      <c r="FC412" s="39" t="s">
        <v>445</v>
      </c>
    </row>
    <row r="413">
      <c r="B413" s="53"/>
      <c r="D413" s="39" t="s">
        <v>445</v>
      </c>
      <c r="F413" s="1" t="s">
        <v>149</v>
      </c>
      <c r="I413" s="1" t="s">
        <v>150</v>
      </c>
      <c r="J413" s="1" t="s">
        <v>150</v>
      </c>
      <c r="L413" s="1" t="s">
        <v>150</v>
      </c>
      <c r="M413" s="1" t="s">
        <v>154</v>
      </c>
      <c r="O413" s="1" t="s">
        <v>154</v>
      </c>
      <c r="P413" s="9"/>
      <c r="Q413" s="1" t="s">
        <v>154</v>
      </c>
      <c r="S413" s="1" t="s">
        <v>150</v>
      </c>
      <c r="Y413" s="1" t="s">
        <v>150</v>
      </c>
      <c r="AE413" s="1" t="s">
        <v>154</v>
      </c>
      <c r="AH413" s="1" t="s">
        <v>154</v>
      </c>
      <c r="AK413" s="1" t="s">
        <v>5</v>
      </c>
      <c r="AL413" s="1" t="s">
        <v>150</v>
      </c>
      <c r="AO413" s="1" t="s">
        <v>150</v>
      </c>
      <c r="BA413" s="1" t="s">
        <v>154</v>
      </c>
      <c r="BC413" s="9"/>
      <c r="BG413" s="1" t="s">
        <v>154</v>
      </c>
      <c r="BI413" s="1" t="s">
        <v>154</v>
      </c>
      <c r="BK413" s="1" t="s">
        <v>150</v>
      </c>
      <c r="BM413" s="1" t="s">
        <v>154</v>
      </c>
      <c r="BO413" s="1" t="s">
        <v>150</v>
      </c>
      <c r="BR413" s="1" t="s">
        <v>154</v>
      </c>
      <c r="BU413" s="1" t="s">
        <v>157</v>
      </c>
      <c r="BW413" s="1" t="s">
        <v>154</v>
      </c>
      <c r="BX413" s="1" t="s">
        <v>150</v>
      </c>
      <c r="BZ413" s="1" t="s">
        <v>158</v>
      </c>
      <c r="CA413" s="1" t="s">
        <v>154</v>
      </c>
      <c r="CB413" s="1" t="s">
        <v>150</v>
      </c>
      <c r="CC413" s="15" t="s">
        <v>150</v>
      </c>
      <c r="CD413" s="1" t="s">
        <v>150</v>
      </c>
      <c r="CE413" s="1" t="s">
        <v>150</v>
      </c>
      <c r="CF413" s="1" t="s">
        <v>150</v>
      </c>
      <c r="CG413" s="1" t="s">
        <v>150</v>
      </c>
      <c r="CH413" s="1" t="s">
        <v>150</v>
      </c>
      <c r="CI413" s="1" t="s">
        <v>150</v>
      </c>
      <c r="CJ413" s="1" t="s">
        <v>150</v>
      </c>
      <c r="CK413" s="1" t="s">
        <v>150</v>
      </c>
      <c r="FC413" s="39" t="s">
        <v>445</v>
      </c>
    </row>
    <row r="414">
      <c r="B414" s="53"/>
      <c r="D414" s="39" t="s">
        <v>445</v>
      </c>
      <c r="F414" s="1" t="s">
        <v>149</v>
      </c>
      <c r="I414" s="1" t="s">
        <v>150</v>
      </c>
      <c r="J414" s="1" t="s">
        <v>150</v>
      </c>
      <c r="L414" s="1" t="s">
        <v>150</v>
      </c>
      <c r="M414" s="1" t="s">
        <v>154</v>
      </c>
      <c r="O414" s="1" t="s">
        <v>154</v>
      </c>
      <c r="P414" s="9"/>
      <c r="Q414" s="1" t="s">
        <v>154</v>
      </c>
      <c r="S414" s="1" t="s">
        <v>150</v>
      </c>
      <c r="Y414" s="1" t="s">
        <v>150</v>
      </c>
      <c r="AE414" s="1" t="s">
        <v>154</v>
      </c>
      <c r="AH414" s="1" t="s">
        <v>154</v>
      </c>
      <c r="AK414" s="1" t="s">
        <v>5</v>
      </c>
      <c r="AL414" s="1" t="s">
        <v>150</v>
      </c>
      <c r="AO414" s="1" t="s">
        <v>150</v>
      </c>
      <c r="BA414" s="1" t="s">
        <v>154</v>
      </c>
      <c r="BC414" s="9"/>
      <c r="BG414" s="1" t="s">
        <v>154</v>
      </c>
      <c r="BI414" s="1" t="s">
        <v>154</v>
      </c>
      <c r="BK414" s="1" t="s">
        <v>150</v>
      </c>
      <c r="BM414" s="1" t="s">
        <v>154</v>
      </c>
      <c r="BO414" s="1" t="s">
        <v>150</v>
      </c>
      <c r="BR414" s="1" t="s">
        <v>154</v>
      </c>
      <c r="BU414" s="1" t="s">
        <v>157</v>
      </c>
      <c r="BW414" s="1" t="s">
        <v>154</v>
      </c>
      <c r="BX414" s="1" t="s">
        <v>150</v>
      </c>
      <c r="BZ414" s="1" t="s">
        <v>158</v>
      </c>
      <c r="CA414" s="1" t="s">
        <v>154</v>
      </c>
      <c r="CB414" s="1" t="s">
        <v>150</v>
      </c>
      <c r="CC414" s="15" t="s">
        <v>150</v>
      </c>
      <c r="CD414" s="1" t="s">
        <v>150</v>
      </c>
      <c r="CE414" s="1" t="s">
        <v>150</v>
      </c>
      <c r="CF414" s="1" t="s">
        <v>150</v>
      </c>
      <c r="CG414" s="1" t="s">
        <v>150</v>
      </c>
      <c r="CH414" s="1" t="s">
        <v>150</v>
      </c>
      <c r="CI414" s="1" t="s">
        <v>150</v>
      </c>
      <c r="CJ414" s="1" t="s">
        <v>150</v>
      </c>
      <c r="CK414" s="1" t="s">
        <v>150</v>
      </c>
      <c r="FC414" s="39" t="s">
        <v>445</v>
      </c>
    </row>
    <row r="415">
      <c r="B415" s="53"/>
      <c r="D415" s="39" t="s">
        <v>445</v>
      </c>
      <c r="F415" s="1" t="s">
        <v>149</v>
      </c>
      <c r="I415" s="1" t="s">
        <v>150</v>
      </c>
      <c r="J415" s="1" t="s">
        <v>150</v>
      </c>
      <c r="L415" s="1" t="s">
        <v>150</v>
      </c>
      <c r="M415" s="1" t="s">
        <v>154</v>
      </c>
      <c r="O415" s="1" t="s">
        <v>154</v>
      </c>
      <c r="P415" s="9"/>
      <c r="Q415" s="1" t="s">
        <v>154</v>
      </c>
      <c r="S415" s="1" t="s">
        <v>150</v>
      </c>
      <c r="Y415" s="1" t="s">
        <v>150</v>
      </c>
      <c r="AE415" s="1" t="s">
        <v>154</v>
      </c>
      <c r="AH415" s="1" t="s">
        <v>154</v>
      </c>
      <c r="AK415" s="1" t="s">
        <v>5</v>
      </c>
      <c r="AL415" s="1" t="s">
        <v>150</v>
      </c>
      <c r="AO415" s="1" t="s">
        <v>150</v>
      </c>
      <c r="BA415" s="1" t="s">
        <v>154</v>
      </c>
      <c r="BC415" s="9"/>
      <c r="BG415" s="1" t="s">
        <v>154</v>
      </c>
      <c r="BI415" s="1" t="s">
        <v>154</v>
      </c>
      <c r="BK415" s="1" t="s">
        <v>150</v>
      </c>
      <c r="BM415" s="1" t="s">
        <v>154</v>
      </c>
      <c r="BO415" s="1" t="s">
        <v>150</v>
      </c>
      <c r="BR415" s="1" t="s">
        <v>154</v>
      </c>
      <c r="BU415" s="1" t="s">
        <v>157</v>
      </c>
      <c r="BW415" s="1" t="s">
        <v>154</v>
      </c>
      <c r="BX415" s="1" t="s">
        <v>150</v>
      </c>
      <c r="BZ415" s="1" t="s">
        <v>158</v>
      </c>
      <c r="CA415" s="1" t="s">
        <v>154</v>
      </c>
      <c r="CB415" s="1" t="s">
        <v>150</v>
      </c>
      <c r="CC415" s="15" t="s">
        <v>150</v>
      </c>
      <c r="CD415" s="1" t="s">
        <v>150</v>
      </c>
      <c r="CE415" s="1" t="s">
        <v>150</v>
      </c>
      <c r="CF415" s="1" t="s">
        <v>150</v>
      </c>
      <c r="CG415" s="1" t="s">
        <v>150</v>
      </c>
      <c r="CH415" s="1" t="s">
        <v>150</v>
      </c>
      <c r="CI415" s="1" t="s">
        <v>150</v>
      </c>
      <c r="CJ415" s="1" t="s">
        <v>150</v>
      </c>
      <c r="CK415" s="1" t="s">
        <v>150</v>
      </c>
      <c r="FC415" s="39" t="s">
        <v>445</v>
      </c>
    </row>
    <row r="416">
      <c r="B416" s="53"/>
      <c r="D416" s="39" t="s">
        <v>445</v>
      </c>
      <c r="F416" s="1" t="s">
        <v>149</v>
      </c>
      <c r="I416" s="1" t="s">
        <v>150</v>
      </c>
      <c r="J416" s="1" t="s">
        <v>150</v>
      </c>
      <c r="L416" s="1" t="s">
        <v>150</v>
      </c>
      <c r="M416" s="1" t="s">
        <v>154</v>
      </c>
      <c r="O416" s="1" t="s">
        <v>154</v>
      </c>
      <c r="P416" s="9"/>
      <c r="Q416" s="1" t="s">
        <v>154</v>
      </c>
      <c r="S416" s="1" t="s">
        <v>150</v>
      </c>
      <c r="Y416" s="1" t="s">
        <v>150</v>
      </c>
      <c r="AE416" s="1" t="s">
        <v>154</v>
      </c>
      <c r="AH416" s="1" t="s">
        <v>154</v>
      </c>
      <c r="AK416" s="1" t="s">
        <v>5</v>
      </c>
      <c r="AL416" s="1" t="s">
        <v>150</v>
      </c>
      <c r="AO416" s="1" t="s">
        <v>150</v>
      </c>
      <c r="BA416" s="1" t="s">
        <v>154</v>
      </c>
      <c r="BC416" s="9"/>
      <c r="BG416" s="1" t="s">
        <v>154</v>
      </c>
      <c r="BI416" s="1" t="s">
        <v>154</v>
      </c>
      <c r="BK416" s="1" t="s">
        <v>150</v>
      </c>
      <c r="BM416" s="1" t="s">
        <v>154</v>
      </c>
      <c r="BO416" s="1" t="s">
        <v>150</v>
      </c>
      <c r="BR416" s="1" t="s">
        <v>154</v>
      </c>
      <c r="BU416" s="1" t="s">
        <v>157</v>
      </c>
      <c r="BW416" s="1" t="s">
        <v>154</v>
      </c>
      <c r="BX416" s="1" t="s">
        <v>150</v>
      </c>
      <c r="BZ416" s="1" t="s">
        <v>158</v>
      </c>
      <c r="CA416" s="1" t="s">
        <v>154</v>
      </c>
      <c r="CB416" s="1" t="s">
        <v>150</v>
      </c>
      <c r="CC416" s="15" t="s">
        <v>150</v>
      </c>
      <c r="CD416" s="1" t="s">
        <v>150</v>
      </c>
      <c r="CE416" s="1" t="s">
        <v>150</v>
      </c>
      <c r="CF416" s="1" t="s">
        <v>150</v>
      </c>
      <c r="CG416" s="1" t="s">
        <v>150</v>
      </c>
      <c r="CH416" s="1" t="s">
        <v>150</v>
      </c>
      <c r="CI416" s="1" t="s">
        <v>150</v>
      </c>
      <c r="CJ416" s="1" t="s">
        <v>150</v>
      </c>
      <c r="CK416" s="1" t="s">
        <v>150</v>
      </c>
      <c r="FC416" s="39" t="s">
        <v>445</v>
      </c>
    </row>
    <row r="417">
      <c r="B417" s="53"/>
      <c r="D417" s="39" t="s">
        <v>445</v>
      </c>
      <c r="F417" s="1" t="s">
        <v>149</v>
      </c>
      <c r="I417" s="1" t="s">
        <v>150</v>
      </c>
      <c r="J417" s="1" t="s">
        <v>150</v>
      </c>
      <c r="L417" s="1" t="s">
        <v>150</v>
      </c>
      <c r="M417" s="1" t="s">
        <v>154</v>
      </c>
      <c r="O417" s="1" t="s">
        <v>154</v>
      </c>
      <c r="P417" s="9"/>
      <c r="Q417" s="1" t="s">
        <v>154</v>
      </c>
      <c r="S417" s="1" t="s">
        <v>150</v>
      </c>
      <c r="Y417" s="1" t="s">
        <v>150</v>
      </c>
      <c r="AE417" s="1" t="s">
        <v>154</v>
      </c>
      <c r="AH417" s="1" t="s">
        <v>154</v>
      </c>
      <c r="AK417" s="1" t="s">
        <v>5</v>
      </c>
      <c r="AL417" s="1" t="s">
        <v>150</v>
      </c>
      <c r="AO417" s="1" t="s">
        <v>150</v>
      </c>
      <c r="BA417" s="1" t="s">
        <v>154</v>
      </c>
      <c r="BC417" s="9"/>
      <c r="BG417" s="1" t="s">
        <v>154</v>
      </c>
      <c r="BI417" s="1" t="s">
        <v>154</v>
      </c>
      <c r="BK417" s="1" t="s">
        <v>150</v>
      </c>
      <c r="BM417" s="1" t="s">
        <v>154</v>
      </c>
      <c r="BO417" s="1" t="s">
        <v>150</v>
      </c>
      <c r="BR417" s="1" t="s">
        <v>154</v>
      </c>
      <c r="BU417" s="1" t="s">
        <v>157</v>
      </c>
      <c r="BW417" s="1" t="s">
        <v>154</v>
      </c>
      <c r="BX417" s="1" t="s">
        <v>150</v>
      </c>
      <c r="BZ417" s="1" t="s">
        <v>158</v>
      </c>
      <c r="CA417" s="1" t="s">
        <v>154</v>
      </c>
      <c r="CB417" s="1" t="s">
        <v>150</v>
      </c>
      <c r="CC417" s="15" t="s">
        <v>150</v>
      </c>
      <c r="CD417" s="1" t="s">
        <v>150</v>
      </c>
      <c r="CE417" s="1" t="s">
        <v>150</v>
      </c>
      <c r="CF417" s="1" t="s">
        <v>150</v>
      </c>
      <c r="CG417" s="1" t="s">
        <v>150</v>
      </c>
      <c r="CH417" s="1" t="s">
        <v>150</v>
      </c>
      <c r="CI417" s="1" t="s">
        <v>150</v>
      </c>
      <c r="CJ417" s="1" t="s">
        <v>150</v>
      </c>
      <c r="CK417" s="1" t="s">
        <v>150</v>
      </c>
      <c r="FC417" s="39" t="s">
        <v>445</v>
      </c>
    </row>
    <row r="418">
      <c r="B418" s="53"/>
      <c r="D418" s="39" t="s">
        <v>445</v>
      </c>
      <c r="F418" s="1" t="s">
        <v>149</v>
      </c>
      <c r="I418" s="1" t="s">
        <v>150</v>
      </c>
      <c r="J418" s="1" t="s">
        <v>150</v>
      </c>
      <c r="L418" s="1" t="s">
        <v>150</v>
      </c>
      <c r="M418" s="1" t="s">
        <v>154</v>
      </c>
      <c r="O418" s="1" t="s">
        <v>154</v>
      </c>
      <c r="P418" s="9"/>
      <c r="Q418" s="1" t="s">
        <v>154</v>
      </c>
      <c r="S418" s="1" t="s">
        <v>150</v>
      </c>
      <c r="Y418" s="1" t="s">
        <v>150</v>
      </c>
      <c r="AE418" s="1" t="s">
        <v>154</v>
      </c>
      <c r="AH418" s="1" t="s">
        <v>154</v>
      </c>
      <c r="AK418" s="1" t="s">
        <v>5</v>
      </c>
      <c r="AL418" s="1" t="s">
        <v>150</v>
      </c>
      <c r="AO418" s="1" t="s">
        <v>150</v>
      </c>
      <c r="BA418" s="1" t="s">
        <v>154</v>
      </c>
      <c r="BC418" s="9"/>
      <c r="BG418" s="1" t="s">
        <v>154</v>
      </c>
      <c r="BI418" s="1" t="s">
        <v>154</v>
      </c>
      <c r="BK418" s="1" t="s">
        <v>150</v>
      </c>
      <c r="BM418" s="1" t="s">
        <v>154</v>
      </c>
      <c r="BO418" s="1" t="s">
        <v>150</v>
      </c>
      <c r="BR418" s="1" t="s">
        <v>154</v>
      </c>
      <c r="BU418" s="1" t="s">
        <v>157</v>
      </c>
      <c r="BW418" s="1" t="s">
        <v>154</v>
      </c>
      <c r="BX418" s="1" t="s">
        <v>150</v>
      </c>
      <c r="BZ418" s="1" t="s">
        <v>158</v>
      </c>
      <c r="CA418" s="1" t="s">
        <v>154</v>
      </c>
      <c r="CB418" s="1" t="s">
        <v>150</v>
      </c>
      <c r="CC418" s="15" t="s">
        <v>150</v>
      </c>
      <c r="CD418" s="1" t="s">
        <v>150</v>
      </c>
      <c r="CE418" s="1" t="s">
        <v>150</v>
      </c>
      <c r="CF418" s="1" t="s">
        <v>150</v>
      </c>
      <c r="CG418" s="1" t="s">
        <v>150</v>
      </c>
      <c r="CH418" s="1" t="s">
        <v>150</v>
      </c>
      <c r="CI418" s="1" t="s">
        <v>150</v>
      </c>
      <c r="CJ418" s="1" t="s">
        <v>150</v>
      </c>
      <c r="CK418" s="1" t="s">
        <v>150</v>
      </c>
      <c r="FC418" s="39" t="s">
        <v>445</v>
      </c>
    </row>
    <row r="419">
      <c r="B419" s="53"/>
      <c r="D419" s="39" t="s">
        <v>445</v>
      </c>
      <c r="F419" s="1" t="s">
        <v>149</v>
      </c>
      <c r="I419" s="1" t="s">
        <v>150</v>
      </c>
      <c r="J419" s="1" t="s">
        <v>150</v>
      </c>
      <c r="L419" s="1" t="s">
        <v>150</v>
      </c>
      <c r="M419" s="1" t="s">
        <v>154</v>
      </c>
      <c r="O419" s="1" t="s">
        <v>154</v>
      </c>
      <c r="P419" s="9"/>
      <c r="Q419" s="1" t="s">
        <v>154</v>
      </c>
      <c r="S419" s="1" t="s">
        <v>150</v>
      </c>
      <c r="Y419" s="1" t="s">
        <v>150</v>
      </c>
      <c r="AE419" s="1" t="s">
        <v>154</v>
      </c>
      <c r="AH419" s="1" t="s">
        <v>154</v>
      </c>
      <c r="AK419" s="1" t="s">
        <v>5</v>
      </c>
      <c r="AL419" s="1" t="s">
        <v>150</v>
      </c>
      <c r="AO419" s="1" t="s">
        <v>150</v>
      </c>
      <c r="BA419" s="1" t="s">
        <v>154</v>
      </c>
      <c r="BC419" s="9"/>
      <c r="BG419" s="1" t="s">
        <v>154</v>
      </c>
      <c r="BI419" s="1" t="s">
        <v>154</v>
      </c>
      <c r="BK419" s="1" t="s">
        <v>150</v>
      </c>
      <c r="BM419" s="1" t="s">
        <v>154</v>
      </c>
      <c r="BO419" s="1" t="s">
        <v>150</v>
      </c>
      <c r="BR419" s="1" t="s">
        <v>154</v>
      </c>
      <c r="BU419" s="1" t="s">
        <v>157</v>
      </c>
      <c r="BW419" s="1" t="s">
        <v>154</v>
      </c>
      <c r="BX419" s="1" t="s">
        <v>150</v>
      </c>
      <c r="BZ419" s="1" t="s">
        <v>158</v>
      </c>
      <c r="CA419" s="1" t="s">
        <v>154</v>
      </c>
      <c r="CB419" s="1" t="s">
        <v>150</v>
      </c>
      <c r="CC419" s="15" t="s">
        <v>150</v>
      </c>
      <c r="CD419" s="1" t="s">
        <v>150</v>
      </c>
      <c r="CE419" s="1" t="s">
        <v>150</v>
      </c>
      <c r="CF419" s="1" t="s">
        <v>150</v>
      </c>
      <c r="CG419" s="1" t="s">
        <v>150</v>
      </c>
      <c r="CH419" s="1" t="s">
        <v>150</v>
      </c>
      <c r="CI419" s="1" t="s">
        <v>150</v>
      </c>
      <c r="CJ419" s="1" t="s">
        <v>150</v>
      </c>
      <c r="CK419" s="1" t="s">
        <v>150</v>
      </c>
      <c r="FC419" s="39" t="s">
        <v>445</v>
      </c>
    </row>
    <row r="420">
      <c r="B420" s="53"/>
      <c r="D420" s="39" t="s">
        <v>445</v>
      </c>
      <c r="F420" s="1" t="s">
        <v>149</v>
      </c>
      <c r="I420" s="1" t="s">
        <v>150</v>
      </c>
      <c r="J420" s="1" t="s">
        <v>150</v>
      </c>
      <c r="L420" s="1" t="s">
        <v>150</v>
      </c>
      <c r="M420" s="1" t="s">
        <v>154</v>
      </c>
      <c r="O420" s="1" t="s">
        <v>154</v>
      </c>
      <c r="P420" s="9"/>
      <c r="Q420" s="1" t="s">
        <v>154</v>
      </c>
      <c r="S420" s="1" t="s">
        <v>150</v>
      </c>
      <c r="Y420" s="1" t="s">
        <v>150</v>
      </c>
      <c r="AE420" s="1" t="s">
        <v>154</v>
      </c>
      <c r="AH420" s="1" t="s">
        <v>154</v>
      </c>
      <c r="AK420" s="1" t="s">
        <v>5</v>
      </c>
      <c r="AL420" s="1" t="s">
        <v>150</v>
      </c>
      <c r="AO420" s="1" t="s">
        <v>150</v>
      </c>
      <c r="BA420" s="1" t="s">
        <v>154</v>
      </c>
      <c r="BC420" s="9"/>
      <c r="BG420" s="1" t="s">
        <v>154</v>
      </c>
      <c r="BI420" s="1" t="s">
        <v>154</v>
      </c>
      <c r="BK420" s="1" t="s">
        <v>150</v>
      </c>
      <c r="BM420" s="1" t="s">
        <v>154</v>
      </c>
      <c r="BO420" s="1" t="s">
        <v>150</v>
      </c>
      <c r="BR420" s="1" t="s">
        <v>154</v>
      </c>
      <c r="BU420" s="1" t="s">
        <v>157</v>
      </c>
      <c r="BW420" s="1" t="s">
        <v>154</v>
      </c>
      <c r="BX420" s="1" t="s">
        <v>150</v>
      </c>
      <c r="BZ420" s="1" t="s">
        <v>158</v>
      </c>
      <c r="CA420" s="1" t="s">
        <v>154</v>
      </c>
      <c r="CB420" s="1" t="s">
        <v>150</v>
      </c>
      <c r="CC420" s="15" t="s">
        <v>150</v>
      </c>
      <c r="CD420" s="1" t="s">
        <v>150</v>
      </c>
      <c r="CE420" s="1" t="s">
        <v>150</v>
      </c>
      <c r="CF420" s="1" t="s">
        <v>150</v>
      </c>
      <c r="CG420" s="1" t="s">
        <v>150</v>
      </c>
      <c r="CH420" s="1" t="s">
        <v>150</v>
      </c>
      <c r="CI420" s="1" t="s">
        <v>150</v>
      </c>
      <c r="CJ420" s="1" t="s">
        <v>150</v>
      </c>
      <c r="CK420" s="1" t="s">
        <v>150</v>
      </c>
      <c r="FC420" s="39" t="s">
        <v>445</v>
      </c>
    </row>
    <row r="421">
      <c r="B421" s="53"/>
      <c r="D421" s="39" t="s">
        <v>445</v>
      </c>
      <c r="F421" s="1" t="s">
        <v>149</v>
      </c>
      <c r="I421" s="1" t="s">
        <v>150</v>
      </c>
      <c r="J421" s="1" t="s">
        <v>150</v>
      </c>
      <c r="L421" s="1" t="s">
        <v>150</v>
      </c>
      <c r="M421" s="1" t="s">
        <v>154</v>
      </c>
      <c r="O421" s="1" t="s">
        <v>154</v>
      </c>
      <c r="P421" s="9"/>
      <c r="Q421" s="1" t="s">
        <v>154</v>
      </c>
      <c r="S421" s="1" t="s">
        <v>150</v>
      </c>
      <c r="Y421" s="1" t="s">
        <v>150</v>
      </c>
      <c r="AE421" s="1" t="s">
        <v>154</v>
      </c>
      <c r="AH421" s="1" t="s">
        <v>154</v>
      </c>
      <c r="AK421" s="1" t="s">
        <v>5</v>
      </c>
      <c r="AL421" s="1" t="s">
        <v>150</v>
      </c>
      <c r="AO421" s="1" t="s">
        <v>150</v>
      </c>
      <c r="BA421" s="1" t="s">
        <v>154</v>
      </c>
      <c r="BC421" s="9"/>
      <c r="BG421" s="1" t="s">
        <v>154</v>
      </c>
      <c r="BI421" s="1" t="s">
        <v>154</v>
      </c>
      <c r="BK421" s="1" t="s">
        <v>150</v>
      </c>
      <c r="BM421" s="1" t="s">
        <v>154</v>
      </c>
      <c r="BO421" s="1" t="s">
        <v>150</v>
      </c>
      <c r="BR421" s="1" t="s">
        <v>154</v>
      </c>
      <c r="BU421" s="1" t="s">
        <v>157</v>
      </c>
      <c r="BW421" s="1" t="s">
        <v>154</v>
      </c>
      <c r="BX421" s="1" t="s">
        <v>150</v>
      </c>
      <c r="BZ421" s="1" t="s">
        <v>158</v>
      </c>
      <c r="CA421" s="1" t="s">
        <v>154</v>
      </c>
      <c r="CB421" s="1" t="s">
        <v>150</v>
      </c>
      <c r="CC421" s="15" t="s">
        <v>150</v>
      </c>
      <c r="CD421" s="1" t="s">
        <v>150</v>
      </c>
      <c r="CE421" s="1" t="s">
        <v>150</v>
      </c>
      <c r="CF421" s="1" t="s">
        <v>150</v>
      </c>
      <c r="CG421" s="1" t="s">
        <v>150</v>
      </c>
      <c r="CH421" s="1" t="s">
        <v>150</v>
      </c>
      <c r="CI421" s="1" t="s">
        <v>150</v>
      </c>
      <c r="CJ421" s="1" t="s">
        <v>150</v>
      </c>
      <c r="CK421" s="1" t="s">
        <v>150</v>
      </c>
      <c r="FC421" s="39" t="s">
        <v>445</v>
      </c>
    </row>
    <row r="422">
      <c r="B422" s="53"/>
      <c r="D422" s="39" t="s">
        <v>445</v>
      </c>
      <c r="F422" s="1" t="s">
        <v>149</v>
      </c>
      <c r="I422" s="1" t="s">
        <v>150</v>
      </c>
      <c r="J422" s="1" t="s">
        <v>150</v>
      </c>
      <c r="L422" s="1" t="s">
        <v>150</v>
      </c>
      <c r="M422" s="1" t="s">
        <v>154</v>
      </c>
      <c r="O422" s="1" t="s">
        <v>154</v>
      </c>
      <c r="P422" s="9"/>
      <c r="Q422" s="1" t="s">
        <v>154</v>
      </c>
      <c r="S422" s="1" t="s">
        <v>150</v>
      </c>
      <c r="Y422" s="1" t="s">
        <v>150</v>
      </c>
      <c r="AE422" s="1" t="s">
        <v>154</v>
      </c>
      <c r="AH422" s="1" t="s">
        <v>154</v>
      </c>
      <c r="AO422" s="1" t="s">
        <v>150</v>
      </c>
      <c r="BA422" s="1" t="s">
        <v>154</v>
      </c>
      <c r="BC422" s="9"/>
      <c r="BG422" s="1" t="s">
        <v>154</v>
      </c>
      <c r="BI422" s="1" t="s">
        <v>154</v>
      </c>
      <c r="BK422" s="1" t="s">
        <v>150</v>
      </c>
      <c r="BM422" s="1" t="s">
        <v>154</v>
      </c>
      <c r="BO422" s="1" t="s">
        <v>150</v>
      </c>
      <c r="BR422" s="1" t="s">
        <v>154</v>
      </c>
      <c r="BU422" s="1" t="s">
        <v>157</v>
      </c>
      <c r="BW422" s="1" t="s">
        <v>154</v>
      </c>
      <c r="BX422" s="1" t="s">
        <v>150</v>
      </c>
      <c r="BZ422" s="1" t="s">
        <v>158</v>
      </c>
      <c r="CA422" s="1" t="s">
        <v>154</v>
      </c>
      <c r="CB422" s="1" t="s">
        <v>150</v>
      </c>
      <c r="CC422" s="15" t="s">
        <v>150</v>
      </c>
      <c r="CD422" s="1" t="s">
        <v>150</v>
      </c>
      <c r="CE422" s="1" t="s">
        <v>150</v>
      </c>
      <c r="CF422" s="1" t="s">
        <v>150</v>
      </c>
      <c r="CG422" s="1" t="s">
        <v>150</v>
      </c>
      <c r="CH422" s="1" t="s">
        <v>150</v>
      </c>
      <c r="CI422" s="1" t="s">
        <v>150</v>
      </c>
      <c r="CJ422" s="1" t="s">
        <v>150</v>
      </c>
      <c r="CK422" s="1" t="s">
        <v>150</v>
      </c>
      <c r="FC422" s="39" t="s">
        <v>445</v>
      </c>
    </row>
    <row r="423">
      <c r="B423" s="53"/>
      <c r="D423" s="39" t="s">
        <v>445</v>
      </c>
      <c r="F423" s="1" t="s">
        <v>149</v>
      </c>
      <c r="I423" s="1" t="s">
        <v>150</v>
      </c>
      <c r="J423" s="1" t="s">
        <v>150</v>
      </c>
      <c r="L423" s="1" t="s">
        <v>150</v>
      </c>
      <c r="M423" s="1" t="s">
        <v>154</v>
      </c>
      <c r="O423" s="1" t="s">
        <v>154</v>
      </c>
      <c r="P423" s="9"/>
      <c r="Q423" s="1" t="s">
        <v>154</v>
      </c>
      <c r="S423" s="1" t="s">
        <v>150</v>
      </c>
      <c r="Y423" s="1" t="s">
        <v>150</v>
      </c>
      <c r="AE423" s="1" t="s">
        <v>154</v>
      </c>
      <c r="AH423" s="1" t="s">
        <v>154</v>
      </c>
      <c r="AO423" s="1" t="s">
        <v>150</v>
      </c>
      <c r="BA423" s="1" t="s">
        <v>154</v>
      </c>
      <c r="BC423" s="9"/>
      <c r="BG423" s="1" t="s">
        <v>154</v>
      </c>
      <c r="BI423" s="1" t="s">
        <v>154</v>
      </c>
      <c r="BK423" s="1" t="s">
        <v>150</v>
      </c>
      <c r="BM423" s="1" t="s">
        <v>154</v>
      </c>
      <c r="BO423" s="1" t="s">
        <v>150</v>
      </c>
      <c r="BR423" s="1" t="s">
        <v>154</v>
      </c>
      <c r="BU423" s="1" t="s">
        <v>157</v>
      </c>
      <c r="BW423" s="1" t="s">
        <v>154</v>
      </c>
      <c r="BX423" s="1" t="s">
        <v>150</v>
      </c>
      <c r="BZ423" s="1" t="s">
        <v>158</v>
      </c>
      <c r="CA423" s="1" t="s">
        <v>154</v>
      </c>
      <c r="CB423" s="1" t="s">
        <v>150</v>
      </c>
      <c r="CC423" s="15" t="s">
        <v>150</v>
      </c>
      <c r="CD423" s="1" t="s">
        <v>150</v>
      </c>
      <c r="CE423" s="1" t="s">
        <v>150</v>
      </c>
      <c r="CF423" s="1" t="s">
        <v>150</v>
      </c>
      <c r="CG423" s="1" t="s">
        <v>150</v>
      </c>
      <c r="CH423" s="1" t="s">
        <v>150</v>
      </c>
      <c r="CI423" s="1" t="s">
        <v>150</v>
      </c>
      <c r="CJ423" s="1" t="s">
        <v>150</v>
      </c>
      <c r="CK423" s="1" t="s">
        <v>150</v>
      </c>
      <c r="FC423" s="39" t="s">
        <v>445</v>
      </c>
    </row>
    <row r="424">
      <c r="B424" s="53"/>
      <c r="D424" s="39" t="s">
        <v>445</v>
      </c>
      <c r="F424" s="1" t="s">
        <v>149</v>
      </c>
      <c r="I424" s="1" t="s">
        <v>150</v>
      </c>
      <c r="J424" s="1" t="s">
        <v>150</v>
      </c>
      <c r="L424" s="1" t="s">
        <v>150</v>
      </c>
      <c r="M424" s="1" t="s">
        <v>154</v>
      </c>
      <c r="O424" s="1" t="s">
        <v>154</v>
      </c>
      <c r="P424" s="9"/>
      <c r="Q424" s="1" t="s">
        <v>154</v>
      </c>
      <c r="S424" s="1" t="s">
        <v>150</v>
      </c>
      <c r="Y424" s="1" t="s">
        <v>150</v>
      </c>
      <c r="AE424" s="1" t="s">
        <v>154</v>
      </c>
      <c r="AH424" s="1" t="s">
        <v>154</v>
      </c>
      <c r="AO424" s="1" t="s">
        <v>150</v>
      </c>
      <c r="BA424" s="1" t="s">
        <v>154</v>
      </c>
      <c r="BC424" s="9"/>
      <c r="BG424" s="1" t="s">
        <v>154</v>
      </c>
      <c r="BI424" s="1" t="s">
        <v>154</v>
      </c>
      <c r="BK424" s="1" t="s">
        <v>150</v>
      </c>
      <c r="BM424" s="1" t="s">
        <v>154</v>
      </c>
      <c r="BO424" s="1" t="s">
        <v>150</v>
      </c>
      <c r="BR424" s="1" t="s">
        <v>154</v>
      </c>
      <c r="BU424" s="1" t="s">
        <v>157</v>
      </c>
      <c r="BW424" s="1" t="s">
        <v>154</v>
      </c>
      <c r="BX424" s="1" t="s">
        <v>150</v>
      </c>
      <c r="BZ424" s="1" t="s">
        <v>158</v>
      </c>
      <c r="CA424" s="1" t="s">
        <v>154</v>
      </c>
      <c r="CB424" s="1" t="s">
        <v>150</v>
      </c>
      <c r="CC424" s="15" t="s">
        <v>150</v>
      </c>
      <c r="CD424" s="1" t="s">
        <v>150</v>
      </c>
      <c r="CE424" s="1" t="s">
        <v>150</v>
      </c>
      <c r="CF424" s="1" t="s">
        <v>150</v>
      </c>
      <c r="CG424" s="1" t="s">
        <v>150</v>
      </c>
      <c r="CH424" s="1" t="s">
        <v>150</v>
      </c>
      <c r="CI424" s="1" t="s">
        <v>150</v>
      </c>
      <c r="CJ424" s="1" t="s">
        <v>150</v>
      </c>
      <c r="CK424" s="1" t="s">
        <v>150</v>
      </c>
      <c r="FC424" s="39" t="s">
        <v>445</v>
      </c>
    </row>
    <row r="425">
      <c r="A425" s="44" t="s">
        <v>904</v>
      </c>
      <c r="B425" s="53"/>
      <c r="D425" s="39" t="s">
        <v>445</v>
      </c>
      <c r="F425" s="1" t="s">
        <v>149</v>
      </c>
      <c r="I425" s="1" t="s">
        <v>150</v>
      </c>
      <c r="J425" s="1" t="s">
        <v>150</v>
      </c>
      <c r="L425" s="1" t="s">
        <v>150</v>
      </c>
      <c r="M425" s="1" t="s">
        <v>154</v>
      </c>
      <c r="O425" s="1" t="s">
        <v>154</v>
      </c>
      <c r="P425" s="9"/>
      <c r="Q425" s="1" t="s">
        <v>154</v>
      </c>
      <c r="S425" s="1" t="s">
        <v>150</v>
      </c>
      <c r="Y425" s="1" t="s">
        <v>150</v>
      </c>
      <c r="AE425" s="1" t="s">
        <v>154</v>
      </c>
      <c r="AH425" s="1" t="s">
        <v>154</v>
      </c>
      <c r="AO425" s="1" t="s">
        <v>150</v>
      </c>
      <c r="BA425" s="1" t="s">
        <v>154</v>
      </c>
      <c r="BC425" s="9"/>
      <c r="BG425" s="1" t="s">
        <v>154</v>
      </c>
      <c r="BI425" s="1" t="s">
        <v>154</v>
      </c>
      <c r="BK425" s="1" t="s">
        <v>150</v>
      </c>
      <c r="BM425" s="1" t="s">
        <v>154</v>
      </c>
      <c r="BO425" s="1" t="s">
        <v>150</v>
      </c>
      <c r="BR425" s="1" t="s">
        <v>154</v>
      </c>
      <c r="BU425" s="1" t="s">
        <v>157</v>
      </c>
      <c r="BW425" s="1" t="s">
        <v>154</v>
      </c>
      <c r="BX425" s="1" t="s">
        <v>150</v>
      </c>
      <c r="BZ425" s="1" t="s">
        <v>158</v>
      </c>
      <c r="CA425" s="1" t="s">
        <v>154</v>
      </c>
      <c r="CB425" s="1" t="s">
        <v>150</v>
      </c>
      <c r="CC425" s="15" t="s">
        <v>150</v>
      </c>
      <c r="CD425" s="1" t="s">
        <v>150</v>
      </c>
      <c r="CE425" s="1" t="s">
        <v>150</v>
      </c>
      <c r="CF425" s="1" t="s">
        <v>150</v>
      </c>
      <c r="CG425" s="1" t="s">
        <v>150</v>
      </c>
      <c r="CH425" s="1" t="s">
        <v>150</v>
      </c>
      <c r="CI425" s="1" t="s">
        <v>150</v>
      </c>
      <c r="CJ425" s="1" t="s">
        <v>150</v>
      </c>
      <c r="CK425" s="1" t="s">
        <v>150</v>
      </c>
      <c r="FC425" s="39" t="s">
        <v>445</v>
      </c>
    </row>
    <row r="426">
      <c r="BA426" s="1"/>
    </row>
    <row r="627" ht="18.0" customHeight="1"/>
  </sheetData>
  <mergeCells count="48">
    <mergeCell ref="CA4:CB4"/>
    <mergeCell ref="CA10:CB10"/>
    <mergeCell ref="CE10:CF10"/>
    <mergeCell ref="T12:W12"/>
    <mergeCell ref="CB13:CC13"/>
    <mergeCell ref="CC21:CE21"/>
    <mergeCell ref="CB22:CC22"/>
    <mergeCell ref="BY33:BZ33"/>
    <mergeCell ref="BY34:BZ34"/>
    <mergeCell ref="BY35:BZ35"/>
    <mergeCell ref="BY36:BZ36"/>
    <mergeCell ref="BY37:BZ37"/>
    <mergeCell ref="BY38:BZ38"/>
    <mergeCell ref="BI39:BJ39"/>
    <mergeCell ref="BY39:BZ39"/>
    <mergeCell ref="BY40:BZ40"/>
    <mergeCell ref="BY41:BZ41"/>
    <mergeCell ref="BY42:BZ42"/>
    <mergeCell ref="BY43:BZ43"/>
    <mergeCell ref="CL43:CM43"/>
    <mergeCell ref="BY44:BZ44"/>
    <mergeCell ref="DW144:DX144"/>
    <mergeCell ref="T93:W93"/>
    <mergeCell ref="T120:W120"/>
    <mergeCell ref="T121:X121"/>
    <mergeCell ref="T161:V161"/>
    <mergeCell ref="T165:V165"/>
    <mergeCell ref="T212:X212"/>
    <mergeCell ref="T217:X217"/>
    <mergeCell ref="T223:V223"/>
    <mergeCell ref="BY45:BZ45"/>
    <mergeCell ref="CD46:CE46"/>
    <mergeCell ref="CL51:CM51"/>
    <mergeCell ref="T74:W74"/>
    <mergeCell ref="CL74:CM74"/>
    <mergeCell ref="M83:N83"/>
    <mergeCell ref="M99:N99"/>
    <mergeCell ref="CE112:CF112"/>
    <mergeCell ref="BS154:BT154"/>
    <mergeCell ref="BY155:BZ155"/>
    <mergeCell ref="BS178:BT178"/>
    <mergeCell ref="CA27:CB27"/>
    <mergeCell ref="CA28:CB28"/>
    <mergeCell ref="CE28:CF28"/>
    <mergeCell ref="BY29:BZ29"/>
    <mergeCell ref="BY30:BZ30"/>
    <mergeCell ref="BY31:BZ31"/>
    <mergeCell ref="BY32:BZ32"/>
  </mergeCells>
  <dataValidations>
    <dataValidation type="list" allowBlank="1" showErrorMessage="1" sqref="I2:I285 I356:I425">
      <formula1>"нет,да,???"</formula1>
    </dataValidation>
    <dataValidation type="list" allowBlank="1" showErrorMessage="1" sqref="BK2:BK285 BK356:BK425">
      <formula1>"нет,да,флуконазол"</formula1>
    </dataValidation>
    <dataValidation type="list" allowBlank="1" showErrorMessage="1" sqref="AE2:AE225 M356:M425 O356:O425 AE356:AE425 AH356:AH425">
      <formula1>"нет,да,?,??"</formula1>
    </dataValidation>
    <dataValidation type="list" allowBlank="1" showErrorMessage="1" sqref="F2:F285 F356:F425">
      <formula1>"м,ж,Ж"</formula1>
    </dataValidation>
    <dataValidation type="list" allowBlank="1" showErrorMessage="1" sqref="Q2:Q285 Q356:Q425">
      <formula1>"нет,да,да?"</formula1>
    </dataValidation>
    <dataValidation type="list" allowBlank="1" showErrorMessage="1" sqref="BZ2:CA3 BZ4 BZ5:CA9 BZ10 BZ11:CA12 BZ13 BZ14:CA21 BZ22 BZ23:CA26 BZ27:BZ28 BZ46:BZ154 BZ156:BZ285 BZ356:BZ425">
      <formula1>"омепразол,патнопразол,да,нет"</formula1>
    </dataValidation>
    <dataValidation type="list" allowBlank="1" showErrorMessage="1" sqref="BG2:BG225 BG356:BG425 BI356:BI425">
      <formula1>"нет,да,?,не помнит"</formula1>
    </dataValidation>
    <dataValidation type="list" allowBlank="1" showErrorMessage="1" sqref="J2:J285 S2:S285 J356:J425 S356:S425">
      <formula1>"нет,да"</formula1>
    </dataValidation>
    <dataValidation type="list" allowBlank="1" showErrorMessage="1" sqref="BC2:BC225 BC356:BC425">
      <formula1>"60,95,50,40,44,52,100"</formula1>
    </dataValidation>
    <dataValidation type="list" allowBlank="1" showErrorMessage="1" sqref="BW2:BW285 BW356:BX425 CA356:CA425">
      <formula1>"нет,да,да???"</formula1>
    </dataValidation>
    <dataValidation type="list" allowBlank="1" showErrorMessage="1" sqref="BO2:BO225 BO356:BO425 BR356:BR425">
      <formula1>"нет,да,?,не помнит"</formula1>
    </dataValidation>
    <dataValidation type="list" allowBlank="1" showErrorMessage="1" sqref="CG2:CG285 CG356:CG425">
      <formula1>"да,нет"</formula1>
    </dataValidation>
    <dataValidation type="list" allowBlank="1" showErrorMessage="1" sqref="L2:L285 L356:L425">
      <formula1>"нет,да,?"</formula1>
    </dataValidation>
    <dataValidation type="list" allowBlank="1" showErrorMessage="1" sqref="P2:P217 P219:P285 P356:P425">
      <formula1>"нет,да"</formula1>
    </dataValidation>
    <dataValidation type="list" allowBlank="1" showErrorMessage="1" sqref="BU2:BU141 BU148 BU150 BU152 BU155 BU159 BU161 BU163:BU164 BU169 BU172 BU197 BU205 BU359:BU361 BU364 BU366 BU370 BU372:BU425">
      <formula1>"метипред,метилпреднизолон,метилпреднизлон,метирпед,метипред 16,метипред 12,преднизолон,метипред 20,метирпред,метпред"</formula1>
    </dataValidation>
    <dataValidation type="list" allowBlank="1" showErrorMessage="1" sqref="CE2:CE20 CE22:CE45 CE47:CE225 CE356:CE425">
      <formula1>"амлодипин,верапамил,нет,да,престанс,амиодарон"</formula1>
    </dataValidation>
    <dataValidation type="list" allowBlank="1" showErrorMessage="1" sqref="CK2:CK285 CK356:CK425">
      <formula1>"да,нет,да 2 дозы"</formula1>
    </dataValidation>
    <dataValidation type="list" allowBlank="1" showErrorMessage="1" sqref="CI2:CI285 CI356:CI425">
      <formula1>"да,нет"</formula1>
    </dataValidation>
    <dataValidation type="list" allowBlank="1" showErrorMessage="1" sqref="AK2:AK285 AK356:AL421">
      <formula1>"нет,да,положит,пол,отр,пол(отр),пол (отр)"</formula1>
    </dataValidation>
    <dataValidation type="list" allowBlank="1" showErrorMessage="1" sqref="BM2:BM285 BM356:BM365 BM367:BM425">
      <formula1>"да,д"</formula1>
    </dataValidation>
    <dataValidation type="list" allowBlank="1" showErrorMessage="1" sqref="CH2:CH285 CH356:CH425">
      <formula1>"да,нет"</formula1>
    </dataValidation>
    <dataValidation type="list" allowBlank="1" showErrorMessage="1" sqref="CB2:CB3 CB5:CB9 CB11:CB26 CB29:CB225 CB356:CB425">
      <formula1>"аторвастатин,аторис,розувастатин,нет,да"</formula1>
    </dataValidation>
    <dataValidation type="list" allowBlank="1" showErrorMessage="1" sqref="BX2:BX285">
      <formula1>"нет,да"</formula1>
    </dataValidation>
    <dataValidation type="list" allowBlank="1" showErrorMessage="1" sqref="CC2:CC12 CC14:CC21 CC23:CC285 CC356:CC425">
      <formula1>"транексам, этамзилат,ксарелто,тикагрелор,нет,да,актелизе"</formula1>
    </dataValidation>
    <dataValidation type="list" allowBlank="1" showErrorMessage="1" sqref="CJ2:CJ285 CJ356:CJ425">
      <formula1>"да,нет,н"</formula1>
    </dataValidation>
    <dataValidation type="list" allowBlank="1" showErrorMessage="1" sqref="D2:D285 FC2:FC285 D326:D425 FC326:FC425">
      <formula1>"Выписан,Мертв"</formula1>
    </dataValidation>
    <dataValidation type="list" allowBlank="1" showErrorMessage="1" sqref="Y2:Y285 Y356:Y425 AO356:AO425 BA356:BA425 CD356:CD425">
      <formula1>"нет,да"</formula1>
    </dataValidation>
    <dataValidation type="list" allowBlank="1" showErrorMessage="1" sqref="CF2:CF9 CF11:CF27 CF29:CF111 CF113:CF285 CF356:CF425">
      <formula1>"верошпирон,веошпирон,нет,да,эдарби-кло"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